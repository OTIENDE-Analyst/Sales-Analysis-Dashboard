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890" windowHeight="6350" firstSheet="8" activeTab="9"/>
  </bookViews>
  <sheets>
    <sheet name="Data" sheetId="1" r:id="rId1"/>
    <sheet name="Brief" sheetId="2" r:id="rId2"/>
    <sheet name="1. Staging Table" sheetId="3" r:id="rId3"/>
    <sheet name="2. Region Hierachy Pivot Table" sheetId="4" r:id="rId4"/>
    <sheet name="3.ProductCategory &amp;PriceBands" sheetId="29" r:id="rId5"/>
    <sheet name="4. Cohort analysis" sheetId="9" r:id="rId6"/>
    <sheet name="5. ABC Analysis" sheetId="11" r:id="rId7"/>
    <sheet name="6. Salesperson productivity" sheetId="13" r:id="rId8"/>
    <sheet name="7.Channel mix &amp; cannibalization" sheetId="14" r:id="rId9"/>
    <sheet name="8. Service level proxy" sheetId="15" r:id="rId10"/>
    <sheet name="9. Price Compliance" sheetId="18" r:id="rId11"/>
    <sheet name="10. Whatif Control pannel" sheetId="19" r:id="rId12"/>
    <sheet name="11. Revenue by Month pivottable" sheetId="20" r:id="rId13"/>
    <sheet name="12.Profit by Region and Channel" sheetId="21" r:id="rId14"/>
    <sheet name="13.Top 10 SKUs by Revenue" sheetId="24" r:id="rId15"/>
    <sheet name="14. Discount Outliers" sheetId="30" r:id="rId16"/>
    <sheet name="15. DASHBOARD" sheetId="27" r:id="rId17"/>
  </sheets>
  <definedNames>
    <definedName name="Slicer_Region">#N/A</definedName>
    <definedName name="Slicer_Country">#N/A</definedName>
    <definedName name="Slicer_Channel">#N/A</definedName>
    <definedName name="Slicer_Salesperson">#N/A</definedName>
    <definedName name="Slicer_ProductCategory">#N/A</definedName>
    <definedName name="Slicer_OrderDate">#N/A</definedName>
    <definedName name="_xlnm._FilterDatabase" localSheetId="2" hidden="1">'1. Staging Table'!$X$1:$X$635</definedName>
  </definedNames>
  <calcPr calcId="191029"/>
  <pivotCaches>
    <pivotCache cacheId="0" r:id="rId18"/>
  </pivotCaches>
  <extLst>
    <ext xmlns:x14="http://schemas.microsoft.com/office/spreadsheetml/2009/9/main" uri="{BBE1A952-AA13-448e-AADC-164F8A28A991}">
      <x14:slicerCaches>
        <x14:slicerCache r:id="rId24"/>
        <x14:slicerCache r:id="rId23"/>
        <x14:slicerCache r:id="rId22"/>
        <x14:slicerCache r:id="rId21"/>
        <x14:slicerCache r:id="rId20"/>
        <x14:slicerCache r:id="rId1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<sst xmlns="http://schemas.openxmlformats.org/spreadsheetml/2006/main" count="12764" uniqueCount="1488">
  <si>
    <t>OrderID</t>
  </si>
  <si>
    <t>OrderDate</t>
  </si>
  <si>
    <t>RequiredDate</t>
  </si>
  <si>
    <t>Region</t>
  </si>
  <si>
    <t>Country</t>
  </si>
  <si>
    <t>City</t>
  </si>
  <si>
    <t>CustomerSegment</t>
  </si>
  <si>
    <t>Channel</t>
  </si>
  <si>
    <t>Salesperson</t>
  </si>
  <si>
    <t>ProductCategory</t>
  </si>
  <si>
    <t>SKU</t>
  </si>
  <si>
    <t>UnitCost</t>
  </si>
  <si>
    <t>UnitPrice</t>
  </si>
  <si>
    <t>DiscountPct</t>
  </si>
  <si>
    <t>Quantity</t>
  </si>
  <si>
    <t>ORD-2024-275203</t>
  </si>
  <si>
    <t>Africa</t>
  </si>
  <si>
    <t>Kenya</t>
  </si>
  <si>
    <t>Kisumu</t>
  </si>
  <si>
    <t>Corporate</t>
  </si>
  <si>
    <t>Retail</t>
  </si>
  <si>
    <t>C. Otieno</t>
  </si>
  <si>
    <t>Components</t>
  </si>
  <si>
    <t>CMP-8270</t>
  </si>
  <si>
    <t>ORD-2024-358795</t>
  </si>
  <si>
    <t>Nigeria</t>
  </si>
  <si>
    <t>Port Harcourt</t>
  </si>
  <si>
    <t>Education</t>
  </si>
  <si>
    <t>Online</t>
  </si>
  <si>
    <t>J. Njeri</t>
  </si>
  <si>
    <t>Printers</t>
  </si>
  <si>
    <t>PRN-9322</t>
  </si>
  <si>
    <t>ORD-2023-373538</t>
  </si>
  <si>
    <t>Nairobi</t>
  </si>
  <si>
    <t>I. Johnson</t>
  </si>
  <si>
    <t>Networking</t>
  </si>
  <si>
    <t>NET-9666</t>
  </si>
  <si>
    <t>ORD-2025-168148</t>
  </si>
  <si>
    <t>Lagos</t>
  </si>
  <si>
    <t>Non-Profit</t>
  </si>
  <si>
    <t>Marketplace</t>
  </si>
  <si>
    <t>G. Dubois</t>
  </si>
  <si>
    <t>Phones</t>
  </si>
  <si>
    <t>PHN-4556</t>
  </si>
  <si>
    <t>ORD-2023-824839</t>
  </si>
  <si>
    <t>Asia</t>
  </si>
  <si>
    <t>Japan</t>
  </si>
  <si>
    <t>Osaka</t>
  </si>
  <si>
    <t>Consumer</t>
  </si>
  <si>
    <t>L. Okafor</t>
  </si>
  <si>
    <t>PRN-8041</t>
  </si>
  <si>
    <t>ORD-2023-723587</t>
  </si>
  <si>
    <t>Americas</t>
  </si>
  <si>
    <t>Canada</t>
  </si>
  <si>
    <t>Toronto</t>
  </si>
  <si>
    <t>Distributor</t>
  </si>
  <si>
    <t>B. Chen</t>
  </si>
  <si>
    <t>Laptops</t>
  </si>
  <si>
    <t>LAP-8555</t>
  </si>
  <si>
    <t>ORD-2024-336584</t>
  </si>
  <si>
    <t>India</t>
  </si>
  <si>
    <t>Bengaluru</t>
  </si>
  <si>
    <t>Small Business</t>
  </si>
  <si>
    <t>E. Garcia</t>
  </si>
  <si>
    <t>Monitors</t>
  </si>
  <si>
    <t>MON-8629</t>
  </si>
  <si>
    <t>ORD-2023-112666</t>
  </si>
  <si>
    <t>Abuja</t>
  </si>
  <si>
    <t>O. Wang</t>
  </si>
  <si>
    <t>PRN-6276</t>
  </si>
  <si>
    <t>ORD-2024-589570</t>
  </si>
  <si>
    <t>MON-6892</t>
  </si>
  <si>
    <t>ORD-2025-997421</t>
  </si>
  <si>
    <t>Brazil</t>
  </si>
  <si>
    <t>São Paulo</t>
  </si>
  <si>
    <t>A. Patel</t>
  </si>
  <si>
    <t>CMP-3731</t>
  </si>
  <si>
    <t>ORD-2024-210687</t>
  </si>
  <si>
    <t>Europe</t>
  </si>
  <si>
    <t>Germany</t>
  </si>
  <si>
    <t>Berlin</t>
  </si>
  <si>
    <t>Accessories</t>
  </si>
  <si>
    <t>ACC-7938</t>
  </si>
  <si>
    <t>ORD-2025-515515</t>
  </si>
  <si>
    <t>F. Müller</t>
  </si>
  <si>
    <t>PHN-7019</t>
  </si>
  <si>
    <t>ORD-2025-487261</t>
  </si>
  <si>
    <t>Brasília</t>
  </si>
  <si>
    <t>CMP-3693</t>
  </si>
  <si>
    <t>ORD-2024-890180</t>
  </si>
  <si>
    <t>France</t>
  </si>
  <si>
    <t>Marseille</t>
  </si>
  <si>
    <t>H. Kim</t>
  </si>
  <si>
    <t>PRN-8392</t>
  </si>
  <si>
    <t>ORD-2025-840976</t>
  </si>
  <si>
    <t>K. Singh</t>
  </si>
  <si>
    <t>ACC-1663</t>
  </si>
  <si>
    <t>ORD-2023-937291</t>
  </si>
  <si>
    <t>Direct</t>
  </si>
  <si>
    <t>LAP-1698</t>
  </si>
  <si>
    <t>ORD-2024-206081</t>
  </si>
  <si>
    <t>PRN-6791</t>
  </si>
  <si>
    <t>ORD-2025-233883</t>
  </si>
  <si>
    <t>PHN-1197</t>
  </si>
  <si>
    <t>ORD-2025-843974</t>
  </si>
  <si>
    <t>Enterprise</t>
  </si>
  <si>
    <t>ACC-8098</t>
  </si>
  <si>
    <t>ORD-2025-745263</t>
  </si>
  <si>
    <t>United Kingdom</t>
  </si>
  <si>
    <t>Birmingham</t>
  </si>
  <si>
    <t>M. Rossi</t>
  </si>
  <si>
    <t>LAP-3385</t>
  </si>
  <si>
    <t>ORD-2024-798002</t>
  </si>
  <si>
    <t>Mombasa</t>
  </si>
  <si>
    <t>LAP-9815</t>
  </si>
  <si>
    <t>ORD-2023-867836</t>
  </si>
  <si>
    <t>China</t>
  </si>
  <si>
    <t>Shenzhen</t>
  </si>
  <si>
    <t>NET-3255</t>
  </si>
  <si>
    <t>ORD-2025-580047</t>
  </si>
  <si>
    <t>ACC-3961</t>
  </si>
  <si>
    <t>ORD-2024-500109</t>
  </si>
  <si>
    <t>USA</t>
  </si>
  <si>
    <t>Chicago</t>
  </si>
  <si>
    <t>LAP-4987</t>
  </si>
  <si>
    <t>ORD-2023-271836</t>
  </si>
  <si>
    <t>N. Brown</t>
  </si>
  <si>
    <t>CMP-2693</t>
  </si>
  <si>
    <t>ORD-2024-215294</t>
  </si>
  <si>
    <t>ACC-8683</t>
  </si>
  <si>
    <t>ORD-2024-788105</t>
  </si>
  <si>
    <t>PRN-4170</t>
  </si>
  <si>
    <t>ORD-2024-855073</t>
  </si>
  <si>
    <t>PHN-6854</t>
  </si>
  <si>
    <t>ORD-2023-897079</t>
  </si>
  <si>
    <t>Nakuru</t>
  </si>
  <si>
    <t>PHN-1784</t>
  </si>
  <si>
    <t>ORD-2025-548982</t>
  </si>
  <si>
    <t>Lyon</t>
  </si>
  <si>
    <t>NET-9716</t>
  </si>
  <si>
    <t>ORD-2024-170313</t>
  </si>
  <si>
    <t>Delhi</t>
  </si>
  <si>
    <t>CMP-6919</t>
  </si>
  <si>
    <t>ORD-2023-562894</t>
  </si>
  <si>
    <t>Montreal</t>
  </si>
  <si>
    <t>D. Smith</t>
  </si>
  <si>
    <t>PHN-4854</t>
  </si>
  <si>
    <t>ORD-2025-474710</t>
  </si>
  <si>
    <t>South Africa</t>
  </si>
  <si>
    <t>Johannesburg</t>
  </si>
  <si>
    <t>NET-7966</t>
  </si>
  <si>
    <t>ORD-2024-629525</t>
  </si>
  <si>
    <t>London</t>
  </si>
  <si>
    <t>LAP-9932</t>
  </si>
  <si>
    <t>ORD-2024-167215</t>
  </si>
  <si>
    <t>CMP-1559</t>
  </si>
  <si>
    <t>ORD-2023-864121</t>
  </si>
  <si>
    <t>PRN-4506</t>
  </si>
  <si>
    <t>ORD-2024-692673</t>
  </si>
  <si>
    <t>Munich</t>
  </si>
  <si>
    <t>CMP-7617</t>
  </si>
  <si>
    <t>ORD-2025-718992</t>
  </si>
  <si>
    <t>Shanghai</t>
  </si>
  <si>
    <t>CMP-8390</t>
  </si>
  <si>
    <t>ORD-2024-599522</t>
  </si>
  <si>
    <t>PRN-7303</t>
  </si>
  <si>
    <t>ORD-2023-651638</t>
  </si>
  <si>
    <t>San Francisco</t>
  </si>
  <si>
    <t>PRN-6536</t>
  </si>
  <si>
    <t>ORD-2024-635626</t>
  </si>
  <si>
    <t>MON-9967</t>
  </si>
  <si>
    <t>ORD-2024-296582</t>
  </si>
  <si>
    <t>Durban</t>
  </si>
  <si>
    <t>NET-1412</t>
  </si>
  <si>
    <t>ORD-2024-998320</t>
  </si>
  <si>
    <t>PRN-3143</t>
  </si>
  <si>
    <t>ORD-2025-820255</t>
  </si>
  <si>
    <t>PRN-9787</t>
  </si>
  <si>
    <t>ORD-2024-389336</t>
  </si>
  <si>
    <t>Vancouver</t>
  </si>
  <si>
    <t>CMP-5946</t>
  </si>
  <si>
    <t>ORD-2023-308124</t>
  </si>
  <si>
    <t>NET-2062</t>
  </si>
  <si>
    <t>ORD-2023-128295</t>
  </si>
  <si>
    <t>PRN-2542</t>
  </si>
  <si>
    <t>ORD-2024-548345</t>
  </si>
  <si>
    <t>NET-2365</t>
  </si>
  <si>
    <t>ORD-2024-966651</t>
  </si>
  <si>
    <t>NET-5268</t>
  </si>
  <si>
    <t>ORD-2023-292714</t>
  </si>
  <si>
    <t>PRN-1504</t>
  </si>
  <si>
    <t>ORD-2024-468501</t>
  </si>
  <si>
    <t>ACC-6348</t>
  </si>
  <si>
    <t>ORD-2024-260775</t>
  </si>
  <si>
    <t>MON-4330</t>
  </si>
  <si>
    <t>ORD-2023-419187</t>
  </si>
  <si>
    <t>LAP-7819</t>
  </si>
  <si>
    <t>ORD-2025-578007</t>
  </si>
  <si>
    <t>LAP-3779</t>
  </si>
  <si>
    <t>ORD-2023-235230</t>
  </si>
  <si>
    <t>NET-9989</t>
  </si>
  <si>
    <t>ORD-2025-765220</t>
  </si>
  <si>
    <t>MON-4925</t>
  </si>
  <si>
    <t>ORD-2025-931538</t>
  </si>
  <si>
    <t>LAP-6989</t>
  </si>
  <si>
    <t>ORD-2024-289089</t>
  </si>
  <si>
    <t>ACC-5780</t>
  </si>
  <si>
    <t>ORD-2025-639542</t>
  </si>
  <si>
    <t>ACC-1770</t>
  </si>
  <si>
    <t>ORD-2025-762301</t>
  </si>
  <si>
    <t>ACC-2252</t>
  </si>
  <si>
    <t>ORD-2024-906395</t>
  </si>
  <si>
    <t>CMP-8002</t>
  </si>
  <si>
    <t>ORD-2025-779574</t>
  </si>
  <si>
    <t>Tokyo</t>
  </si>
  <si>
    <t>CMP-6971</t>
  </si>
  <si>
    <t>ORD-2025-526650</t>
  </si>
  <si>
    <t>Paris</t>
  </si>
  <si>
    <t>PHN-8350</t>
  </si>
  <si>
    <t>ORD-2024-247979</t>
  </si>
  <si>
    <t>Mumbai</t>
  </si>
  <si>
    <t>MON-5188</t>
  </si>
  <si>
    <t>ORD-2023-480975</t>
  </si>
  <si>
    <t>LAP-3393</t>
  </si>
  <si>
    <t>ORD-2023-239789</t>
  </si>
  <si>
    <t>Rio de Janeiro</t>
  </si>
  <si>
    <t>PHN-4644</t>
  </si>
  <si>
    <t>ORD-2023-548874</t>
  </si>
  <si>
    <t>Manchester</t>
  </si>
  <si>
    <t>ACC-9150</t>
  </si>
  <si>
    <t>ORD-2024-347736</t>
  </si>
  <si>
    <t>Nagoya</t>
  </si>
  <si>
    <t>MON-6870</t>
  </si>
  <si>
    <t>ORD-2023-749324</t>
  </si>
  <si>
    <t>MON-2296</t>
  </si>
  <si>
    <t>ORD-2023-809913</t>
  </si>
  <si>
    <t>CMP-7371</t>
  </si>
  <si>
    <t>ORD-2024-287210</t>
  </si>
  <si>
    <t>ACC-2761</t>
  </si>
  <si>
    <t>ORD-2025-640677</t>
  </si>
  <si>
    <t>LAP-4517</t>
  </si>
  <si>
    <t>ORD-2024-939873</t>
  </si>
  <si>
    <t>LAP-8489</t>
  </si>
  <si>
    <t>ORD-2024-800947</t>
  </si>
  <si>
    <t>NET-1846</t>
  </si>
  <si>
    <t>ORD-2023-382272</t>
  </si>
  <si>
    <t>CMP-5208</t>
  </si>
  <si>
    <t>ORD-2023-722117</t>
  </si>
  <si>
    <t>CMP-1009</t>
  </si>
  <si>
    <t>ORD-2024-446699</t>
  </si>
  <si>
    <t>ACC-4490</t>
  </si>
  <si>
    <t>ORD-2024-451005</t>
  </si>
  <si>
    <t>ACC-9162</t>
  </si>
  <si>
    <t>ORD-2023-290279</t>
  </si>
  <si>
    <t>CMP-5820</t>
  </si>
  <si>
    <t>ORD-2024-192263</t>
  </si>
  <si>
    <t>MON-7943</t>
  </si>
  <si>
    <t>ORD-2023-159379</t>
  </si>
  <si>
    <t>Cape Town</t>
  </si>
  <si>
    <t>NET-5018</t>
  </si>
  <si>
    <t>ORD-2023-343322</t>
  </si>
  <si>
    <t>PRN-9669</t>
  </si>
  <si>
    <t>ORD-2025-114382</t>
  </si>
  <si>
    <t>CMP-2865</t>
  </si>
  <si>
    <t>ORD-2025-488349</t>
  </si>
  <si>
    <t>MON-3371</t>
  </si>
  <si>
    <t>ORD-2025-330203</t>
  </si>
  <si>
    <t>NET-7166</t>
  </si>
  <si>
    <t>ORD-2023-841426</t>
  </si>
  <si>
    <t>CMP-4531</t>
  </si>
  <si>
    <t>ORD-2024-594592</t>
  </si>
  <si>
    <t>CMP-8196</t>
  </si>
  <si>
    <t>ORD-2025-863978</t>
  </si>
  <si>
    <t>CMP-2854</t>
  </si>
  <si>
    <t>ORD-2024-604471</t>
  </si>
  <si>
    <t>MON-8973</t>
  </si>
  <si>
    <t>ORD-2023-258768</t>
  </si>
  <si>
    <t>MON-2990</t>
  </si>
  <si>
    <t>ORD-2025-626047</t>
  </si>
  <si>
    <t>NET-1966</t>
  </si>
  <si>
    <t>ORD-2025-526752</t>
  </si>
  <si>
    <t>Hyderabad</t>
  </si>
  <si>
    <t>PHN-3482</t>
  </si>
  <si>
    <t>ORD-2023-374486</t>
  </si>
  <si>
    <t>PRN-6490</t>
  </si>
  <si>
    <t>ORD-2024-997336</t>
  </si>
  <si>
    <t>ACC-9038</t>
  </si>
  <si>
    <t>ORD-2025-725646</t>
  </si>
  <si>
    <t>PHN-6954</t>
  </si>
  <si>
    <t>ORD-2023-868734</t>
  </si>
  <si>
    <t>PRN-8970</t>
  </si>
  <si>
    <t>ORD-2025-262491</t>
  </si>
  <si>
    <t>MON-1822</t>
  </si>
  <si>
    <t>ORD-2024-638884</t>
  </si>
  <si>
    <t>ACC-5177</t>
  </si>
  <si>
    <t>ORD-2025-541501</t>
  </si>
  <si>
    <t>NET-1804</t>
  </si>
  <si>
    <t>ORD-2023-422918</t>
  </si>
  <si>
    <t>LAP-3679</t>
  </si>
  <si>
    <t>ORD-2025-328504</t>
  </si>
  <si>
    <t>PHN-8368</t>
  </si>
  <si>
    <t>ORD-2024-851883</t>
  </si>
  <si>
    <t>CMP-8141</t>
  </si>
  <si>
    <t>ORD-2025-662997</t>
  </si>
  <si>
    <t>LAP-7136</t>
  </si>
  <si>
    <t>ORD-2024-478165</t>
  </si>
  <si>
    <t>ACC-2386</t>
  </si>
  <si>
    <t>ORD-2024-771210</t>
  </si>
  <si>
    <t>LAP-5150</t>
  </si>
  <si>
    <t>ORD-2024-155337</t>
  </si>
  <si>
    <t>CMP-8101</t>
  </si>
  <si>
    <t>ORD-2023-251563</t>
  </si>
  <si>
    <t>PHN-8970</t>
  </si>
  <si>
    <t>ORD-2024-286833</t>
  </si>
  <si>
    <t>PHN-2341</t>
  </si>
  <si>
    <t>ORD-2024-792558</t>
  </si>
  <si>
    <t>NET-6387</t>
  </si>
  <si>
    <t>ORD-2024-166150</t>
  </si>
  <si>
    <t>ACC-9820</t>
  </si>
  <si>
    <t>ORD-2024-909942</t>
  </si>
  <si>
    <t>CMP-6392</t>
  </si>
  <si>
    <t>ORD-2024-223618</t>
  </si>
  <si>
    <t>LAP-9230</t>
  </si>
  <si>
    <t>ORD-2024-919471</t>
  </si>
  <si>
    <t>NET-4241</t>
  </si>
  <si>
    <t>ORD-2025-649239</t>
  </si>
  <si>
    <t>Austin</t>
  </si>
  <si>
    <t>ACC-4511</t>
  </si>
  <si>
    <t>ORD-2023-975863</t>
  </si>
  <si>
    <t>NET-3033</t>
  </si>
  <si>
    <t>ORD-2023-869884</t>
  </si>
  <si>
    <t>MON-2828</t>
  </si>
  <si>
    <t>ORD-2025-698069</t>
  </si>
  <si>
    <t>PRN-6429</t>
  </si>
  <si>
    <t>ORD-2024-474999</t>
  </si>
  <si>
    <t>Frankfurt</t>
  </si>
  <si>
    <t>LAP-8214</t>
  </si>
  <si>
    <t>ORD-2023-427304</t>
  </si>
  <si>
    <t>Beijing</t>
  </si>
  <si>
    <t>MON-9194</t>
  </si>
  <si>
    <t>ORD-2025-956101</t>
  </si>
  <si>
    <t>LAP-2218</t>
  </si>
  <si>
    <t>ORD-2025-184082</t>
  </si>
  <si>
    <t>NET-6370</t>
  </si>
  <si>
    <t>ORD-2023-576840</t>
  </si>
  <si>
    <t>MON-3745</t>
  </si>
  <si>
    <t>ORD-2023-178249</t>
  </si>
  <si>
    <t>PHN-7924</t>
  </si>
  <si>
    <t>ORD-2024-588972</t>
  </si>
  <si>
    <t>NET-8561</t>
  </si>
  <si>
    <t>ORD-2023-603238</t>
  </si>
  <si>
    <t>CMP-2136</t>
  </si>
  <si>
    <t>ORD-2023-883066</t>
  </si>
  <si>
    <t>CMP-6352</t>
  </si>
  <si>
    <t>ORD-2024-584090</t>
  </si>
  <si>
    <t>CMP-2040</t>
  </si>
  <si>
    <t>ORD-2025-537785</t>
  </si>
  <si>
    <t>CMP-6346</t>
  </si>
  <si>
    <t>ORD-2024-605518</t>
  </si>
  <si>
    <t>PHN-4356</t>
  </si>
  <si>
    <t>ORD-2023-521818</t>
  </si>
  <si>
    <t>NET-4155</t>
  </si>
  <si>
    <t>ORD-2025-650719</t>
  </si>
  <si>
    <t>MON-5179</t>
  </si>
  <si>
    <t>ORD-2025-501927</t>
  </si>
  <si>
    <t>ACC-4056</t>
  </si>
  <si>
    <t>ORD-2023-430904</t>
  </si>
  <si>
    <t>LAP-9782</t>
  </si>
  <si>
    <t>ORD-2025-354346</t>
  </si>
  <si>
    <t>PHN-2875</t>
  </si>
  <si>
    <t>ORD-2024-164288</t>
  </si>
  <si>
    <t>PRN-4788</t>
  </si>
  <si>
    <t>ORD-2023-867285</t>
  </si>
  <si>
    <t>MON-3043</t>
  </si>
  <si>
    <t>ORD-2024-836421</t>
  </si>
  <si>
    <t>CMP-3720</t>
  </si>
  <si>
    <t>ORD-2023-613287</t>
  </si>
  <si>
    <t>PHN-8014</t>
  </si>
  <si>
    <t>ORD-2024-783321</t>
  </si>
  <si>
    <t>PRN-4911</t>
  </si>
  <si>
    <t>ORD-2024-232632</t>
  </si>
  <si>
    <t>ACC-1021</t>
  </si>
  <si>
    <t>ORD-2023-906481</t>
  </si>
  <si>
    <t>MON-2266</t>
  </si>
  <si>
    <t>ORD-2024-902741</t>
  </si>
  <si>
    <t>PHN-8057</t>
  </si>
  <si>
    <t>ORD-2023-912395</t>
  </si>
  <si>
    <t>New York</t>
  </si>
  <si>
    <t>ACC-7078</t>
  </si>
  <si>
    <t>ORD-2024-389102</t>
  </si>
  <si>
    <t>PRN-4453</t>
  </si>
  <si>
    <t>ORD-2023-309373</t>
  </si>
  <si>
    <t>NET-2394</t>
  </si>
  <si>
    <t>ORD-2023-825495</t>
  </si>
  <si>
    <t>LAP-1525</t>
  </si>
  <si>
    <t>ORD-2025-244832</t>
  </si>
  <si>
    <t>LAP-3278</t>
  </si>
  <si>
    <t>ORD-2024-211453</t>
  </si>
  <si>
    <t>ACC-6543</t>
  </si>
  <si>
    <t>ORD-2023-192324</t>
  </si>
  <si>
    <t>PRN-4432</t>
  </si>
  <si>
    <t>ORD-2024-438404</t>
  </si>
  <si>
    <t>PHN-4568</t>
  </si>
  <si>
    <t>ORD-2025-246470</t>
  </si>
  <si>
    <t>PRN-6178</t>
  </si>
  <si>
    <t>ORD-2023-497686</t>
  </si>
  <si>
    <t>LAP-6342</t>
  </si>
  <si>
    <t>ORD-2023-596758</t>
  </si>
  <si>
    <t>PRN-8175</t>
  </si>
  <si>
    <t>ORD-2024-201376</t>
  </si>
  <si>
    <t>PRN-7089</t>
  </si>
  <si>
    <t>ORD-2023-842488</t>
  </si>
  <si>
    <t>ACC-4124</t>
  </si>
  <si>
    <t>ORD-2024-136321</t>
  </si>
  <si>
    <t>NET-7924</t>
  </si>
  <si>
    <t>ORD-2024-764468</t>
  </si>
  <si>
    <t>NET-8761</t>
  </si>
  <si>
    <t>ORD-2024-553449</t>
  </si>
  <si>
    <t>CMP-3875</t>
  </si>
  <si>
    <t>ORD-2025-766923</t>
  </si>
  <si>
    <t>ACC-3989</t>
  </si>
  <si>
    <t>ORD-2025-418232</t>
  </si>
  <si>
    <t>PHN-9234</t>
  </si>
  <si>
    <t>ORD-2023-848013</t>
  </si>
  <si>
    <t>MON-9906</t>
  </si>
  <si>
    <t>ORD-2024-357368</t>
  </si>
  <si>
    <t>CMP-4610</t>
  </si>
  <si>
    <t>ORD-2024-219735</t>
  </si>
  <si>
    <t>PHN-5445</t>
  </si>
  <si>
    <t>ORD-2023-240507</t>
  </si>
  <si>
    <t>MON-9227</t>
  </si>
  <si>
    <t>ORD-2024-134084</t>
  </si>
  <si>
    <t>PRN-4097</t>
  </si>
  <si>
    <t>ORD-2023-884625</t>
  </si>
  <si>
    <t>MON-6699</t>
  </si>
  <si>
    <t>ORD-2023-157993</t>
  </si>
  <si>
    <t>LAP-1482</t>
  </si>
  <si>
    <t>ORD-2024-329104</t>
  </si>
  <si>
    <t>MON-2100</t>
  </si>
  <si>
    <t>ORD-2023-304451</t>
  </si>
  <si>
    <t>MON-7602</t>
  </si>
  <si>
    <t>ORD-2024-942981</t>
  </si>
  <si>
    <t>CMP-1072</t>
  </si>
  <si>
    <t>ORD-2024-605629</t>
  </si>
  <si>
    <t>ACC-2735</t>
  </si>
  <si>
    <t>ORD-2023-450877</t>
  </si>
  <si>
    <t>CMP-5211</t>
  </si>
  <si>
    <t>ORD-2023-286994</t>
  </si>
  <si>
    <t>CMP-1632</t>
  </si>
  <si>
    <t>ORD-2025-700847</t>
  </si>
  <si>
    <t>LAP-7099</t>
  </si>
  <si>
    <t>ORD-2024-970848</t>
  </si>
  <si>
    <t>PRN-3785</t>
  </si>
  <si>
    <t>ORD-2025-845715</t>
  </si>
  <si>
    <t>MON-6962</t>
  </si>
  <si>
    <t>ORD-2023-664749</t>
  </si>
  <si>
    <t>PRN-5107</t>
  </si>
  <si>
    <t>ORD-2024-960952</t>
  </si>
  <si>
    <t>CMP-9264</t>
  </si>
  <si>
    <t>ORD-2023-987700</t>
  </si>
  <si>
    <t>MON-5259</t>
  </si>
  <si>
    <t>ORD-2025-652467</t>
  </si>
  <si>
    <t>PRN-8137</t>
  </si>
  <si>
    <t>ORD-2025-667201</t>
  </si>
  <si>
    <t>ACC-6777</t>
  </si>
  <si>
    <t>ORD-2024-237478</t>
  </si>
  <si>
    <t>PHN-7488</t>
  </si>
  <si>
    <t>ORD-2025-898843</t>
  </si>
  <si>
    <t>ACC-9591</t>
  </si>
  <si>
    <t>ORD-2023-334213</t>
  </si>
  <si>
    <t>MON-5517</t>
  </si>
  <si>
    <t>ORD-2024-640340</t>
  </si>
  <si>
    <t>MON-8758</t>
  </si>
  <si>
    <t>ORD-2023-399631</t>
  </si>
  <si>
    <t>ACC-3385</t>
  </si>
  <si>
    <t>ORD-2025-542939</t>
  </si>
  <si>
    <t>MON-1593</t>
  </si>
  <si>
    <t>ACC-4631</t>
  </si>
  <si>
    <t>ORD-2023-825836</t>
  </si>
  <si>
    <t>MON-7869</t>
  </si>
  <si>
    <t>ORD-2024-503082</t>
  </si>
  <si>
    <t>MON-4271</t>
  </si>
  <si>
    <t>ORD-2024-760799</t>
  </si>
  <si>
    <t>LAP-5531</t>
  </si>
  <si>
    <t>ORD-2023-197661</t>
  </si>
  <si>
    <t>MON-7511</t>
  </si>
  <si>
    <t>ORD-2024-212990</t>
  </si>
  <si>
    <t>LAP-7979</t>
  </si>
  <si>
    <t>ORD-2023-925146</t>
  </si>
  <si>
    <t>PRN-4983</t>
  </si>
  <si>
    <t>ORD-2023-177794</t>
  </si>
  <si>
    <t>NET-5941</t>
  </si>
  <si>
    <t>ORD-2024-444710</t>
  </si>
  <si>
    <t>MON-6341</t>
  </si>
  <si>
    <t>ORD-2024-668926</t>
  </si>
  <si>
    <t>PHN-9789</t>
  </si>
  <si>
    <t>ORD-2024-968374</t>
  </si>
  <si>
    <t>PHN-5082</t>
  </si>
  <si>
    <t>ORD-2023-575584</t>
  </si>
  <si>
    <t>NET-3460</t>
  </si>
  <si>
    <t>ORD-2023-701153</t>
  </si>
  <si>
    <t>PRN-7019</t>
  </si>
  <si>
    <t>ORD-2023-382017</t>
  </si>
  <si>
    <t>PHN-3159</t>
  </si>
  <si>
    <t>ORD-2024-999607</t>
  </si>
  <si>
    <t>PRN-8604</t>
  </si>
  <si>
    <t>ORD-2023-133848</t>
  </si>
  <si>
    <t>PHN-2013</t>
  </si>
  <si>
    <t>ORD-2023-586275</t>
  </si>
  <si>
    <t>NET-6036</t>
  </si>
  <si>
    <t>ORD-2025-964661</t>
  </si>
  <si>
    <t>MON-4959</t>
  </si>
  <si>
    <t>ORD-2023-390998</t>
  </si>
  <si>
    <t>MON-1663</t>
  </si>
  <si>
    <t>ORD-2023-920483</t>
  </si>
  <si>
    <t>CMP-7256</t>
  </si>
  <si>
    <t>ORD-2025-146850</t>
  </si>
  <si>
    <t>ACC-1659</t>
  </si>
  <si>
    <t>ORD-2024-687100</t>
  </si>
  <si>
    <t>PRN-6068</t>
  </si>
  <si>
    <t>ORD-2025-629393</t>
  </si>
  <si>
    <t>ACC-8999</t>
  </si>
  <si>
    <t>ORD-2024-686712</t>
  </si>
  <si>
    <t>CMP-3978</t>
  </si>
  <si>
    <t>ORD-2025-586799</t>
  </si>
  <si>
    <t>MON-7868</t>
  </si>
  <si>
    <t>ORD-2024-988736</t>
  </si>
  <si>
    <t>PRN-3014</t>
  </si>
  <si>
    <t>ORD-2025-564184</t>
  </si>
  <si>
    <t>PHN-1671</t>
  </si>
  <si>
    <t>ORD-2023-653343</t>
  </si>
  <si>
    <t>ACC-5260</t>
  </si>
  <si>
    <t>ORD-2024-197852</t>
  </si>
  <si>
    <t>NET-7588</t>
  </si>
  <si>
    <t>ORD-2023-431328</t>
  </si>
  <si>
    <t>MON-1572</t>
  </si>
  <si>
    <t>ORD-2023-613317</t>
  </si>
  <si>
    <t>MON-2537</t>
  </si>
  <si>
    <t>ORD-2024-720756</t>
  </si>
  <si>
    <t>PRN-5666</t>
  </si>
  <si>
    <t>ORD-2024-777623</t>
  </si>
  <si>
    <t>PRN-2749</t>
  </si>
  <si>
    <t>ORD-2025-762212</t>
  </si>
  <si>
    <t>CMP-4970</t>
  </si>
  <si>
    <t>ORD-2023-271918</t>
  </si>
  <si>
    <t>ACC-3551</t>
  </si>
  <si>
    <t>ORD-2023-713375</t>
  </si>
  <si>
    <t>CMP-7063</t>
  </si>
  <si>
    <t>ORD-2025-678688</t>
  </si>
  <si>
    <t>NET-1612</t>
  </si>
  <si>
    <t>ORD-2023-501220</t>
  </si>
  <si>
    <t>LAP-9766</t>
  </si>
  <si>
    <t>ORD-2023-195665</t>
  </si>
  <si>
    <t>PHN-7274</t>
  </si>
  <si>
    <t>ORD-2023-290237</t>
  </si>
  <si>
    <t>NET-1645</t>
  </si>
  <si>
    <t>ORD-2023-302041</t>
  </si>
  <si>
    <t>ACC-5079</t>
  </si>
  <si>
    <t>ORD-2025-289139</t>
  </si>
  <si>
    <t>PRN-2098</t>
  </si>
  <si>
    <t>ORD-2023-949710</t>
  </si>
  <si>
    <t>PRN-7049</t>
  </si>
  <si>
    <t>ORD-2023-603650</t>
  </si>
  <si>
    <t>CMP-6925</t>
  </si>
  <si>
    <t>ORD-2025-757957</t>
  </si>
  <si>
    <t>PHN-2787</t>
  </si>
  <si>
    <t>ORD-2024-423853</t>
  </si>
  <si>
    <t>PRN-1141</t>
  </si>
  <si>
    <t>ORD-2024-569164</t>
  </si>
  <si>
    <t>MON-5249</t>
  </si>
  <si>
    <t>ORD-2023-946143</t>
  </si>
  <si>
    <t>CMP-8230</t>
  </si>
  <si>
    <t>ORD-2024-281211</t>
  </si>
  <si>
    <t>PRN-7816</t>
  </si>
  <si>
    <t>ORD-2024-805860</t>
  </si>
  <si>
    <t>PHN-8804</t>
  </si>
  <si>
    <t>ORD-2025-132174</t>
  </si>
  <si>
    <t>CMP-8851</t>
  </si>
  <si>
    <t>ORD-2023-964434</t>
  </si>
  <si>
    <t>PHN-2447</t>
  </si>
  <si>
    <t>ORD-2024-897622</t>
  </si>
  <si>
    <t>LAP-2846</t>
  </si>
  <si>
    <t>ORD-2023-517216</t>
  </si>
  <si>
    <t>PRN-5005</t>
  </si>
  <si>
    <t>ORD-2025-509940</t>
  </si>
  <si>
    <t>PHN-3800</t>
  </si>
  <si>
    <t>ORD-2025-646342</t>
  </si>
  <si>
    <t>LAP-4828</t>
  </si>
  <si>
    <t>ORD-2024-866535</t>
  </si>
  <si>
    <t>PRN-5492</t>
  </si>
  <si>
    <t>ORD-2023-747341</t>
  </si>
  <si>
    <t>PHN-7132</t>
  </si>
  <si>
    <t>ORD-2024-853298</t>
  </si>
  <si>
    <t>PHN-4741</t>
  </si>
  <si>
    <t>ORD-2024-544865</t>
  </si>
  <si>
    <t>LAP-2774</t>
  </si>
  <si>
    <t>ORD-2025-946490</t>
  </si>
  <si>
    <t>MON-2842</t>
  </si>
  <si>
    <t>ORD-2024-320972</t>
  </si>
  <si>
    <t>NET-2628</t>
  </si>
  <si>
    <t>ORD-2025-248586</t>
  </si>
  <si>
    <t>MON-2998</t>
  </si>
  <si>
    <t>ORD-2024-664046</t>
  </si>
  <si>
    <t>CMP-7563</t>
  </si>
  <si>
    <t>ORD-2023-276806</t>
  </si>
  <si>
    <t>LAP-6160</t>
  </si>
  <si>
    <t>ORD-2024-220234</t>
  </si>
  <si>
    <t>MON-4361</t>
  </si>
  <si>
    <t>ORD-2024-301260</t>
  </si>
  <si>
    <t>PRN-2829</t>
  </si>
  <si>
    <t>ORD-2024-350100</t>
  </si>
  <si>
    <t>MON-8939</t>
  </si>
  <si>
    <t>ORD-2024-855600</t>
  </si>
  <si>
    <t>LAP-5009</t>
  </si>
  <si>
    <t>ORD-2023-474313</t>
  </si>
  <si>
    <t>CMP-4807</t>
  </si>
  <si>
    <t>ORD-2023-256951</t>
  </si>
  <si>
    <t>NET-2439</t>
  </si>
  <si>
    <t>ORD-2025-184754</t>
  </si>
  <si>
    <t>MON-7626</t>
  </si>
  <si>
    <t>ORD-2023-888140</t>
  </si>
  <si>
    <t>ACC-3567</t>
  </si>
  <si>
    <t>ORD-2023-638181</t>
  </si>
  <si>
    <t>CMP-4630</t>
  </si>
  <si>
    <t>ORD-2023-521280</t>
  </si>
  <si>
    <t>ACC-1882</t>
  </si>
  <si>
    <t>ORD-2023-630430</t>
  </si>
  <si>
    <t>NET-9125</t>
  </si>
  <si>
    <t>ORD-2025-908258</t>
  </si>
  <si>
    <t>PHN-3819</t>
  </si>
  <si>
    <t>ORD-2025-440093</t>
  </si>
  <si>
    <t>LAP-3490</t>
  </si>
  <si>
    <t>ORD-2025-898022</t>
  </si>
  <si>
    <t>PRN-1276</t>
  </si>
  <si>
    <t>ORD-2024-500511</t>
  </si>
  <si>
    <t>MON-9733</t>
  </si>
  <si>
    <t>ORD-2023-632893</t>
  </si>
  <si>
    <t>CMP-9392</t>
  </si>
  <si>
    <t>ORD-2023-967239</t>
  </si>
  <si>
    <t>PHN-3014</t>
  </si>
  <si>
    <t>ORD-2024-885858</t>
  </si>
  <si>
    <t>PRN-6776</t>
  </si>
  <si>
    <t>ORD-2023-253245</t>
  </si>
  <si>
    <t>ACC-3951</t>
  </si>
  <si>
    <t>ORD-2025-484073</t>
  </si>
  <si>
    <t>MON-1436</t>
  </si>
  <si>
    <t>ORD-2024-745822</t>
  </si>
  <si>
    <t>MON-8651</t>
  </si>
  <si>
    <t>ORD-2023-369160</t>
  </si>
  <si>
    <t>MON-3307</t>
  </si>
  <si>
    <t>ORD-2024-834983</t>
  </si>
  <si>
    <t>PRN-8758</t>
  </si>
  <si>
    <t>ORD-2024-499009</t>
  </si>
  <si>
    <t>LAP-7056</t>
  </si>
  <si>
    <t>ORD-2024-948800</t>
  </si>
  <si>
    <t>NET-5523</t>
  </si>
  <si>
    <t>ORD-2025-678328</t>
  </si>
  <si>
    <t>ACC-8094</t>
  </si>
  <si>
    <t>ORD-2024-580808</t>
  </si>
  <si>
    <t>PHN-6832</t>
  </si>
  <si>
    <t>ORD-2023-211715</t>
  </si>
  <si>
    <t>LAP-2378</t>
  </si>
  <si>
    <t>ORD-2023-715175</t>
  </si>
  <si>
    <t>MON-5424</t>
  </si>
  <si>
    <t>ORD-2025-685236</t>
  </si>
  <si>
    <t>NET-8430</t>
  </si>
  <si>
    <t>ORD-2023-274037</t>
  </si>
  <si>
    <t>PHN-1234</t>
  </si>
  <si>
    <t>ORD-2025-983096</t>
  </si>
  <si>
    <t>LAP-9016</t>
  </si>
  <si>
    <t>ORD-2024-366010</t>
  </si>
  <si>
    <t>LAP-9931</t>
  </si>
  <si>
    <t>ORD-2023-610470</t>
  </si>
  <si>
    <t>PHN-6818</t>
  </si>
  <si>
    <t>ORD-2025-541048</t>
  </si>
  <si>
    <t>PHN-3803</t>
  </si>
  <si>
    <t>ORD-2024-862371</t>
  </si>
  <si>
    <t>NET-9835</t>
  </si>
  <si>
    <t>ORD-2024-277241</t>
  </si>
  <si>
    <t>ACC-6223</t>
  </si>
  <si>
    <t>ORD-2023-369150</t>
  </si>
  <si>
    <t>CMP-8659</t>
  </si>
  <si>
    <t>ORD-2025-922513</t>
  </si>
  <si>
    <t>ACC-4483</t>
  </si>
  <si>
    <t>ORD-2025-752845</t>
  </si>
  <si>
    <t>PRN-8763</t>
  </si>
  <si>
    <t>ORD-2023-667815</t>
  </si>
  <si>
    <t>ACC-8557</t>
  </si>
  <si>
    <t>ORD-2023-375011</t>
  </si>
  <si>
    <t>ACC-1492</t>
  </si>
  <si>
    <t>ORD-2025-487025</t>
  </si>
  <si>
    <t>CMP-3743</t>
  </si>
  <si>
    <t>ORD-2025-398335</t>
  </si>
  <si>
    <t>LAP-1619</t>
  </si>
  <si>
    <t>ORD-2024-792137</t>
  </si>
  <si>
    <t>PRN-7976</t>
  </si>
  <si>
    <t>ORD-2023-602648</t>
  </si>
  <si>
    <t>MON-4326</t>
  </si>
  <si>
    <t>ORD-2024-207096</t>
  </si>
  <si>
    <t>MON-5444</t>
  </si>
  <si>
    <t>ORD-2025-939953</t>
  </si>
  <si>
    <t>ACC-5422</t>
  </si>
  <si>
    <t>ORD-2025-191328</t>
  </si>
  <si>
    <t>CMP-9307</t>
  </si>
  <si>
    <t>ORD-2023-166668</t>
  </si>
  <si>
    <t>PRN-6520</t>
  </si>
  <si>
    <t>ORD-2023-594700</t>
  </si>
  <si>
    <t>NET-1699</t>
  </si>
  <si>
    <t>ORD-2025-278048</t>
  </si>
  <si>
    <t>PHN-5316</t>
  </si>
  <si>
    <t>ORD-2024-878493</t>
  </si>
  <si>
    <t>LAP-4607</t>
  </si>
  <si>
    <t>ORD-2025-138578</t>
  </si>
  <si>
    <t>MON-5276</t>
  </si>
  <si>
    <t>ORD-2025-944081</t>
  </si>
  <si>
    <t>ACC-9533</t>
  </si>
  <si>
    <t>ORD-2025-364852</t>
  </si>
  <si>
    <t>NET-3749</t>
  </si>
  <si>
    <t>ORD-2025-415018</t>
  </si>
  <si>
    <t>PRN-2991</t>
  </si>
  <si>
    <t>ORD-2023-884192</t>
  </si>
  <si>
    <t>LAP-4551</t>
  </si>
  <si>
    <t>ORD-2024-165942</t>
  </si>
  <si>
    <t>MON-6310</t>
  </si>
  <si>
    <t>ORD-2024-403664</t>
  </si>
  <si>
    <t>NET-1166</t>
  </si>
  <si>
    <t>ORD-2023-890605</t>
  </si>
  <si>
    <t>ACC-2903</t>
  </si>
  <si>
    <t>ORD-2024-925626</t>
  </si>
  <si>
    <t>PRN-2293</t>
  </si>
  <si>
    <t>ORD-2024-427031</t>
  </si>
  <si>
    <t>MON-1389</t>
  </si>
  <si>
    <t>ORD-2025-231184</t>
  </si>
  <si>
    <t>CMP-4093</t>
  </si>
  <si>
    <t>ORD-2023-363031</t>
  </si>
  <si>
    <t>PHN-6131</t>
  </si>
  <si>
    <t>ORD-2023-619570</t>
  </si>
  <si>
    <t>NET-4104</t>
  </si>
  <si>
    <t>ORD-2025-861401</t>
  </si>
  <si>
    <t>MON-9319</t>
  </si>
  <si>
    <t>ORD-2023-835010</t>
  </si>
  <si>
    <t>ACC-2988</t>
  </si>
  <si>
    <t>ORD-2024-819979</t>
  </si>
  <si>
    <t>PHN-9399</t>
  </si>
  <si>
    <t>ORD-2024-719055</t>
  </si>
  <si>
    <t>NET-4554</t>
  </si>
  <si>
    <t>ORD-2023-888245</t>
  </si>
  <si>
    <t>NET-5195</t>
  </si>
  <si>
    <t>ORD-2024-206121</t>
  </si>
  <si>
    <t>CMP-9801</t>
  </si>
  <si>
    <t>ORD-2024-500890</t>
  </si>
  <si>
    <t>CMP-3093</t>
  </si>
  <si>
    <t>ORD-2023-144816</t>
  </si>
  <si>
    <t>ACC-2364</t>
  </si>
  <si>
    <t>ORD-2024-153053</t>
  </si>
  <si>
    <t>CMP-5138</t>
  </si>
  <si>
    <t>ORD-2023-536542</t>
  </si>
  <si>
    <t>PHN-2337</t>
  </si>
  <si>
    <t>ORD-2025-779530</t>
  </si>
  <si>
    <t>MON-2993</t>
  </si>
  <si>
    <t>ORD-2023-163610</t>
  </si>
  <si>
    <t>LAP-9024</t>
  </si>
  <si>
    <t>ORD-2025-653781</t>
  </si>
  <si>
    <t>PHN-6307</t>
  </si>
  <si>
    <t>ORD-2025-737787</t>
  </si>
  <si>
    <t>NET-9003</t>
  </si>
  <si>
    <t>ORD-2023-944052</t>
  </si>
  <si>
    <t>ACC-3068</t>
  </si>
  <si>
    <t>ORD-2023-181257</t>
  </si>
  <si>
    <t>ACC-1060</t>
  </si>
  <si>
    <t>ORD-2025-323492</t>
  </si>
  <si>
    <t>PHN-3854</t>
  </si>
  <si>
    <t>ORD-2024-332076</t>
  </si>
  <si>
    <t>PRN-1086</t>
  </si>
  <si>
    <t>ORD-2024-571797</t>
  </si>
  <si>
    <t>PHN-7815</t>
  </si>
  <si>
    <t>ORD-2024-129345</t>
  </si>
  <si>
    <t>PRN-5384</t>
  </si>
  <si>
    <t>ORD-2023-660608</t>
  </si>
  <si>
    <t>ACC-8178</t>
  </si>
  <si>
    <t>ORD-2023-825084</t>
  </si>
  <si>
    <t>MON-1018</t>
  </si>
  <si>
    <t>ORD-2023-261081</t>
  </si>
  <si>
    <t>ACC-1238</t>
  </si>
  <si>
    <t>ORD-2023-766015</t>
  </si>
  <si>
    <t>NET-1816</t>
  </si>
  <si>
    <t>ORD-2024-333192</t>
  </si>
  <si>
    <t>PRN-4893</t>
  </si>
  <si>
    <t>ORD-2024-647473</t>
  </si>
  <si>
    <t>PHN-1717</t>
  </si>
  <si>
    <t>ORD-2024-892908</t>
  </si>
  <si>
    <t>NET-9575</t>
  </si>
  <si>
    <t>ORD-2023-573146</t>
  </si>
  <si>
    <t>LAP-3604</t>
  </si>
  <si>
    <t>ORD-2024-901115</t>
  </si>
  <si>
    <t>ACC-6626</t>
  </si>
  <si>
    <t>ORD-2023-898009</t>
  </si>
  <si>
    <t>PHN-1670</t>
  </si>
  <si>
    <t>ORD-2023-208944</t>
  </si>
  <si>
    <t>CMP-4792</t>
  </si>
  <si>
    <t>ORD-2025-480172</t>
  </si>
  <si>
    <t>LAP-1990</t>
  </si>
  <si>
    <t>ORD-2023-735274</t>
  </si>
  <si>
    <t>PRN-7410</t>
  </si>
  <si>
    <t>ORD-2023-212701</t>
  </si>
  <si>
    <t>MON-4278</t>
  </si>
  <si>
    <t>ORD-2023-479747</t>
  </si>
  <si>
    <t>ACC-5334</t>
  </si>
  <si>
    <t>ORD-2024-915495</t>
  </si>
  <si>
    <t>NET-8957</t>
  </si>
  <si>
    <t>ORD-2024-225829</t>
  </si>
  <si>
    <t>PRN-9960</t>
  </si>
  <si>
    <t>ORD-2024-921935</t>
  </si>
  <si>
    <t>ACC-3103</t>
  </si>
  <si>
    <t>ORD-2025-949776</t>
  </si>
  <si>
    <t>PRN-9490</t>
  </si>
  <si>
    <t>ORD-2024-510591</t>
  </si>
  <si>
    <t>NET-3850</t>
  </si>
  <si>
    <t>ORD-2024-961756</t>
  </si>
  <si>
    <t>ACC-7047</t>
  </si>
  <si>
    <t>ORD-2024-892173</t>
  </si>
  <si>
    <t>PRN-6660</t>
  </si>
  <si>
    <t>ORD-2024-704056</t>
  </si>
  <si>
    <t>ACC-7838</t>
  </si>
  <si>
    <t>ORD-2025-591006</t>
  </si>
  <si>
    <t>PHN-5383</t>
  </si>
  <si>
    <t>ORD-2023-159821</t>
  </si>
  <si>
    <t>LAP-3904</t>
  </si>
  <si>
    <t>ORD-2024-343877</t>
  </si>
  <si>
    <t>MON-5749</t>
  </si>
  <si>
    <t>ORD-2023-386663</t>
  </si>
  <si>
    <t>PRN-3690</t>
  </si>
  <si>
    <t>ORD-2025-125517</t>
  </si>
  <si>
    <t>CMP-7055</t>
  </si>
  <si>
    <t>ORD-2024-819778</t>
  </si>
  <si>
    <t>PHN-6866</t>
  </si>
  <si>
    <t>ORD-2025-624006</t>
  </si>
  <si>
    <t>CMP-3259</t>
  </si>
  <si>
    <t>ORD-2023-132101</t>
  </si>
  <si>
    <t>LAP-6750</t>
  </si>
  <si>
    <t>ORD-2025-306903</t>
  </si>
  <si>
    <t>PRN-3775</t>
  </si>
  <si>
    <t>ORD-2023-813340</t>
  </si>
  <si>
    <t>LAP-2942</t>
  </si>
  <si>
    <t>ORD-2023-855675</t>
  </si>
  <si>
    <t>PHN-2036</t>
  </si>
  <si>
    <t>ORD-2023-545150</t>
  </si>
  <si>
    <t>MON-4373</t>
  </si>
  <si>
    <t>ORD-2025-269934</t>
  </si>
  <si>
    <t>PRN-8657</t>
  </si>
  <si>
    <t>ORD-2024-690270</t>
  </si>
  <si>
    <t>PHN-7974</t>
  </si>
  <si>
    <t>ORD-2024-868223</t>
  </si>
  <si>
    <t>PHN-4915</t>
  </si>
  <si>
    <t>ORD-2025-188059</t>
  </si>
  <si>
    <t>NET-3535</t>
  </si>
  <si>
    <t>ORD-2023-281890</t>
  </si>
  <si>
    <t>CMP-2574</t>
  </si>
  <si>
    <t>ORD-2025-636162</t>
  </si>
  <si>
    <t>NET-7901</t>
  </si>
  <si>
    <t>ORD-2025-915869</t>
  </si>
  <si>
    <t>NET-5482</t>
  </si>
  <si>
    <t>ORD-2025-192876</t>
  </si>
  <si>
    <t>ORD-2025-822030</t>
  </si>
  <si>
    <t>NET-1336</t>
  </si>
  <si>
    <t>ORD-2025-789245</t>
  </si>
  <si>
    <t>PRN-5876</t>
  </si>
  <si>
    <t>ORD-2023-594955</t>
  </si>
  <si>
    <t>NET-3828</t>
  </si>
  <si>
    <t>ORD-2024-398783</t>
  </si>
  <si>
    <t>MON-7622</t>
  </si>
  <si>
    <t>ORD-2023-676553</t>
  </si>
  <si>
    <t>LAP-2806</t>
  </si>
  <si>
    <t>ORD-2025-866565</t>
  </si>
  <si>
    <t>PRN-8850</t>
  </si>
  <si>
    <t>ORD-2024-527858</t>
  </si>
  <si>
    <t>LAP-9100</t>
  </si>
  <si>
    <t>ORD-2023-619385</t>
  </si>
  <si>
    <t>LAP-5763</t>
  </si>
  <si>
    <t>ORD-2023-835226</t>
  </si>
  <si>
    <t>LAP-7320</t>
  </si>
  <si>
    <t>ORD-2025-485946</t>
  </si>
  <si>
    <t>MON-5891</t>
  </si>
  <si>
    <t>ORD-2024-307849</t>
  </si>
  <si>
    <t>PRN-1183</t>
  </si>
  <si>
    <t>ORD-2023-368449</t>
  </si>
  <si>
    <t>CMP-2096</t>
  </si>
  <si>
    <t>ORD-2024-251426</t>
  </si>
  <si>
    <t>PHN-3398</t>
  </si>
  <si>
    <t>ORD-2023-927385</t>
  </si>
  <si>
    <t>CMP-8545</t>
  </si>
  <si>
    <t>ORD-2025-486350</t>
  </si>
  <si>
    <t>ACC-1249</t>
  </si>
  <si>
    <t>ORD-2025-677880</t>
  </si>
  <si>
    <t>MON-9662</t>
  </si>
  <si>
    <t>ORD-2024-102866</t>
  </si>
  <si>
    <t>LAP-8347</t>
  </si>
  <si>
    <t>ORD-2025-588029</t>
  </si>
  <si>
    <t>CMP-6898</t>
  </si>
  <si>
    <t>ORD-2024-972999</t>
  </si>
  <si>
    <t>MON-3504</t>
  </si>
  <si>
    <t>ORD-2025-608069</t>
  </si>
  <si>
    <t>NET-3432</t>
  </si>
  <si>
    <t>ORD-2024-626750</t>
  </si>
  <si>
    <t>PRN-5591</t>
  </si>
  <si>
    <t>ORD-2024-170021</t>
  </si>
  <si>
    <t>CMP-2015</t>
  </si>
  <si>
    <t>ORD-2024-678110</t>
  </si>
  <si>
    <t>LAP-9901</t>
  </si>
  <si>
    <t>ORD-2025-909340</t>
  </si>
  <si>
    <t>CMP-8658</t>
  </si>
  <si>
    <t>ORD-2023-854471</t>
  </si>
  <si>
    <t>MON-2073</t>
  </si>
  <si>
    <t>ORD-2024-390951</t>
  </si>
  <si>
    <t>PRN-9378</t>
  </si>
  <si>
    <t>ORD-2025-881624</t>
  </si>
  <si>
    <t>PHN-5887</t>
  </si>
  <si>
    <t>ORD-2025-512310</t>
  </si>
  <si>
    <t>LAP-8119</t>
  </si>
  <si>
    <t>ORD-2023-674887</t>
  </si>
  <si>
    <t>ACC-9644</t>
  </si>
  <si>
    <t>ORD-2024-542244</t>
  </si>
  <si>
    <t>LAP-7009</t>
  </si>
  <si>
    <t>ORD-2024-375848</t>
  </si>
  <si>
    <t>PRN-1725</t>
  </si>
  <si>
    <t>ORD-2023-933238</t>
  </si>
  <si>
    <t>PHN-8483</t>
  </si>
  <si>
    <t>ORD-2023-732585</t>
  </si>
  <si>
    <t>PHN-3971</t>
  </si>
  <si>
    <t>ORD-2024-465898</t>
  </si>
  <si>
    <t>NET-6578</t>
  </si>
  <si>
    <t>ORD-2023-987081</t>
  </si>
  <si>
    <t>PRN-9975</t>
  </si>
  <si>
    <t>ORD-2024-655710</t>
  </si>
  <si>
    <t>ACC-1075</t>
  </si>
  <si>
    <t>ORD-2025-411385</t>
  </si>
  <si>
    <t>ACC-2902</t>
  </si>
  <si>
    <t>ORD-2025-222035</t>
  </si>
  <si>
    <t>PRN-5815</t>
  </si>
  <si>
    <t>ORD-2024-749242</t>
  </si>
  <si>
    <t>MON-4195</t>
  </si>
  <si>
    <t>ORD-2023-623293</t>
  </si>
  <si>
    <t>PHN-8478</t>
  </si>
  <si>
    <t>ORD-2025-276968</t>
  </si>
  <si>
    <t>PHN-1044</t>
  </si>
  <si>
    <t>ORD-2025-650841</t>
  </si>
  <si>
    <t>LAP-8910</t>
  </si>
  <si>
    <t>ORD-2025-831576</t>
  </si>
  <si>
    <t>PHN-2859</t>
  </si>
  <si>
    <t>ORD-2024-468655</t>
  </si>
  <si>
    <t>PRN-6308</t>
  </si>
  <si>
    <t>ORD-2024-515105</t>
  </si>
  <si>
    <t>LAP-8469</t>
  </si>
  <si>
    <t>ORD-2025-803803</t>
  </si>
  <si>
    <t>LAP-7553</t>
  </si>
  <si>
    <t>ORD-2024-993481</t>
  </si>
  <si>
    <t>PHN-3077</t>
  </si>
  <si>
    <t>ORD-2024-811752</t>
  </si>
  <si>
    <t>MON-3350</t>
  </si>
  <si>
    <t>ORD-2025-673091</t>
  </si>
  <si>
    <t>PHN-5683</t>
  </si>
  <si>
    <t>ORD-2024-381197</t>
  </si>
  <si>
    <t>PRN-2409</t>
  </si>
  <si>
    <t>ORD-2024-651852</t>
  </si>
  <si>
    <t>LAP-8825</t>
  </si>
  <si>
    <t>ORD-2023-659070</t>
  </si>
  <si>
    <t>MON-8697</t>
  </si>
  <si>
    <t>ORD-2024-837651</t>
  </si>
  <si>
    <t>MON-4789</t>
  </si>
  <si>
    <t>ORD-2024-581530</t>
  </si>
  <si>
    <t>NET-7998</t>
  </si>
  <si>
    <t>ORD-2023-378104</t>
  </si>
  <si>
    <t>PHN-8891</t>
  </si>
  <si>
    <t>ORD-2024-972318</t>
  </si>
  <si>
    <t>NET-9832</t>
  </si>
  <si>
    <t>ORD-2023-752962</t>
  </si>
  <si>
    <t>CMP-8604</t>
  </si>
  <si>
    <t>ORD-2023-808024</t>
  </si>
  <si>
    <t>ACC-6594</t>
  </si>
  <si>
    <t>ORD-2023-156396</t>
  </si>
  <si>
    <t>NET-2499</t>
  </si>
  <si>
    <t>ORD-2023-184577</t>
  </si>
  <si>
    <t>PRN-1923</t>
  </si>
  <si>
    <t>ORD-2024-446030</t>
  </si>
  <si>
    <t>PHN-4346</t>
  </si>
  <si>
    <t>ORD-2023-842820</t>
  </si>
  <si>
    <t>ACC-1375</t>
  </si>
  <si>
    <t>ORD-2024-745424</t>
  </si>
  <si>
    <t>PRN-4892</t>
  </si>
  <si>
    <t>ORD-2024-510520</t>
  </si>
  <si>
    <t>PRN-9557</t>
  </si>
  <si>
    <t>ORD-2023-769774</t>
  </si>
  <si>
    <t>PRN-8008</t>
  </si>
  <si>
    <t>ORD-2023-580751</t>
  </si>
  <si>
    <t>LAP-1946</t>
  </si>
  <si>
    <t>ORD-2025-473192</t>
  </si>
  <si>
    <t>MON-7106</t>
  </si>
  <si>
    <t>ORD-2024-886939</t>
  </si>
  <si>
    <t>MON-5386</t>
  </si>
  <si>
    <t>ORD-2024-566589</t>
  </si>
  <si>
    <t>PHN-2436</t>
  </si>
  <si>
    <t>ORD-2023-109927</t>
  </si>
  <si>
    <t>PRN-2301</t>
  </si>
  <si>
    <t>ORD-2023-780206</t>
  </si>
  <si>
    <t>ACC-3645</t>
  </si>
  <si>
    <t>ORD-2024-851993</t>
  </si>
  <si>
    <t>CMP-6811</t>
  </si>
  <si>
    <t>ORD-2025-417942</t>
  </si>
  <si>
    <t>PHN-5675</t>
  </si>
  <si>
    <t>ORD-2023-172095</t>
  </si>
  <si>
    <t>MON-6882</t>
  </si>
  <si>
    <t>ORD-2024-257550</t>
  </si>
  <si>
    <t>ACC-8620</t>
  </si>
  <si>
    <t>ORD-2023-581799</t>
  </si>
  <si>
    <t>PHN-6506</t>
  </si>
  <si>
    <t>ORD-2023-880296</t>
  </si>
  <si>
    <t>MON-5086</t>
  </si>
  <si>
    <t>ORD-2023-191563</t>
  </si>
  <si>
    <t>LAP-4899</t>
  </si>
  <si>
    <t>ORD-2024-202166</t>
  </si>
  <si>
    <t>CMP-3313</t>
  </si>
  <si>
    <t>ORD-2023-539967</t>
  </si>
  <si>
    <t>CMP-6649</t>
  </si>
  <si>
    <t>ORD-2023-704111</t>
  </si>
  <si>
    <t>ACC-5206</t>
  </si>
  <si>
    <t>ORD-2024-356812</t>
  </si>
  <si>
    <t>PRN-6911</t>
  </si>
  <si>
    <t>ORD-2025-306251</t>
  </si>
  <si>
    <t>NET-5270</t>
  </si>
  <si>
    <t>ORD-2025-496178</t>
  </si>
  <si>
    <t>CMP-5658</t>
  </si>
  <si>
    <t>ORD-2024-508213</t>
  </si>
  <si>
    <t>CMP-3938</t>
  </si>
  <si>
    <t>ORD-2024-787018</t>
  </si>
  <si>
    <t>ACC-7671</t>
  </si>
  <si>
    <t>ORD-2023-728177</t>
  </si>
  <si>
    <t>NET-6014</t>
  </si>
  <si>
    <t>ORD-2025-795385</t>
  </si>
  <si>
    <t>CMP-4159</t>
  </si>
  <si>
    <t>ORD-2025-947929</t>
  </si>
  <si>
    <t>PRN-3159</t>
  </si>
  <si>
    <t>ORD-2023-931633</t>
  </si>
  <si>
    <t>PRN-9488</t>
  </si>
  <si>
    <t>ORD-2023-243704</t>
  </si>
  <si>
    <t>PRN-7079</t>
  </si>
  <si>
    <t>ORD-2025-779659</t>
  </si>
  <si>
    <t>CMP-1220</t>
  </si>
  <si>
    <t>ORD-2024-647571</t>
  </si>
  <si>
    <t>MON-2462</t>
  </si>
  <si>
    <t>ORD-2025-683043</t>
  </si>
  <si>
    <t>PHN-9465</t>
  </si>
  <si>
    <t>ORD-2023-588455</t>
  </si>
  <si>
    <t>PRN-1271</t>
  </si>
  <si>
    <t>ORD-2024-641220</t>
  </si>
  <si>
    <t>LAP-1066</t>
  </si>
  <si>
    <t>ORD-2023-799597</t>
  </si>
  <si>
    <t>CMP-8675</t>
  </si>
  <si>
    <t>ORD-2023-569862</t>
  </si>
  <si>
    <t>LAP-1178</t>
  </si>
  <si>
    <t>ORD-2023-609394</t>
  </si>
  <si>
    <t>ACC-1731</t>
  </si>
  <si>
    <t>ORD-2024-105586</t>
  </si>
  <si>
    <t>NET-1893</t>
  </si>
  <si>
    <t>ORD-2024-207792</t>
  </si>
  <si>
    <t>PRN-3917</t>
  </si>
  <si>
    <t>ORD-2025-417336</t>
  </si>
  <si>
    <t>LAP-3220</t>
  </si>
  <si>
    <t>ORD-2025-252117</t>
  </si>
  <si>
    <t>PHN-2462</t>
  </si>
  <si>
    <t>ORD-2023-867175</t>
  </si>
  <si>
    <t>NET-2894</t>
  </si>
  <si>
    <t>ORD-2024-382152</t>
  </si>
  <si>
    <t>CMP-2335</t>
  </si>
  <si>
    <t>ORD-2023-597666</t>
  </si>
  <si>
    <t>PHN-5938</t>
  </si>
  <si>
    <t>ORD-2024-371409</t>
  </si>
  <si>
    <t>PRN-1371</t>
  </si>
  <si>
    <t>ORD-2024-973420</t>
  </si>
  <si>
    <t>PRN-5813</t>
  </si>
  <si>
    <t>ORD-2025-254721</t>
  </si>
  <si>
    <t>PHN-6480</t>
  </si>
  <si>
    <t>ORD-2024-247032</t>
  </si>
  <si>
    <t>ACC-2990</t>
  </si>
  <si>
    <t>ORD-2024-792353</t>
  </si>
  <si>
    <t>CMP-5435</t>
  </si>
  <si>
    <t>ORD-2025-703623</t>
  </si>
  <si>
    <t>ACC-1596</t>
  </si>
  <si>
    <t>ORD-2024-516704</t>
  </si>
  <si>
    <t>PHN-7852</t>
  </si>
  <si>
    <t>ORD-2024-578646</t>
  </si>
  <si>
    <t>ACC-7240</t>
  </si>
  <si>
    <t>ORD-2024-433936</t>
  </si>
  <si>
    <t>MON-8867</t>
  </si>
  <si>
    <t>ORD-2023-434071</t>
  </si>
  <si>
    <t>NET-1228</t>
  </si>
  <si>
    <t>ORD-2024-728474</t>
  </si>
  <si>
    <t>NET-1145</t>
  </si>
  <si>
    <t>ORD-2023-406606</t>
  </si>
  <si>
    <t>ACC-2867</t>
  </si>
  <si>
    <t>ORD-2025-823055</t>
  </si>
  <si>
    <t>MON-9274</t>
  </si>
  <si>
    <t>ORD-2023-573656</t>
  </si>
  <si>
    <t>MON-4830</t>
  </si>
  <si>
    <t>ORD-2024-567435</t>
  </si>
  <si>
    <t>PHN-9107</t>
  </si>
  <si>
    <t>ORD-2023-744942</t>
  </si>
  <si>
    <t>PRN-1060</t>
  </si>
  <si>
    <t>ORD-2025-331237</t>
  </si>
  <si>
    <t>NET-8329</t>
  </si>
  <si>
    <t>ORD-2025-680118</t>
  </si>
  <si>
    <t>NET-6269</t>
  </si>
  <si>
    <t>ORD-2024-310809</t>
  </si>
  <si>
    <t>CMP-6529</t>
  </si>
  <si>
    <t>ORD-2025-474368</t>
  </si>
  <si>
    <t>PHN-8776</t>
  </si>
  <si>
    <t>ORD-2024-732543</t>
  </si>
  <si>
    <t>NET-3728</t>
  </si>
  <si>
    <t>ORD-2023-867166</t>
  </si>
  <si>
    <t>LAP-3565</t>
  </si>
  <si>
    <t>ORD-2024-776337</t>
  </si>
  <si>
    <t>LAP-5078</t>
  </si>
  <si>
    <t>ORD-2023-913592</t>
  </si>
  <si>
    <t>MON-2465</t>
  </si>
  <si>
    <t>ORD-2024-961501</t>
  </si>
  <si>
    <t>CMP-3223</t>
  </si>
  <si>
    <t>ORD-2024-964950</t>
  </si>
  <si>
    <t>CMP-8127</t>
  </si>
  <si>
    <t>ORD-2023-349264</t>
  </si>
  <si>
    <t>PHN-1924</t>
  </si>
  <si>
    <t>ORD-2025-137394</t>
  </si>
  <si>
    <t>CMP-1156</t>
  </si>
  <si>
    <t>ORD-2025-635337</t>
  </si>
  <si>
    <t>LAP-3905</t>
  </si>
  <si>
    <t>ORD-2023-568013</t>
  </si>
  <si>
    <t>PRN-1786</t>
  </si>
  <si>
    <t>ORD-2025-828263</t>
  </si>
  <si>
    <t>ACC-3349</t>
  </si>
  <si>
    <t>ORD-2024-402240</t>
  </si>
  <si>
    <t>NET-4228</t>
  </si>
  <si>
    <t>ORD-2023-125739</t>
  </si>
  <si>
    <t>CMP-5633</t>
  </si>
  <si>
    <t>ORD-2024-892879</t>
  </si>
  <si>
    <t>CMP-5825</t>
  </si>
  <si>
    <t>ORD-2023-472050</t>
  </si>
  <si>
    <t>LAP-6499</t>
  </si>
  <si>
    <t>ORD-2024-468615</t>
  </si>
  <si>
    <t>ACC-3721</t>
  </si>
  <si>
    <t>ORD-2024-833375</t>
  </si>
  <si>
    <t>MON-6190</t>
  </si>
  <si>
    <t>ORD-2024-206311</t>
  </si>
  <si>
    <t>CMP-2410</t>
  </si>
  <si>
    <t>ORD-2024-364080</t>
  </si>
  <si>
    <t>PRN-2641</t>
  </si>
  <si>
    <t>ORD-2025-460466</t>
  </si>
  <si>
    <t>PRN-1882</t>
  </si>
  <si>
    <t>ORD-2023-700699</t>
  </si>
  <si>
    <t>PRN-1641</t>
  </si>
  <si>
    <t>ORD-2024-713332</t>
  </si>
  <si>
    <t>LAP-1739</t>
  </si>
  <si>
    <t>ORD-2023-640022</t>
  </si>
  <si>
    <t>PRN-4732</t>
  </si>
  <si>
    <t>ORD-2024-532184</t>
  </si>
  <si>
    <t>NET-9569</t>
  </si>
  <si>
    <t>ORD-2025-926547</t>
  </si>
  <si>
    <t>PHN-3007</t>
  </si>
  <si>
    <t>ORD-2025-778145</t>
  </si>
  <si>
    <t>MON-9216</t>
  </si>
  <si>
    <t>ORD-2023-525643</t>
  </si>
  <si>
    <t>PHN-8072</t>
  </si>
  <si>
    <t>ORD-2025-312803</t>
  </si>
  <si>
    <t>LAP-1308</t>
  </si>
  <si>
    <t>ORD-2025-149156</t>
  </si>
  <si>
    <t>LAP-7353</t>
  </si>
  <si>
    <t>ORD-2023-215819</t>
  </si>
  <si>
    <t>NET-6533</t>
  </si>
  <si>
    <t>ORD-2024-353078</t>
  </si>
  <si>
    <t>ORD-2023-621393</t>
  </si>
  <si>
    <t>ACC-9445</t>
  </si>
  <si>
    <t>ORD-2023-974506</t>
  </si>
  <si>
    <t>PRN-1654</t>
  </si>
  <si>
    <t>ORD-2023-811823</t>
  </si>
  <si>
    <t>NET-8787</t>
  </si>
  <si>
    <t>ORD-2023-286720</t>
  </si>
  <si>
    <t>LAP-1989</t>
  </si>
  <si>
    <t>ORD-2024-626925</t>
  </si>
  <si>
    <t>MON-8688</t>
  </si>
  <si>
    <t>ORD-2023-960380</t>
  </si>
  <si>
    <t>ACC-8242</t>
  </si>
  <si>
    <t>ORD-2023-453699</t>
  </si>
  <si>
    <t>LAP-4666</t>
  </si>
  <si>
    <t>ORD-2025-960931</t>
  </si>
  <si>
    <t>NET-5196</t>
  </si>
  <si>
    <t>ORD-2024-419248</t>
  </si>
  <si>
    <t>MON-8422</t>
  </si>
  <si>
    <t>ORD-2023-488227</t>
  </si>
  <si>
    <t>ACC-3415</t>
  </si>
  <si>
    <t>ORD-2023-472078</t>
  </si>
  <si>
    <t>PRN-9624</t>
  </si>
  <si>
    <t>ORD-2024-202877</t>
  </si>
  <si>
    <t>MON-6287</t>
  </si>
  <si>
    <t>ORD-2024-140633</t>
  </si>
  <si>
    <t>NET-4491</t>
  </si>
  <si>
    <t>ORD-2025-419532</t>
  </si>
  <si>
    <t>MON-4317</t>
  </si>
  <si>
    <t>ORD-2023-139236</t>
  </si>
  <si>
    <t>NET-7349</t>
  </si>
  <si>
    <t>ORD-2025-337268</t>
  </si>
  <si>
    <t>ACC-5150</t>
  </si>
  <si>
    <t>ORD-2025-332931</t>
  </si>
  <si>
    <t>ACC-5144</t>
  </si>
  <si>
    <t>ORD-2024-536442</t>
  </si>
  <si>
    <t>PHN-6111</t>
  </si>
  <si>
    <t>ORD-2023-957692</t>
  </si>
  <si>
    <t>ACC-9283</t>
  </si>
  <si>
    <t>ORD-2025-874124</t>
  </si>
  <si>
    <t>PRN-2407</t>
  </si>
  <si>
    <t>ORD-2024-687073</t>
  </si>
  <si>
    <t>MON-7099</t>
  </si>
  <si>
    <t>ORD-2024-555229</t>
  </si>
  <si>
    <t>ACC-7354</t>
  </si>
  <si>
    <t>ORD-2024-872291</t>
  </si>
  <si>
    <t>PRN-6585</t>
  </si>
  <si>
    <t>ORD-2024-250862</t>
  </si>
  <si>
    <t>CMP-9498</t>
  </si>
  <si>
    <t>ORD-2024-331226</t>
  </si>
  <si>
    <t>PHN-1919</t>
  </si>
  <si>
    <t>ORD-2023-356427</t>
  </si>
  <si>
    <t>MON-6053</t>
  </si>
  <si>
    <t>ORD-2025-659650</t>
  </si>
  <si>
    <t>NET-2502</t>
  </si>
  <si>
    <t>ORD-2024-207669</t>
  </si>
  <si>
    <t>LAP-5689</t>
  </si>
  <si>
    <t>ORD-2024-979401</t>
  </si>
  <si>
    <t>CMP-5911</t>
  </si>
  <si>
    <t>ORD-2025-929414</t>
  </si>
  <si>
    <t>LAP-7523</t>
  </si>
  <si>
    <t>ORD-2024-766980</t>
  </si>
  <si>
    <t>MON-1118</t>
  </si>
  <si>
    <t>ORD-2024-437164</t>
  </si>
  <si>
    <t>NET-9177</t>
  </si>
  <si>
    <t>ORD-2025-169093</t>
  </si>
  <si>
    <t>CMP-6495</t>
  </si>
  <si>
    <t>ORD-2023-868460</t>
  </si>
  <si>
    <t>ACC-4587</t>
  </si>
  <si>
    <t>ORD-2025-177994</t>
  </si>
  <si>
    <t>PHN-4395</t>
  </si>
  <si>
    <t>ORD-2024-355095</t>
  </si>
  <si>
    <t>LAP-3581</t>
  </si>
  <si>
    <t>ORD-2023-126505</t>
  </si>
  <si>
    <t>MON-6065</t>
  </si>
  <si>
    <t>ORD-2023-340056</t>
  </si>
  <si>
    <t>CMP-4945</t>
  </si>
  <si>
    <t>ORD-2025-281413</t>
  </si>
  <si>
    <t>NET-3785</t>
  </si>
  <si>
    <t>ORD-2023-713614</t>
  </si>
  <si>
    <t>NET-3689</t>
  </si>
  <si>
    <t>ORD-2023-173313</t>
  </si>
  <si>
    <t>ACC-3833</t>
  </si>
  <si>
    <t>ORD-2024-496601</t>
  </si>
  <si>
    <t>NET-2932</t>
  </si>
  <si>
    <t>ORD-2025-155182</t>
  </si>
  <si>
    <t>PHN-7636</t>
  </si>
  <si>
    <t>ORD-2023-244375</t>
  </si>
  <si>
    <t>CMP-1223</t>
  </si>
  <si>
    <t>ORD-2023-856322</t>
  </si>
  <si>
    <t>MON-7207</t>
  </si>
  <si>
    <t>ORD-2024-594527</t>
  </si>
  <si>
    <t>LAP-4483</t>
  </si>
  <si>
    <t>ORD-2024-689872</t>
  </si>
  <si>
    <t>LAP-1969</t>
  </si>
  <si>
    <t>ORD-2025-246692</t>
  </si>
  <si>
    <t>PHN-4566</t>
  </si>
  <si>
    <t>ORD-2023-378676</t>
  </si>
  <si>
    <t>PHN-5366</t>
  </si>
  <si>
    <t>ORD-2024-243988</t>
  </si>
  <si>
    <t>CMP-9001</t>
  </si>
  <si>
    <t>ORD-2024-572312</t>
  </si>
  <si>
    <t>PHN-9677</t>
  </si>
  <si>
    <t>ORD-2025-281062</t>
  </si>
  <si>
    <t>ACC-1604</t>
  </si>
  <si>
    <t>ORD-2023-727290</t>
  </si>
  <si>
    <t>ACC-4815</t>
  </si>
  <si>
    <t>ORD-2025-993993</t>
  </si>
  <si>
    <t>CMP-5311</t>
  </si>
  <si>
    <t>ORD-2023-619493</t>
  </si>
  <si>
    <t>NET-1282</t>
  </si>
  <si>
    <t>ORD-2024-947056</t>
  </si>
  <si>
    <t>MON-1564</t>
  </si>
  <si>
    <t>ORD-2025-856556</t>
  </si>
  <si>
    <t>ACC-7906</t>
  </si>
  <si>
    <t>ORD-2024-442776</t>
  </si>
  <si>
    <t>LAP-6577</t>
  </si>
  <si>
    <t>ORD-2025-705398</t>
  </si>
  <si>
    <t>CMP-5065</t>
  </si>
  <si>
    <t>ORD-2023-689428</t>
  </si>
  <si>
    <t>PRN-4787</t>
  </si>
  <si>
    <t>ORD-2025-683247</t>
  </si>
  <si>
    <t>PRN-9867</t>
  </si>
  <si>
    <t>ORD-2024-585443</t>
  </si>
  <si>
    <t>MON-2849</t>
  </si>
  <si>
    <t>ORD-2024-907733</t>
  </si>
  <si>
    <t>LAP-8633</t>
  </si>
  <si>
    <t>ORD-2024-550400</t>
  </si>
  <si>
    <t>PRN-9793</t>
  </si>
  <si>
    <t>ORD-2025-189846</t>
  </si>
  <si>
    <t>NET-6218</t>
  </si>
  <si>
    <t>ORD-2025-752192</t>
  </si>
  <si>
    <t>PRN-6131</t>
  </si>
  <si>
    <t>ORD-2023-294716</t>
  </si>
  <si>
    <t>PRN-5067</t>
  </si>
  <si>
    <t>ORD-2023-552115</t>
  </si>
  <si>
    <t>LAP-4932</t>
  </si>
  <si>
    <t>ORD-2023-107265</t>
  </si>
  <si>
    <t>ACC-7713</t>
  </si>
  <si>
    <t>ORD-2025-262434</t>
  </si>
  <si>
    <t>PHN-7379</t>
  </si>
  <si>
    <t>ORD-2024-266562</t>
  </si>
  <si>
    <t>PRN-5569</t>
  </si>
  <si>
    <t>ORD-2024-838925</t>
  </si>
  <si>
    <t>CMP-1470</t>
  </si>
  <si>
    <t>ORD-2023-664790</t>
  </si>
  <si>
    <t>PRN-9249</t>
  </si>
  <si>
    <t>ORD-2024-331408</t>
  </si>
  <si>
    <t>PRN-4906</t>
  </si>
  <si>
    <t>ORD-2024-741404</t>
  </si>
  <si>
    <t>MON-8129</t>
  </si>
  <si>
    <t>ORD-2024-341535</t>
  </si>
  <si>
    <t>NET-5987</t>
  </si>
  <si>
    <t>ORD-2023-451931</t>
  </si>
  <si>
    <t>NET-5423</t>
  </si>
  <si>
    <t>ORD-2025-532859</t>
  </si>
  <si>
    <t>PRN-5264</t>
  </si>
  <si>
    <t>ORD-2023-502205</t>
  </si>
  <si>
    <t>NET-8856</t>
  </si>
  <si>
    <t>ORD-2024-930679</t>
  </si>
  <si>
    <t>MON-4215</t>
  </si>
  <si>
    <t>ORD-2025-150713</t>
  </si>
  <si>
    <t>PRN-5753</t>
  </si>
  <si>
    <t>ORD-2024-756884</t>
  </si>
  <si>
    <t>CMP-5006</t>
  </si>
  <si>
    <t>ORD-2023-755337</t>
  </si>
  <si>
    <t>ACC-4766</t>
  </si>
  <si>
    <t>ORD-2025-907040</t>
  </si>
  <si>
    <t>NET-8610</t>
  </si>
  <si>
    <t>ORD-2024-817997</t>
  </si>
  <si>
    <t>NET-4675</t>
  </si>
  <si>
    <t>ORD-2025-649633</t>
  </si>
  <si>
    <t>ACC-1028</t>
  </si>
  <si>
    <t>ORD-2023-885216</t>
  </si>
  <si>
    <t>NET-4735</t>
  </si>
  <si>
    <t>ORD-2023-561823</t>
  </si>
  <si>
    <t>NET-2460</t>
  </si>
  <si>
    <t>ORD-2023-249805</t>
  </si>
  <si>
    <t>CMP-1555</t>
  </si>
  <si>
    <t>ORD-2023-548934</t>
  </si>
  <si>
    <t>MON-3773</t>
  </si>
  <si>
    <t>ORD-2023-921939</t>
  </si>
  <si>
    <t>PHN-4677</t>
  </si>
  <si>
    <t>ORD-2023-961864</t>
  </si>
  <si>
    <t>CMP-1940</t>
  </si>
  <si>
    <t>ORD-2023-455933</t>
  </si>
  <si>
    <t>PHN-9184</t>
  </si>
  <si>
    <t>ORD-2025-728935</t>
  </si>
  <si>
    <t>LAP-3017</t>
  </si>
  <si>
    <t>Assignment</t>
  </si>
  <si>
    <t>Excel Mastery Assignment: Sales Operations &amp; Analytics</t>
  </si>
  <si>
    <t>Overview:</t>
  </si>
  <si>
    <t>You are an analyst for a multi-regional electronics distributor. The 'Data' sheet contains 632 rows and 15 columns of transactional data with intentional data-quality issues.</t>
  </si>
  <si>
    <t>Your job is to clean, enrich, analyze, and present insights via a dynamic dashboard.</t>
  </si>
  <si>
    <t>Part A — Data Cleaning &amp; Preparation:</t>
  </si>
  <si>
    <t>1) Create a staging table where you:</t>
  </si>
  <si>
    <t xml:space="preserve">   • Remove exact duplicate rows (define and document your duplicate criteria).</t>
  </si>
  <si>
    <t xml:space="preserve">   • Fix data types (dates as Dates, numeric fields as numbers).</t>
  </si>
  <si>
    <t xml:space="preserve">   • Handle missing values for City, Salesperson, and Channel using reasonable business logic (document your approach).</t>
  </si>
  <si>
    <t xml:space="preserve">   • Flag and correct suspicious UnitPrice values (e.g., negative prices) and discounts (e.g., &gt; 30%).</t>
  </si>
  <si>
    <t xml:space="preserve">   • Ensure RequiredDate is not earlier than OrderDate; where it is, impute a corrected RequiredDate (explain your rule).</t>
  </si>
  <si>
    <t xml:space="preserve">   • Add a derived 'LeadTimeDays' = RequiredDate − OrderDate (in days).</t>
  </si>
  <si>
    <t>2) Create calculated columns (do these in Excel, not by formula in the data source):</t>
  </si>
  <si>
    <t xml:space="preserve">   • GrossRevenue = UnitPrice × Quantity × (1 − DiscountPct).</t>
  </si>
  <si>
    <t xml:space="preserve">   • CostOfGoods = UnitCost × Quantity.</t>
  </si>
  <si>
    <t xml:space="preserve"> </t>
  </si>
  <si>
    <t xml:space="preserve">   • GrossProfit = GrossRevenue − CostOfGoods.</t>
  </si>
  <si>
    <t xml:space="preserve">   • MarginPct = IF(GrossRevenue=0, 0, GrossProfit / GrossRevenue).</t>
  </si>
  <si>
    <t>3) Create standardized dimensions:</t>
  </si>
  <si>
    <t xml:space="preserve">   • Month (MMM-YYYY) from OrderDate.</t>
  </si>
  <si>
    <t xml:space="preserve">   • Quarter (e.g., Q1-2024).</t>
  </si>
  <si>
    <t xml:space="preserve">   • Region hierarchy: Region → Country → City.</t>
  </si>
  <si>
    <t xml:space="preserve">   • ProductCategory and a derived 'PriceBand' (e.g., Low/Medium/High using quantiles).</t>
  </si>
  <si>
    <t>Part B — Analysis Tasks (show workings with PivotTables / formulas):</t>
  </si>
  <si>
    <t>4) Build a cohort of first-time sales by Country and Month:</t>
  </si>
  <si>
    <t xml:space="preserve">   • Identify the first month each Country appears and calculate monthly revenue tracked from that start (cohort analysis).</t>
  </si>
  <si>
    <t>5) ABC analysis by SKU within each ProductCategory using GrossRevenue:</t>
  </si>
  <si>
    <t xml:space="preserve">   • Classify SKUs into A (top 80%), B (next 15%), C (last 5%) of revenue per category.</t>
  </si>
  <si>
    <t>6) Salesperson productivity:</t>
  </si>
  <si>
    <t xml:space="preserve">   • Compute Revenue/Order, Orders/Month, and GrossProfit/Order by Salesperson; highlight the top and bottom 3.</t>
  </si>
  <si>
    <t>7) Channel mix &amp; cannibalization:</t>
  </si>
  <si>
    <t xml:space="preserve">   • Compare revenue shares by Channel across Regions; identify where online cannibalizes retail (justify with data).</t>
  </si>
  <si>
    <t>8) Service level proxy:</t>
  </si>
  <si>
    <t xml:space="preserve">   • Using LeadTimeDays, determine % of orders meeting a 7-day target by Country and Category.</t>
  </si>
  <si>
    <t>9) Price compliance:</t>
  </si>
  <si>
    <t xml:space="preserve">   • Share of orders with DiscountPct &gt; 20% by Region and Salesperson; list outliers.</t>
  </si>
  <si>
    <t>Part C — Scenario Modeling (What-If):</t>
  </si>
  <si>
    <t>10) Build a What-If control panel (slider/cell inputs):</t>
  </si>
  <si>
    <t xml:space="preserve">   • Global Discount Cap (e.g., 0%–25%).</t>
  </si>
  <si>
    <t xml:space="preserve">   • UnitCost inflation factor (e.g., 0%–15%).</t>
  </si>
  <si>
    <t xml:space="preserve">   • Quantity uplift (e.g., 0%–20%).</t>
  </si>
  <si>
    <t xml:space="preserve">   Recalculate Revenue and Profit metrics under these scenarios and compare to the baseline.</t>
  </si>
  <si>
    <t>Part D — Interactive Dashboard:</t>
  </si>
  <si>
    <t>11) Create a single-page dashboard with:</t>
  </si>
  <si>
    <t xml:space="preserve">   • Slicers for Region, Country, Channel, ProductCategory, Month, and Salesperson.</t>
  </si>
  <si>
    <t xml:space="preserve">   • KPIs: Total Revenue, Gross Profit, Margin %, Avg Order Value, On-Time % (LeadTimeDays ≤ 7).</t>
  </si>
  <si>
    <t xml:space="preserve">   • Visuals:</t>
  </si>
  <si>
    <t xml:space="preserve">       – Revenue by Month (line chart).</t>
  </si>
  <si>
    <t xml:space="preserve">       – Profit by Region and Channel (stacked column).</t>
  </si>
  <si>
    <t xml:space="preserve">       – Top 10 SKUs by Revenue (bar).</t>
  </si>
  <si>
    <t xml:space="preserve">       – Discount Outliers (box/whisker or scatter) — if Excel version permits, else alternative view.</t>
  </si>
  <si>
    <t xml:space="preserve">   • Dynamic titles reflecting applied filters.</t>
  </si>
  <si>
    <t>12) Tell a story:</t>
  </si>
  <si>
    <t xml:space="preserve">   • Write 5–8 bullet insights derived from the dashboard; include at least one insight per Region.</t>
  </si>
  <si>
    <t>Part E — Submission Checklist:</t>
  </si>
  <si>
    <t>13) Include a 'ReadMe' sheet summarizing: data issues found, cleaning rules, and assumptions.</t>
  </si>
  <si>
    <t>14) Ensure all measures are built with Excel formulas or Power Pivot (no hard-coded totals).</t>
  </si>
  <si>
    <t>15) Ensure your dashboard responds to slicers without broken references.</t>
  </si>
  <si>
    <t>Month Of OrderDate</t>
  </si>
  <si>
    <t>Month</t>
  </si>
  <si>
    <t>Quarter</t>
  </si>
  <si>
    <t>Corrected Required Date</t>
  </si>
  <si>
    <t>LeadTime Days</t>
  </si>
  <si>
    <t>On-Time</t>
  </si>
  <si>
    <t>Corrected Unit price</t>
  </si>
  <si>
    <t>UnitCost Inflation Factor</t>
  </si>
  <si>
    <t>Derived Price Band</t>
  </si>
  <si>
    <t>DiscountPct&gt; 20%</t>
  </si>
  <si>
    <t>Global DiscountCap</t>
  </si>
  <si>
    <t>Quantity Uplift</t>
  </si>
  <si>
    <t>GrossRevenue</t>
  </si>
  <si>
    <t>WhatIfRevenue</t>
  </si>
  <si>
    <t>CostOfGoods</t>
  </si>
  <si>
    <t>GrossProfit</t>
  </si>
  <si>
    <t>WhatIfProfit</t>
  </si>
  <si>
    <t>MarginPct</t>
  </si>
  <si>
    <t>Not provided</t>
  </si>
  <si>
    <t>Unknown</t>
  </si>
  <si>
    <t>Unknown city</t>
  </si>
  <si>
    <t>Grand Total</t>
  </si>
  <si>
    <t>Count of Derived Price Band</t>
  </si>
  <si>
    <t>High</t>
  </si>
  <si>
    <t>Low</t>
  </si>
  <si>
    <t>Medium</t>
  </si>
  <si>
    <t>Years</t>
  </si>
  <si>
    <t>Sum of GrossRevenue</t>
  </si>
  <si>
    <t>2023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</si>
  <si>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</si>
  <si>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</si>
  <si>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</si>
  <si>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</si>
  <si>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</si>
  <si>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</si>
  <si>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</si>
  <si>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</si>
  <si>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</si>
  <si>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</si>
  <si>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</si>
  <si>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</si>
  <si>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2024</t>
  </si>
  <si>
    <t>2025</t>
  </si>
  <si>
    <t>Percentage</t>
  </si>
  <si>
    <t>Cumulative%</t>
  </si>
  <si>
    <t>ABC Analysis</t>
  </si>
  <si>
    <t>Distinct Count of OrderID</t>
  </si>
  <si>
    <t>Sum of GrossProfit</t>
  </si>
  <si>
    <t xml:space="preserve">Distinct Count of Month </t>
  </si>
  <si>
    <t>Revenue/Order</t>
  </si>
  <si>
    <t>Orders/Month</t>
  </si>
  <si>
    <t>Gross Profit/Order</t>
  </si>
  <si>
    <t>Ontime</t>
  </si>
  <si>
    <t>Count of On-Time</t>
  </si>
  <si>
    <t>High Discount</t>
  </si>
  <si>
    <t>Count of OrderID</t>
  </si>
  <si>
    <t>Global Discout Cap(0%-25%)</t>
  </si>
  <si>
    <t>UnitCost Inflation factor(0%-15%)</t>
  </si>
  <si>
    <t>Quantity Uplift(0%-20%)</t>
  </si>
  <si>
    <t>METRICS COMPARISON</t>
  </si>
  <si>
    <t>Gross Revenue</t>
  </si>
  <si>
    <t>WhatIf GrossRevenue</t>
  </si>
  <si>
    <t>WhatIf GrossProfit</t>
  </si>
  <si>
    <t>Gross Profit</t>
  </si>
  <si>
    <t>DiscountPct &gt; 0.25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</si>
</sst>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 "/>
    <numFmt numFmtId="179" formatCode="0.00_);[Red]\(0.00\)"/>
    <numFmt numFmtId="180" formatCode="0.000%"/>
    <numFmt numFmtId="181" formatCode="m/d/yyyy;@"/>
    <numFmt numFmtId="182" formatCode="mmm"/>
    <numFmt numFmtId="183" formatCode="0_);[Red]\(0\)"/>
    <numFmt numFmtId="184" formatCode="0.000_);[Red]\(0.000\)"/>
    <numFmt numFmtId="185" formatCode="yyyy\-mm\-dd"/>
    <numFmt numFmtId="186" formatCode="&quot;$&quot;#,##0.00;\-&quot;$&quot;#,##0.00"/>
  </numFmts>
  <fonts count="25">
    <font>
      <sz val="11"/>
      <color theme="1"/>
      <name val="Calibri"/>
      <charset val="134"/>
      <scheme val="minor"/>
    </font>
    <font>
      <sz val="12"/>
      <color theme="1"/>
      <name val="Cambria"/>
      <charset val="134"/>
      <scheme val="major"/>
    </font>
    <font>
      <b/>
      <sz val="12"/>
      <color theme="1"/>
      <name val="Cambria"/>
      <charset val="134"/>
      <scheme val="major"/>
    </font>
    <font>
      <sz val="14"/>
      <color theme="3"/>
      <name val="Arial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49967955565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40">
    <xf numFmtId="0" fontId="0" fillId="0" borderId="0" xfId="0"/>
    <xf numFmtId="0" fontId="0" fillId="2" borderId="0" xfId="0" applyFill="1"/>
    <xf numFmtId="0" fontId="0" fillId="0" borderId="0" xfId="0" applyNumberFormat="1"/>
    <xf numFmtId="44" fontId="0" fillId="0" borderId="0" xfId="0" applyNumberFormat="1"/>
    <xf numFmtId="178" fontId="0" fillId="0" borderId="0" xfId="0" applyNumberFormat="1"/>
    <xf numFmtId="0" fontId="1" fillId="3" borderId="0" xfId="0" applyFont="1" applyFill="1"/>
    <xf numFmtId="0" fontId="1" fillId="0" borderId="0" xfId="0" applyFont="1"/>
    <xf numFmtId="0" fontId="2" fillId="0" borderId="0" xfId="0" applyFont="1"/>
    <xf numFmtId="179" fontId="1" fillId="0" borderId="0" xfId="0" applyNumberFormat="1" applyFont="1"/>
    <xf numFmtId="179" fontId="1" fillId="0" borderId="0" xfId="3" applyNumberFormat="1" applyFont="1" applyAlignment="1"/>
    <xf numFmtId="0" fontId="3" fillId="3" borderId="0" xfId="0" applyFont="1" applyFill="1"/>
    <xf numFmtId="44" fontId="2" fillId="0" borderId="0" xfId="0" applyNumberFormat="1" applyFont="1"/>
    <xf numFmtId="10" fontId="0" fillId="0" borderId="0" xfId="0" applyNumberFormat="1"/>
    <xf numFmtId="179" fontId="0" fillId="0" borderId="0" xfId="0" applyNumberFormat="1"/>
    <xf numFmtId="0" fontId="4" fillId="0" borderId="0" xfId="0" applyFont="1"/>
    <xf numFmtId="2" fontId="0" fillId="0" borderId="0" xfId="0" applyNumberFormat="1"/>
    <xf numFmtId="180" fontId="0" fillId="0" borderId="0" xfId="3" applyNumberFormat="1" applyFont="1" applyAlignment="1"/>
    <xf numFmtId="180" fontId="4" fillId="0" borderId="0" xfId="3" applyNumberFormat="1" applyFont="1" applyAlignment="1"/>
    <xf numFmtId="180" fontId="0" fillId="0" borderId="0" xfId="0" applyNumberFormat="1"/>
    <xf numFmtId="181" fontId="0" fillId="0" borderId="0" xfId="0" applyNumberFormat="1"/>
    <xf numFmtId="17" fontId="0" fillId="0" borderId="0" xfId="0" applyNumberFormat="1"/>
    <xf numFmtId="182" fontId="0" fillId="0" borderId="0" xfId="0" applyNumberFormat="1"/>
    <xf numFmtId="1" fontId="0" fillId="0" borderId="0" xfId="0" applyNumberFormat="1"/>
    <xf numFmtId="9" fontId="0" fillId="0" borderId="0" xfId="3" applyFont="1" applyAlignment="1"/>
    <xf numFmtId="183" fontId="0" fillId="0" borderId="0" xfId="0" applyNumberFormat="1"/>
    <xf numFmtId="0" fontId="4" fillId="0" borderId="1" xfId="0" applyFont="1" applyBorder="1" applyAlignment="1">
      <alignment horizontal="center" vertical="top"/>
    </xf>
    <xf numFmtId="17" fontId="4" fillId="0" borderId="1" xfId="0" applyNumberFormat="1" applyFont="1" applyBorder="1" applyAlignment="1">
      <alignment horizontal="center" vertical="top"/>
    </xf>
    <xf numFmtId="0" fontId="4" fillId="0" borderId="1" xfId="0" applyNumberFormat="1" applyFont="1" applyBorder="1" applyAlignment="1">
      <alignment horizontal="center" vertical="top"/>
    </xf>
    <xf numFmtId="182" fontId="4" fillId="0" borderId="1" xfId="0" applyNumberFormat="1" applyFont="1" applyBorder="1" applyAlignment="1">
      <alignment horizontal="center" vertical="top"/>
    </xf>
    <xf numFmtId="181" fontId="4" fillId="0" borderId="1" xfId="0" applyNumberFormat="1" applyFont="1" applyBorder="1" applyAlignment="1">
      <alignment horizontal="center" vertical="top"/>
    </xf>
    <xf numFmtId="1" fontId="4" fillId="0" borderId="1" xfId="0" applyNumberFormat="1" applyFont="1" applyBorder="1" applyAlignment="1">
      <alignment horizontal="center" vertical="top"/>
    </xf>
    <xf numFmtId="44" fontId="4" fillId="0" borderId="1" xfId="0" applyNumberFormat="1" applyFont="1" applyBorder="1" applyAlignment="1">
      <alignment horizontal="center" vertical="top"/>
    </xf>
    <xf numFmtId="9" fontId="4" fillId="0" borderId="1" xfId="3" applyFont="1" applyBorder="1" applyAlignment="1">
      <alignment horizontal="center" vertical="top"/>
    </xf>
    <xf numFmtId="183" fontId="4" fillId="0" borderId="1" xfId="0" applyNumberFormat="1" applyFont="1" applyBorder="1" applyAlignment="1">
      <alignment horizontal="center" vertical="top"/>
    </xf>
    <xf numFmtId="184" fontId="0" fillId="0" borderId="0" xfId="3" applyNumberFormat="1" applyFont="1" applyAlignment="1"/>
    <xf numFmtId="183" fontId="4" fillId="0" borderId="0" xfId="0" applyNumberFormat="1" applyFont="1" applyAlignment="1">
      <alignment horizontal="center" vertical="top"/>
    </xf>
    <xf numFmtId="184" fontId="0" fillId="0" borderId="0" xfId="0" applyNumberFormat="1"/>
    <xf numFmtId="44" fontId="5" fillId="0" borderId="0" xfId="0" applyNumberFormat="1" applyFont="1"/>
    <xf numFmtId="44" fontId="4" fillId="0" borderId="0" xfId="0" applyNumberFormat="1" applyFont="1"/>
    <xf numFmtId="185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86">
    <dxf>
      <numFmt numFmtId="44" formatCode="_(&quot;$&quot;* #,##0.00_);_(&quot;$&quot;* \(#,##0.00\);_(&quot;$&quot;* &quot;-&quot;??_);_(@_)"/>
    </dxf>
    <dxf>
      <numFmt numFmtId="187" formatCode="0.0000_ "/>
    </dxf>
    <dxf>
      <numFmt numFmtId="188" formatCode="0.0000_ "/>
    </dxf>
    <dxf>
      <numFmt numFmtId="189" formatCode="0.0000_ "/>
    </dxf>
    <dxf>
      <numFmt numFmtId="190" formatCode="0.0000_ "/>
    </dxf>
    <dxf>
      <numFmt numFmtId="191" formatCode="0.0000_ "/>
    </dxf>
    <dxf>
      <numFmt numFmtId="192" formatCode="0.0000_ "/>
    </dxf>
    <dxf>
      <numFmt numFmtId="193" formatCode="0.0000_ "/>
    </dxf>
    <dxf>
      <numFmt numFmtId="194" formatCode="0.0000_ "/>
    </dxf>
    <dxf>
      <numFmt numFmtId="195" formatCode="0.0000_ "/>
    </dxf>
    <dxf>
      <numFmt numFmtId="196" formatCode="0.0000_ "/>
    </dxf>
    <dxf>
      <numFmt numFmtId="197" formatCode="0.0000_ "/>
    </dxf>
    <dxf>
      <numFmt numFmtId="198" formatCode="0.0000_ "/>
    </dxf>
    <dxf>
      <numFmt numFmtId="199" formatCode="0.0000_ "/>
    </dxf>
    <dxf>
      <numFmt numFmtId="200" formatCode="0.0000_ "/>
    </dxf>
    <dxf>
      <numFmt numFmtId="201" formatCode="0.0000_ "/>
    </dxf>
    <dxf>
      <numFmt numFmtId="202" formatCode="0.0000_ "/>
    </dxf>
    <dxf>
      <numFmt numFmtId="203" formatCode="0.0000_ "/>
    </dxf>
    <dxf>
      <numFmt numFmtId="204" formatCode="0.0000_ "/>
    </dxf>
    <dxf>
      <numFmt numFmtId="205" formatCode="0.0000_ "/>
    </dxf>
    <dxf>
      <numFmt numFmtId="206" formatCode="0.0000_ "/>
    </dxf>
    <dxf>
      <numFmt numFmtId="207" formatCode="0.0000_ "/>
    </dxf>
    <dxf>
      <numFmt numFmtId="208" formatCode="0.0000_ "/>
    </dxf>
    <dxf>
      <numFmt numFmtId="209" formatCode="0.0000_ "/>
    </dxf>
    <dxf>
      <numFmt numFmtId="210" formatCode="0.0000_ "/>
    </dxf>
    <dxf>
      <numFmt numFmtId="211" formatCode="0.0000_ "/>
    </dxf>
    <dxf>
      <numFmt numFmtId="212" formatCode="0.0000_ "/>
    </dxf>
    <dxf>
      <numFmt numFmtId="213" formatCode="0.0000_ "/>
    </dxf>
    <dxf>
      <numFmt numFmtId="214" formatCode="0.0000_ "/>
    </dxf>
    <dxf>
      <numFmt numFmtId="215" formatCode="0.0000_ "/>
    </dxf>
    <dxf>
      <numFmt numFmtId="216" formatCode="0.0000_ "/>
    </dxf>
    <dxf>
      <numFmt numFmtId="217" formatCode="0.0000_ "/>
    </dxf>
    <dxf>
      <numFmt numFmtId="218" formatCode="0.0000_ "/>
    </dxf>
    <dxf>
      <numFmt numFmtId="219" formatCode="0.0000_ "/>
    </dxf>
    <dxf>
      <numFmt numFmtId="220" formatCode="0.0000_ "/>
    </dxf>
    <dxf>
      <numFmt numFmtId="221" formatCode="0.0000_ "/>
    </dxf>
    <dxf>
      <numFmt numFmtId="222" formatCode="0.0000_ "/>
    </dxf>
    <dxf>
      <numFmt numFmtId="223" formatCode="0.0000_ "/>
    </dxf>
    <dxf>
      <numFmt numFmtId="224" formatCode="0.0000_ "/>
    </dxf>
    <dxf>
      <numFmt numFmtId="225" formatCode="0.0000_ "/>
    </dxf>
    <dxf>
      <numFmt numFmtId="226" formatCode="0.0000_ "/>
    </dxf>
    <dxf>
      <numFmt numFmtId="227" formatCode="0.0000_ "/>
    </dxf>
    <dxf>
      <numFmt numFmtId="228" formatCode="0.0000_ "/>
    </dxf>
    <dxf>
      <numFmt numFmtId="229" formatCode="0.0000_ "/>
    </dxf>
    <dxf>
      <numFmt numFmtId="230" formatCode="0.0000_ "/>
    </dxf>
    <dxf>
      <numFmt numFmtId="231" formatCode="0.0000_ "/>
    </dxf>
    <dxf>
      <numFmt numFmtId="232" formatCode="0.0000_ "/>
    </dxf>
    <dxf>
      <numFmt numFmtId="233" formatCode="0.0000_ "/>
    </dxf>
    <dxf>
      <numFmt numFmtId="234" formatCode="0.0000_ "/>
    </dxf>
    <dxf>
      <numFmt numFmtId="235" formatCode="0.0000_ "/>
    </dxf>
    <dxf>
      <numFmt numFmtId="236" formatCode="0.0000_ "/>
    </dxf>
    <dxf>
      <numFmt numFmtId="237" formatCode="0.0000_ "/>
    </dxf>
    <dxf>
      <numFmt numFmtId="238" formatCode="0.0000_ "/>
    </dxf>
    <dxf>
      <numFmt numFmtId="239" formatCode="0.0000_ "/>
    </dxf>
    <dxf>
      <numFmt numFmtId="240" formatCode="0.0000_ "/>
    </dxf>
    <dxf>
      <numFmt numFmtId="241" formatCode="0.0000_ "/>
    </dxf>
    <dxf>
      <numFmt numFmtId="242" formatCode="0.0000_ "/>
    </dxf>
    <dxf>
      <numFmt numFmtId="243" formatCode="0.0000_ "/>
    </dxf>
    <dxf>
      <numFmt numFmtId="244" formatCode="0.0000_ "/>
    </dxf>
    <dxf>
      <numFmt numFmtId="245" formatCode="0.0000_ "/>
    </dxf>
    <dxf>
      <numFmt numFmtId="246" formatCode="0.0000_ "/>
    </dxf>
    <dxf>
      <numFmt numFmtId="247" formatCode="0.0000_ "/>
    </dxf>
    <dxf>
      <numFmt numFmtId="248" formatCode="0.0000_ "/>
    </dxf>
    <dxf>
      <numFmt numFmtId="249" formatCode="0.0000_ "/>
    </dxf>
    <dxf>
      <numFmt numFmtId="250" formatCode="0.0000_ "/>
    </dxf>
    <dxf>
      <numFmt numFmtId="251" formatCode="0.0000_ "/>
    </dxf>
    <dxf>
      <numFmt numFmtId="252" formatCode="0.0000_ "/>
    </dxf>
    <dxf>
      <numFmt numFmtId="253" formatCode="0.0000_ "/>
    </dxf>
    <dxf>
      <numFmt numFmtId="254" formatCode="0.0000_ "/>
    </dxf>
    <dxf>
      <numFmt numFmtId="255" formatCode="0.0000_ "/>
    </dxf>
    <dxf>
      <numFmt numFmtId="256" formatCode="0.0000_ "/>
    </dxf>
    <dxf>
      <numFmt numFmtId="257" formatCode="0.0000_ "/>
    </dxf>
    <dxf>
      <numFmt numFmtId="258" formatCode="0.0000_ "/>
    </dxf>
    <dxf>
      <numFmt numFmtId="259" formatCode="0.0000_ "/>
    </dxf>
    <dxf>
      <numFmt numFmtId="260" formatCode="0.0000_ "/>
    </dxf>
    <dxf>
      <numFmt numFmtId="261" formatCode="0.0000_ "/>
    </dxf>
    <dxf>
      <numFmt numFmtId="262" formatCode="0.0000_ "/>
    </dxf>
    <dxf>
      <numFmt numFmtId="263" formatCode="0.0000_ "/>
    </dxf>
    <dxf>
      <numFmt numFmtId="264" formatCode="0.0000_ "/>
    </dxf>
    <dxf>
      <numFmt numFmtId="265" formatCode="0.0000_ "/>
    </dxf>
    <dxf>
      <numFmt numFmtId="266" formatCode="0.0000_ "/>
    </dxf>
    <dxf>
      <numFmt numFmtId="267" formatCode="0.0000_ "/>
    </dxf>
    <dxf>
      <numFmt numFmtId="268" formatCode="0.0000_ "/>
    </dxf>
    <dxf>
      <numFmt numFmtId="269" formatCode="0.0000_ "/>
    </dxf>
    <dxf>
      <numFmt numFmtId="270" formatCode="0.0000_ "/>
    </dxf>
    <dxf>
      <numFmt numFmtId="271" formatCode="0.0000_ "/>
    </dxf>
    <dxf>
      <numFmt numFmtId="272" formatCode="0.0000_ "/>
    </dxf>
    <dxf>
      <numFmt numFmtId="273" formatCode="0.0000_ "/>
    </dxf>
    <dxf>
      <numFmt numFmtId="274" formatCode="0.0000_ "/>
    </dxf>
    <dxf>
      <numFmt numFmtId="275" formatCode="0.000_ "/>
    </dxf>
    <dxf>
      <numFmt numFmtId="276" formatCode="0.000_ "/>
    </dxf>
    <dxf>
      <numFmt numFmtId="277" formatCode="0.000_ "/>
    </dxf>
    <dxf>
      <numFmt numFmtId="278" formatCode="0.000_ "/>
    </dxf>
    <dxf>
      <numFmt numFmtId="279" formatCode="0.000_ "/>
    </dxf>
    <dxf>
      <numFmt numFmtId="280" formatCode="0.000_ "/>
    </dxf>
    <dxf>
      <numFmt numFmtId="281" formatCode="0.000_ "/>
    </dxf>
    <dxf>
      <numFmt numFmtId="282" formatCode="0.000_ "/>
    </dxf>
    <dxf>
      <numFmt numFmtId="283" formatCode="0.000_ "/>
    </dxf>
    <dxf>
      <numFmt numFmtId="284" formatCode="0.000_ "/>
    </dxf>
    <dxf>
      <numFmt numFmtId="285" formatCode="0.000_ "/>
    </dxf>
    <dxf>
      <numFmt numFmtId="286" formatCode="0.000_ "/>
    </dxf>
    <dxf>
      <numFmt numFmtId="287" formatCode="0.000_ "/>
    </dxf>
    <dxf>
      <numFmt numFmtId="288" formatCode="0.000_ "/>
    </dxf>
    <dxf>
      <numFmt numFmtId="289" formatCode="0.000_ "/>
    </dxf>
    <dxf>
      <numFmt numFmtId="290" formatCode="0.000_ "/>
    </dxf>
    <dxf>
      <numFmt numFmtId="291" formatCode="0.000_ "/>
    </dxf>
    <dxf>
      <numFmt numFmtId="292" formatCode="0.000_ "/>
    </dxf>
    <dxf>
      <numFmt numFmtId="293" formatCode="0.000_ "/>
    </dxf>
    <dxf>
      <numFmt numFmtId="294" formatCode="0.000_ "/>
    </dxf>
    <dxf>
      <numFmt numFmtId="295" formatCode="0.000_ "/>
    </dxf>
    <dxf>
      <numFmt numFmtId="296" formatCode="0.000_ "/>
    </dxf>
    <dxf>
      <numFmt numFmtId="297" formatCode="0.000_ "/>
    </dxf>
    <dxf>
      <numFmt numFmtId="298" formatCode="0.000_ "/>
    </dxf>
    <dxf>
      <numFmt numFmtId="299" formatCode="0.000_ "/>
    </dxf>
    <dxf>
      <numFmt numFmtId="300" formatCode="0.000_ "/>
    </dxf>
    <dxf>
      <numFmt numFmtId="301" formatCode="0.000_ "/>
    </dxf>
    <dxf>
      <numFmt numFmtId="302" formatCode="0.000_ "/>
    </dxf>
    <dxf>
      <numFmt numFmtId="303" formatCode="0.000_ "/>
    </dxf>
    <dxf>
      <numFmt numFmtId="304" formatCode="0.000_ "/>
    </dxf>
    <dxf>
      <numFmt numFmtId="305" formatCode="0.000_ "/>
    </dxf>
    <dxf>
      <numFmt numFmtId="306" formatCode="0.000_ "/>
    </dxf>
    <dxf>
      <numFmt numFmtId="307" formatCode="0.000_ "/>
    </dxf>
    <dxf>
      <numFmt numFmtId="308" formatCode="0.000_ "/>
    </dxf>
    <dxf>
      <numFmt numFmtId="309" formatCode="0.000_ "/>
    </dxf>
    <dxf>
      <numFmt numFmtId="310" formatCode="0.000_ "/>
    </dxf>
    <dxf>
      <numFmt numFmtId="311" formatCode="0.000_ "/>
    </dxf>
    <dxf>
      <numFmt numFmtId="312" formatCode="0.000_ "/>
    </dxf>
    <dxf>
      <numFmt numFmtId="313" formatCode="0.000_ "/>
    </dxf>
    <dxf>
      <numFmt numFmtId="314" formatCode="0.000_ "/>
    </dxf>
    <dxf>
      <numFmt numFmtId="315" formatCode="0.000_ "/>
    </dxf>
    <dxf>
      <numFmt numFmtId="316" formatCode="0.000_ "/>
    </dxf>
    <dxf>
      <numFmt numFmtId="317" formatCode="0.000_ "/>
    </dxf>
    <dxf>
      <numFmt numFmtId="318" formatCode="0.000_ "/>
    </dxf>
    <dxf>
      <numFmt numFmtId="319" formatCode="0.000_ "/>
    </dxf>
    <dxf>
      <numFmt numFmtId="320" formatCode="0.000_ "/>
    </dxf>
    <dxf>
      <numFmt numFmtId="321" formatCode="0.000_ "/>
    </dxf>
    <dxf>
      <numFmt numFmtId="322" formatCode="0.000_ "/>
    </dxf>
    <dxf>
      <numFmt numFmtId="323" formatCode="0.000_ "/>
    </dxf>
    <dxf>
      <numFmt numFmtId="324" formatCode="0.000_ "/>
    </dxf>
    <dxf>
      <numFmt numFmtId="325" formatCode="0.000_ "/>
    </dxf>
    <dxf>
      <numFmt numFmtId="326" formatCode="0.000_ "/>
    </dxf>
    <dxf>
      <numFmt numFmtId="327" formatCode="0.000_ "/>
    </dxf>
    <dxf>
      <numFmt numFmtId="328" formatCode="0.000_ "/>
    </dxf>
    <dxf>
      <numFmt numFmtId="329" formatCode="0.000_ "/>
    </dxf>
    <dxf>
      <numFmt numFmtId="330" formatCode="0.000_ "/>
    </dxf>
    <dxf>
      <numFmt numFmtId="331" formatCode="0.000_ "/>
    </dxf>
    <dxf>
      <numFmt numFmtId="332" formatCode="0.000_ "/>
    </dxf>
    <dxf>
      <numFmt numFmtId="333" formatCode="0.000_ "/>
    </dxf>
    <dxf>
      <numFmt numFmtId="334" formatCode="0.000_ "/>
    </dxf>
    <dxf>
      <numFmt numFmtId="335" formatCode="0.000_ "/>
    </dxf>
    <dxf>
      <numFmt numFmtId="336" formatCode="0.000_ "/>
    </dxf>
    <dxf>
      <numFmt numFmtId="337" formatCode="0.000_ "/>
    </dxf>
    <dxf>
      <numFmt numFmtId="338" formatCode="0.000_ "/>
    </dxf>
    <dxf>
      <numFmt numFmtId="339" formatCode="0.000_ "/>
    </dxf>
    <dxf>
      <numFmt numFmtId="340" formatCode="0.000_ "/>
    </dxf>
    <dxf>
      <numFmt numFmtId="341" formatCode="0.000_ "/>
    </dxf>
    <dxf>
      <numFmt numFmtId="342" formatCode="0.000_ "/>
    </dxf>
    <dxf>
      <numFmt numFmtId="343" formatCode="0.000_ "/>
    </dxf>
    <dxf>
      <numFmt numFmtId="344" formatCode="0.000_ "/>
    </dxf>
    <dxf>
      <numFmt numFmtId="345" formatCode="0.000_ "/>
    </dxf>
    <dxf>
      <numFmt numFmtId="346" formatCode="0.000_ "/>
    </dxf>
    <dxf>
      <numFmt numFmtId="347" formatCode="0.000_ "/>
    </dxf>
    <dxf>
      <numFmt numFmtId="348" formatCode="0.000_ "/>
    </dxf>
    <dxf>
      <numFmt numFmtId="349" formatCode="0.000_ "/>
    </dxf>
    <dxf>
      <numFmt numFmtId="350" formatCode="0.000_ "/>
    </dxf>
    <dxf>
      <numFmt numFmtId="351" formatCode="0.000_ "/>
    </dxf>
    <dxf>
      <numFmt numFmtId="352" formatCode="0.000_ "/>
    </dxf>
    <dxf>
      <numFmt numFmtId="353" formatCode="0.000_ "/>
    </dxf>
    <dxf>
      <numFmt numFmtId="354" formatCode="0.000_ "/>
    </dxf>
    <dxf>
      <numFmt numFmtId="355" formatCode="0.000_ "/>
    </dxf>
    <dxf>
      <numFmt numFmtId="356" formatCode="0.000_ "/>
    </dxf>
    <dxf>
      <numFmt numFmtId="357" formatCode="0.000_ "/>
    </dxf>
    <dxf>
      <numFmt numFmtId="358" formatCode="0.000_ "/>
    </dxf>
    <dxf>
      <numFmt numFmtId="359" formatCode="0.000_ "/>
    </dxf>
    <dxf>
      <numFmt numFmtId="360" formatCode="0.000_ "/>
    </dxf>
    <dxf>
      <numFmt numFmtId="361" formatCode="0.000_ "/>
    </dxf>
    <dxf>
      <numFmt numFmtId="362" formatCode="0.0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178" formatCode="0.00_ 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1"/>
      </font>
    </dxf>
    <dxf>
      <font>
        <b val="1"/>
      </font>
    </dxf>
    <dxf>
      <font>
        <b val="0"/>
      </font>
    </dxf>
    <dxf>
      <font>
        <b val="0"/>
      </font>
    </dxf>
    <dxf>
      <font>
        <b val="1"/>
      </font>
    </dxf>
    <dxf>
      <font>
        <b val="1"/>
      </font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179" formatCode="0.00_);[Red]\(0.00\)"/>
    </dxf>
    <dxf>
      <numFmt numFmtId="44" formatCode="_(&quot;$&quot;* #,##0.00_);_(&quot;$&quot;* \(#,##0.00\);_(&quot;$&quot;* &quot;-&quot;??_);_(@_)"/>
    </dxf>
    <dxf>
      <numFmt numFmtId="363" formatCode="0.000_ "/>
    </dxf>
    <dxf>
      <numFmt numFmtId="178" formatCode="0.00_ 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numFmt numFmtId="44" formatCode="_(&quot;$&quot;* #,##0.00_);_(&quot;$&quot;* \(#,##0.00\);_(&quot;$&quot;* &quot;-&quot;??_);_(@_)"/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00B05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schemas.openxmlformats.org/officeDocument/2006/relationships/styles" Target="styles.xml"/><Relationship Id="rId26" Type="http://schemas.openxmlformats.org/officeDocument/2006/relationships/sharedStrings" Target="sharedStrings.xml"/><Relationship Id="rId25" Type="http://schemas.openxmlformats.org/officeDocument/2006/relationships/theme" Target="theme/theme1.xml"/><Relationship Id="rId24" Type="http://schemas.microsoft.com/office/2007/relationships/slicerCache" Target="slicerCaches/slicerCache6.xml"/><Relationship Id="rId23" Type="http://schemas.microsoft.com/office/2007/relationships/slicerCache" Target="slicerCaches/slicerCache5.xml"/><Relationship Id="rId22" Type="http://schemas.microsoft.com/office/2007/relationships/slicerCache" Target="slicerCaches/slicerCache4.xml"/><Relationship Id="rId21" Type="http://schemas.microsoft.com/office/2007/relationships/slicerCache" Target="slicerCaches/slicerCache3.xml"/><Relationship Id="rId20" Type="http://schemas.microsoft.com/office/2007/relationships/slicerCache" Target="slicerCaches/slicerCache2.xml"/><Relationship Id="rId2" Type="http://schemas.openxmlformats.org/officeDocument/2006/relationships/worksheet" Target="worksheets/sheet2.xml"/><Relationship Id="rId19" Type="http://schemas.microsoft.com/office/2007/relationships/slicerCache" Target="slicerCaches/slicerCache1.xml"/><Relationship Id="rId18" Type="http://schemas.openxmlformats.org/officeDocument/2006/relationships/pivotCacheDefinition" Target="pivotCache/pivotCacheDefinition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Data.xlsx]11. Revenue by Month pivottable!PivotTable1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by Month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 Revenue by Month pivottable'!$B$3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'11. Revenue by Month pivottable'!$A$4:$A$16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 Revenue by Month pivottable'!$B$4:$B$16</c:f>
              <c:numCache>
                <c:formatCode>_("$"* #,##0.00_);_("$"* \(#,##0.00\);_("$"* "-"??_);_(@_)</c:formatCode>
                <c:ptCount val="12"/>
                <c:pt idx="0">
                  <c:v>701241.31055</c:v>
                </c:pt>
                <c:pt idx="1">
                  <c:v>978103.93578</c:v>
                </c:pt>
                <c:pt idx="2">
                  <c:v>798978.30495</c:v>
                </c:pt>
                <c:pt idx="3">
                  <c:v>947246.57738</c:v>
                </c:pt>
                <c:pt idx="4">
                  <c:v>1262173.91735</c:v>
                </c:pt>
                <c:pt idx="5">
                  <c:v>1316182.07491</c:v>
                </c:pt>
                <c:pt idx="6">
                  <c:v>1313062.29955</c:v>
                </c:pt>
                <c:pt idx="7">
                  <c:v>1089608.81255</c:v>
                </c:pt>
                <c:pt idx="8">
                  <c:v>661159.42946</c:v>
                </c:pt>
                <c:pt idx="9">
                  <c:v>658776.05551</c:v>
                </c:pt>
                <c:pt idx="10">
                  <c:v>543953.69135</c:v>
                </c:pt>
                <c:pt idx="11">
                  <c:v>753809.8002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93603004"/>
        <c:axId val="49593606"/>
      </c:lineChart>
      <c:catAx>
        <c:axId val="4936030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93606"/>
        <c:crosses val="autoZero"/>
        <c:auto val="1"/>
        <c:lblAlgn val="ctr"/>
        <c:lblOffset val="100"/>
        <c:noMultiLvlLbl val="0"/>
      </c:catAx>
      <c:valAx>
        <c:axId val="495936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6030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ba5a4a-3bb0-43a2-901b-4759d98d4c3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Data.xlsx]12.Profit by Region and Channel!PivotTable2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 by Region and Channel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'12.Profit by Region and Channel'!$C$3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'12.Profit by Region and Channel'!$A$4:$B$32</c:f>
              <c:multiLvlStrCache>
                <c:ptCount val="24"/>
                <c:lvl>
                  <c:pt idx="0">
                    <c:v>Direct</c:v>
                  </c:pt>
                  <c:pt idx="1">
                    <c:v>Distributor</c:v>
                  </c:pt>
                  <c:pt idx="2">
                    <c:v>Marketplace</c:v>
                  </c:pt>
                  <c:pt idx="3">
                    <c:v>Not provided</c:v>
                  </c:pt>
                  <c:pt idx="4">
                    <c:v>Online</c:v>
                  </c:pt>
                  <c:pt idx="5">
                    <c:v>Retail</c:v>
                  </c:pt>
                  <c:pt idx="6">
                    <c:v>Direct</c:v>
                  </c:pt>
                  <c:pt idx="7">
                    <c:v>Distributor</c:v>
                  </c:pt>
                  <c:pt idx="8">
                    <c:v>Marketplace</c:v>
                  </c:pt>
                  <c:pt idx="9">
                    <c:v>Not provided</c:v>
                  </c:pt>
                  <c:pt idx="10">
                    <c:v>Online</c:v>
                  </c:pt>
                  <c:pt idx="11">
                    <c:v>Retail</c:v>
                  </c:pt>
                  <c:pt idx="12">
                    <c:v>Direct</c:v>
                  </c:pt>
                  <c:pt idx="13">
                    <c:v>Distributor</c:v>
                  </c:pt>
                  <c:pt idx="14">
                    <c:v>Marketplace</c:v>
                  </c:pt>
                  <c:pt idx="15">
                    <c:v>Not provided</c:v>
                  </c:pt>
                  <c:pt idx="16">
                    <c:v>Online</c:v>
                  </c:pt>
                  <c:pt idx="17">
                    <c:v>Retail</c:v>
                  </c:pt>
                  <c:pt idx="18">
                    <c:v>Direct</c:v>
                  </c:pt>
                  <c:pt idx="19">
                    <c:v>Distributor</c:v>
                  </c:pt>
                  <c:pt idx="20">
                    <c:v>Marketplace</c:v>
                  </c:pt>
                  <c:pt idx="21">
                    <c:v>Not provided</c:v>
                  </c:pt>
                  <c:pt idx="22">
                    <c:v>Online</c:v>
                  </c:pt>
                  <c:pt idx="23">
                    <c:v>Retail</c:v>
                  </c:pt>
                </c:lvl>
                <c:lvl>
                  <c:pt idx="0">
                    <c:v>Africa</c:v>
                  </c:pt>
                  <c:pt idx="6">
                    <c:v>Americas</c:v>
                  </c:pt>
                  <c:pt idx="12">
                    <c:v>Asia</c:v>
                  </c:pt>
                  <c:pt idx="18">
                    <c:v>Europe</c:v>
                  </c:pt>
                </c:lvl>
              </c:multiLvlStrCache>
            </c:multiLvlStrRef>
          </c:cat>
          <c:val>
            <c:numRef>
              <c:f>'12.Profit by Region and Channel'!$C$4:$C$32</c:f>
              <c:numCache>
                <c:formatCode>0.00_ </c:formatCode>
                <c:ptCount val="24"/>
                <c:pt idx="0">
                  <c:v>177919.8197</c:v>
                </c:pt>
                <c:pt idx="1">
                  <c:v>192042.35207</c:v>
                </c:pt>
                <c:pt idx="2">
                  <c:v>164839.30456</c:v>
                </c:pt>
                <c:pt idx="3">
                  <c:v>16237.34423</c:v>
                </c:pt>
                <c:pt idx="4">
                  <c:v>145453.94627</c:v>
                </c:pt>
                <c:pt idx="5">
                  <c:v>156084.16747</c:v>
                </c:pt>
                <c:pt idx="6">
                  <c:v>258674.92591</c:v>
                </c:pt>
                <c:pt idx="7">
                  <c:v>175298.68432</c:v>
                </c:pt>
                <c:pt idx="8">
                  <c:v>96609.64752</c:v>
                </c:pt>
                <c:pt idx="9">
                  <c:v>777.959999999999</c:v>
                </c:pt>
                <c:pt idx="10">
                  <c:v>261943.84437</c:v>
                </c:pt>
                <c:pt idx="11">
                  <c:v>69035.70922</c:v>
                </c:pt>
                <c:pt idx="12">
                  <c:v>229217.47858</c:v>
                </c:pt>
                <c:pt idx="13">
                  <c:v>151146.74599</c:v>
                </c:pt>
                <c:pt idx="14">
                  <c:v>128045.00806</c:v>
                </c:pt>
                <c:pt idx="15">
                  <c:v>20547.54549</c:v>
                </c:pt>
                <c:pt idx="16">
                  <c:v>149042.38969</c:v>
                </c:pt>
                <c:pt idx="17">
                  <c:v>153258.55984</c:v>
                </c:pt>
                <c:pt idx="18">
                  <c:v>292716.95204</c:v>
                </c:pt>
                <c:pt idx="19">
                  <c:v>105550.8522</c:v>
                </c:pt>
                <c:pt idx="20">
                  <c:v>174900.72425</c:v>
                </c:pt>
                <c:pt idx="21">
                  <c:v>8028.70646</c:v>
                </c:pt>
                <c:pt idx="22">
                  <c:v>200067.16277</c:v>
                </c:pt>
                <c:pt idx="23">
                  <c:v>169108.66853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672759026"/>
        <c:axId val="834324906"/>
      </c:barChart>
      <c:catAx>
        <c:axId val="6727590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324906"/>
        <c:crosses val="autoZero"/>
        <c:auto val="1"/>
        <c:lblAlgn val="ctr"/>
        <c:lblOffset val="100"/>
        <c:noMultiLvlLbl val="0"/>
      </c:catAx>
      <c:valAx>
        <c:axId val="8343249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27590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f55fc51-65a0-4e46-a131-5223a336b0a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Data.xlsx]13.Top 10 SKUs by Revenue!PivotTable5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'13.Top 10 SKUs by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'13.Top 10 SKUs by Revenue'!$A$4:$A$14</c:f>
              <c:strCache>
                <c:ptCount val="10"/>
                <c:pt idx="0">
                  <c:v>NET-5523</c:v>
                </c:pt>
                <c:pt idx="1">
                  <c:v>NET-5987</c:v>
                </c:pt>
                <c:pt idx="2">
                  <c:v>LAP-3904</c:v>
                </c:pt>
                <c:pt idx="3">
                  <c:v>CMP-3938</c:v>
                </c:pt>
                <c:pt idx="4">
                  <c:v>MON-6699</c:v>
                </c:pt>
                <c:pt idx="5">
                  <c:v>MON-2266</c:v>
                </c:pt>
                <c:pt idx="6">
                  <c:v>MON-6962</c:v>
                </c:pt>
                <c:pt idx="7">
                  <c:v>LAP-8910</c:v>
                </c:pt>
                <c:pt idx="8">
                  <c:v>NET-2365</c:v>
                </c:pt>
                <c:pt idx="9">
                  <c:v>CMP-8851</c:v>
                </c:pt>
              </c:strCache>
            </c:strRef>
          </c:cat>
          <c:val>
            <c:numRef>
              <c:f>'13.Top 10 SKUs by Revenue'!$B$4:$B$14</c:f>
              <c:numCache>
                <c:formatCode>_("$"* #,##0.00_);_("$"* \(#,##0.00\);_("$"* "-"??_);_(@_)</c:formatCode>
                <c:ptCount val="10"/>
                <c:pt idx="0">
                  <c:v>79548.756</c:v>
                </c:pt>
                <c:pt idx="1">
                  <c:v>82141.3398</c:v>
                </c:pt>
                <c:pt idx="2">
                  <c:v>82514.71152</c:v>
                </c:pt>
                <c:pt idx="3">
                  <c:v>84136.1196</c:v>
                </c:pt>
                <c:pt idx="4">
                  <c:v>85637.74032</c:v>
                </c:pt>
                <c:pt idx="5">
                  <c:v>87404.92992</c:v>
                </c:pt>
                <c:pt idx="6">
                  <c:v>92715.25</c:v>
                </c:pt>
                <c:pt idx="7">
                  <c:v>102122.94204</c:v>
                </c:pt>
                <c:pt idx="8">
                  <c:v>109244</c:v>
                </c:pt>
                <c:pt idx="9">
                  <c:v>139277.83032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64310146"/>
        <c:axId val="236058366"/>
      </c:barChart>
      <c:catAx>
        <c:axId val="564310146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6058366"/>
        <c:crosses val="autoZero"/>
        <c:auto val="1"/>
        <c:lblAlgn val="ctr"/>
        <c:lblOffset val="100"/>
        <c:noMultiLvlLbl val="0"/>
      </c:catAx>
      <c:valAx>
        <c:axId val="23605836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431014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53d355b-dce7-4a9a-a8df-1ea3a9d009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Data.xlsx]13.Top 10 SKUs by Revenue!PivotTable5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10 SKUs by Revenue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'13.Top 10 SKUs by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'13.Top 10 SKUs by Revenue'!$A$4:$A$14</c:f>
              <c:strCache>
                <c:ptCount val="10"/>
                <c:pt idx="0">
                  <c:v>NET-5523</c:v>
                </c:pt>
                <c:pt idx="1">
                  <c:v>NET-5987</c:v>
                </c:pt>
                <c:pt idx="2">
                  <c:v>LAP-3904</c:v>
                </c:pt>
                <c:pt idx="3">
                  <c:v>CMP-3938</c:v>
                </c:pt>
                <c:pt idx="4">
                  <c:v>MON-6699</c:v>
                </c:pt>
                <c:pt idx="5">
                  <c:v>MON-2266</c:v>
                </c:pt>
                <c:pt idx="6">
                  <c:v>MON-6962</c:v>
                </c:pt>
                <c:pt idx="7">
                  <c:v>LAP-8910</c:v>
                </c:pt>
                <c:pt idx="8">
                  <c:v>NET-2365</c:v>
                </c:pt>
                <c:pt idx="9">
                  <c:v>CMP-8851</c:v>
                </c:pt>
              </c:strCache>
            </c:strRef>
          </c:cat>
          <c:val>
            <c:numRef>
              <c:f>'13.Top 10 SKUs by Revenue'!$B$4:$B$14</c:f>
              <c:numCache>
                <c:formatCode>_("$"* #,##0.00_);_("$"* \(#,##0.00\);_("$"* "-"??_);_(@_)</c:formatCode>
                <c:ptCount val="10"/>
                <c:pt idx="0">
                  <c:v>79548.756</c:v>
                </c:pt>
                <c:pt idx="1">
                  <c:v>82141.3398</c:v>
                </c:pt>
                <c:pt idx="2">
                  <c:v>82514.71152</c:v>
                </c:pt>
                <c:pt idx="3">
                  <c:v>84136.1196</c:v>
                </c:pt>
                <c:pt idx="4">
                  <c:v>85637.74032</c:v>
                </c:pt>
                <c:pt idx="5">
                  <c:v>87404.92992</c:v>
                </c:pt>
                <c:pt idx="6">
                  <c:v>92715.25</c:v>
                </c:pt>
                <c:pt idx="7">
                  <c:v>102122.94204</c:v>
                </c:pt>
                <c:pt idx="8">
                  <c:v>109244</c:v>
                </c:pt>
                <c:pt idx="9">
                  <c:v>139277.83032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8322063"/>
        <c:axId val="485517194"/>
      </c:barChart>
      <c:catAx>
        <c:axId val="79832206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5517194"/>
        <c:crosses val="autoZero"/>
        <c:auto val="1"/>
        <c:lblAlgn val="ctr"/>
        <c:lblOffset val="100"/>
        <c:noMultiLvlLbl val="0"/>
      </c:catAx>
      <c:valAx>
        <c:axId val="48551719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832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64d435e-bb06-4241-820a-d345e23afb4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Data.xlsx]14. Discount Outliers!PivotTable1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Distribution of DiscountPct Outliers(&gt;0.25)</a:t>
            </a:r>
            <a:endParaRPr lang="en-GB"/>
          </a:p>
        </c:rich>
      </c:tx>
      <c:layout>
        <c:manualLayout>
          <c:xMode val="edge"/>
          <c:yMode val="edge"/>
          <c:x val="0.205263157894737"/>
          <c:y val="0.097685184191774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1981746559357"/>
          <c:y val="0.212962962962963"/>
          <c:w val="0.678676148177485"/>
          <c:h val="0.398240740740741"/>
        </c:manualLayout>
      </c:layout>
      <c:lineChart>
        <c:grouping val="standard"/>
        <c:varyColors val="0"/>
        <c:ser>
          <c:idx val="0"/>
          <c:order val="0"/>
          <c:tx>
            <c:strRef>
              <c:f>'14. Discount Outliers'!$B$3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'14. Discount Outliers'!$A$4:$A$35</c:f>
              <c:strCache>
                <c:ptCount val="31"/>
                <c:pt idx="0">
                  <c:v>ORD-2023-261081</c:v>
                </c:pt>
                <c:pt idx="1">
                  <c:v>ORD-2023-290279</c:v>
                </c:pt>
                <c:pt idx="2">
                  <c:v>ORD-2023-368449</c:v>
                </c:pt>
                <c:pt idx="3">
                  <c:v>ORD-2023-382272</c:v>
                </c:pt>
                <c:pt idx="4">
                  <c:v>ORD-2023-422918</c:v>
                </c:pt>
                <c:pt idx="5">
                  <c:v>ORD-2023-521818</c:v>
                </c:pt>
                <c:pt idx="6">
                  <c:v>ORD-2023-613287</c:v>
                </c:pt>
                <c:pt idx="7">
                  <c:v>ORD-2023-766015</c:v>
                </c:pt>
                <c:pt idx="8">
                  <c:v>ORD-2023-825084</c:v>
                </c:pt>
                <c:pt idx="9">
                  <c:v>ORD-2023-944052</c:v>
                </c:pt>
                <c:pt idx="10">
                  <c:v>ORD-2024-155337</c:v>
                </c:pt>
                <c:pt idx="11">
                  <c:v>ORD-2024-232632</c:v>
                </c:pt>
                <c:pt idx="12">
                  <c:v>ORD-2024-247979</c:v>
                </c:pt>
                <c:pt idx="13">
                  <c:v>ORD-2024-251426</c:v>
                </c:pt>
                <c:pt idx="14">
                  <c:v>ORD-2024-260775</c:v>
                </c:pt>
                <c:pt idx="15">
                  <c:v>ORD-2024-329104</c:v>
                </c:pt>
                <c:pt idx="16">
                  <c:v>ORD-2024-343877</c:v>
                </c:pt>
                <c:pt idx="17">
                  <c:v>ORD-2024-468501</c:v>
                </c:pt>
                <c:pt idx="18">
                  <c:v>ORD-2024-544865</c:v>
                </c:pt>
                <c:pt idx="19">
                  <c:v>ORD-2024-605629</c:v>
                </c:pt>
                <c:pt idx="20">
                  <c:v>ORD-2024-647473</c:v>
                </c:pt>
                <c:pt idx="21">
                  <c:v>ORD-2024-690270</c:v>
                </c:pt>
                <c:pt idx="22">
                  <c:v>ORD-2024-777623</c:v>
                </c:pt>
                <c:pt idx="23">
                  <c:v>ORD-2024-993481</c:v>
                </c:pt>
                <c:pt idx="24">
                  <c:v>ORD-2024-998320</c:v>
                </c:pt>
                <c:pt idx="25">
                  <c:v>ORD-2024-999607</c:v>
                </c:pt>
                <c:pt idx="26">
                  <c:v>ORD-2025-473192</c:v>
                </c:pt>
                <c:pt idx="27">
                  <c:v>ORD-2025-496178</c:v>
                </c:pt>
                <c:pt idx="28">
                  <c:v>ORD-2025-685236</c:v>
                </c:pt>
                <c:pt idx="29">
                  <c:v>ORD-2025-779530</c:v>
                </c:pt>
                <c:pt idx="30">
                  <c:v>ORD-2025-845715</c:v>
                </c:pt>
              </c:strCache>
            </c:strRef>
          </c:cat>
          <c:val>
            <c:numRef>
              <c:f>'14. Discount Outliers'!$B$4:$B$35</c:f>
              <c:numCache>
                <c:formatCode>General</c:formatCode>
                <c:ptCount val="31"/>
                <c:pt idx="0">
                  <c:v>0.565</c:v>
                </c:pt>
                <c:pt idx="1">
                  <c:v>0.257</c:v>
                </c:pt>
                <c:pt idx="2">
                  <c:v>0.357</c:v>
                </c:pt>
                <c:pt idx="3">
                  <c:v>0.343</c:v>
                </c:pt>
                <c:pt idx="4">
                  <c:v>0.292</c:v>
                </c:pt>
                <c:pt idx="5">
                  <c:v>0.344</c:v>
                </c:pt>
                <c:pt idx="6">
                  <c:v>0.265</c:v>
                </c:pt>
                <c:pt idx="7">
                  <c:v>0.282</c:v>
                </c:pt>
                <c:pt idx="8">
                  <c:v>0.299</c:v>
                </c:pt>
                <c:pt idx="9">
                  <c:v>0.27</c:v>
                </c:pt>
                <c:pt idx="10">
                  <c:v>0.278</c:v>
                </c:pt>
                <c:pt idx="11">
                  <c:v>0.259</c:v>
                </c:pt>
                <c:pt idx="12">
                  <c:v>0.255</c:v>
                </c:pt>
                <c:pt idx="13">
                  <c:v>0.254</c:v>
                </c:pt>
                <c:pt idx="14">
                  <c:v>0.295</c:v>
                </c:pt>
                <c:pt idx="15">
                  <c:v>0.254</c:v>
                </c:pt>
                <c:pt idx="16">
                  <c:v>0.272</c:v>
                </c:pt>
                <c:pt idx="17">
                  <c:v>0.292</c:v>
                </c:pt>
                <c:pt idx="18">
                  <c:v>0.263</c:v>
                </c:pt>
                <c:pt idx="19">
                  <c:v>0.254</c:v>
                </c:pt>
                <c:pt idx="20">
                  <c:v>0.261</c:v>
                </c:pt>
                <c:pt idx="21">
                  <c:v>0.256</c:v>
                </c:pt>
                <c:pt idx="22">
                  <c:v>0.266</c:v>
                </c:pt>
                <c:pt idx="23">
                  <c:v>0.314</c:v>
                </c:pt>
                <c:pt idx="24">
                  <c:v>0.318</c:v>
                </c:pt>
                <c:pt idx="25">
                  <c:v>0.258</c:v>
                </c:pt>
                <c:pt idx="26">
                  <c:v>0.293</c:v>
                </c:pt>
                <c:pt idx="27">
                  <c:v>0.257</c:v>
                </c:pt>
                <c:pt idx="28">
                  <c:v>0.317</c:v>
                </c:pt>
                <c:pt idx="29">
                  <c:v>0.346</c:v>
                </c:pt>
                <c:pt idx="30">
                  <c:v>0.255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134260"/>
        <c:axId val="970508801"/>
      </c:lineChart>
      <c:catAx>
        <c:axId val="3431342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508801"/>
        <c:crosses val="autoZero"/>
        <c:auto val="1"/>
        <c:lblAlgn val="ctr"/>
        <c:lblOffset val="100"/>
        <c:noMultiLvlLbl val="0"/>
      </c:catAx>
      <c:valAx>
        <c:axId val="9705088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1342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707700e-5522-4ac3-931e-83f2b49216b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Data.xlsx]13.Top 10 SKUs by Revenue!PivotTable5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10 SKUs by Revenue</a:t>
            </a:r>
            <a:endParaRPr lang="en-GB"/>
          </a:p>
        </c:rich>
      </c:tx>
      <c:layout>
        <c:manualLayout>
          <c:xMode val="edge"/>
          <c:yMode val="edge"/>
          <c:x val="0.353760886437725"/>
          <c:y val="0.068824530053991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25384006334125"/>
          <c:y val="0.260988074957411"/>
          <c:w val="0.505574030087094"/>
          <c:h val="0.574241908006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'13.Top 10 SKUs by Revenue'!$B$3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'13.Top 10 SKUs by Revenue'!$A$4:$A$14</c:f>
              <c:strCache>
                <c:ptCount val="10"/>
                <c:pt idx="0">
                  <c:v>NET-5523</c:v>
                </c:pt>
                <c:pt idx="1">
                  <c:v>NET-5987</c:v>
                </c:pt>
                <c:pt idx="2">
                  <c:v>LAP-3904</c:v>
                </c:pt>
                <c:pt idx="3">
                  <c:v>CMP-3938</c:v>
                </c:pt>
                <c:pt idx="4">
                  <c:v>MON-6699</c:v>
                </c:pt>
                <c:pt idx="5">
                  <c:v>MON-2266</c:v>
                </c:pt>
                <c:pt idx="6">
                  <c:v>MON-6962</c:v>
                </c:pt>
                <c:pt idx="7">
                  <c:v>LAP-8910</c:v>
                </c:pt>
                <c:pt idx="8">
                  <c:v>NET-2365</c:v>
                </c:pt>
                <c:pt idx="9">
                  <c:v>CMP-8851</c:v>
                </c:pt>
              </c:strCache>
            </c:strRef>
          </c:cat>
          <c:val>
            <c:numRef>
              <c:f>'13.Top 10 SKUs by Revenue'!$B$4:$B$14</c:f>
              <c:numCache>
                <c:formatCode>_("$"* #,##0.00_);_("$"* \(#,##0.00\);_("$"* "-"??_);_(@_)</c:formatCode>
                <c:ptCount val="10"/>
                <c:pt idx="0">
                  <c:v>79548.756</c:v>
                </c:pt>
                <c:pt idx="1">
                  <c:v>82141.3398</c:v>
                </c:pt>
                <c:pt idx="2">
                  <c:v>82514.71152</c:v>
                </c:pt>
                <c:pt idx="3">
                  <c:v>84136.1196</c:v>
                </c:pt>
                <c:pt idx="4">
                  <c:v>85637.74032</c:v>
                </c:pt>
                <c:pt idx="5">
                  <c:v>87404.92992</c:v>
                </c:pt>
                <c:pt idx="6">
                  <c:v>92715.25</c:v>
                </c:pt>
                <c:pt idx="7">
                  <c:v>102122.94204</c:v>
                </c:pt>
                <c:pt idx="8">
                  <c:v>109244</c:v>
                </c:pt>
                <c:pt idx="9">
                  <c:v>139277.83032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98322063"/>
        <c:axId val="485517194"/>
      </c:barChart>
      <c:catAx>
        <c:axId val="798322063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485517194"/>
        <c:crosses val="autoZero"/>
        <c:auto val="1"/>
        <c:lblAlgn val="ctr"/>
        <c:lblOffset val="100"/>
        <c:tickLblSkip val="1"/>
        <c:noMultiLvlLbl val="0"/>
      </c:catAx>
      <c:valAx>
        <c:axId val="48551719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832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924f3db-3b7d-4575-983c-e9a930d170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Data.xlsx]11. Revenue by Month pivottable!PivotTable1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Revenue by Month</a:t>
            </a:r>
            <a:endParaRPr 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'11. Revenue by Month pivottable'!$B$3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'11. Revenue by Month pivottable'!$A$4:$A$16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'11. Revenue by Month pivottable'!$B$4:$B$16</c:f>
              <c:numCache>
                <c:formatCode>_("$"* #,##0.00_);_("$"* \(#,##0.00\);_("$"* "-"??_);_(@_)</c:formatCode>
                <c:ptCount val="12"/>
                <c:pt idx="0">
                  <c:v>701241.31055</c:v>
                </c:pt>
                <c:pt idx="1">
                  <c:v>978103.93578</c:v>
                </c:pt>
                <c:pt idx="2">
                  <c:v>798978.30495</c:v>
                </c:pt>
                <c:pt idx="3">
                  <c:v>947246.57738</c:v>
                </c:pt>
                <c:pt idx="4">
                  <c:v>1262173.91735</c:v>
                </c:pt>
                <c:pt idx="5">
                  <c:v>1316182.07491</c:v>
                </c:pt>
                <c:pt idx="6">
                  <c:v>1313062.29955</c:v>
                </c:pt>
                <c:pt idx="7">
                  <c:v>1089608.81255</c:v>
                </c:pt>
                <c:pt idx="8">
                  <c:v>661159.42946</c:v>
                </c:pt>
                <c:pt idx="9">
                  <c:v>658776.05551</c:v>
                </c:pt>
                <c:pt idx="10">
                  <c:v>543953.69135</c:v>
                </c:pt>
                <c:pt idx="11">
                  <c:v>753809.8002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493603004"/>
        <c:axId val="49593606"/>
      </c:lineChart>
      <c:catAx>
        <c:axId val="49360300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593606"/>
        <c:crosses val="autoZero"/>
        <c:auto val="1"/>
        <c:lblAlgn val="ctr"/>
        <c:lblOffset val="100"/>
        <c:noMultiLvlLbl val="0"/>
      </c:catAx>
      <c:valAx>
        <c:axId val="495936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(&quot;$&quot;* #,##0.00_);_(&quot;$&quot;* \(#,##0.00\);_(&quot;$&quot;* &quot;-&quot;??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36030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7084f4e-be29-431f-bfae-6e646f655c8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Data.xlsx]12.Profit by Region and Channel!PivotTable2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Profit by Region and Channel</a:t>
            </a:r>
            <a:endParaRPr lang="en-GB"/>
          </a:p>
        </c:rich>
      </c:tx>
      <c:layout>
        <c:manualLayout>
          <c:xMode val="edge"/>
          <c:yMode val="edge"/>
          <c:x val="0.218799229310144"/>
          <c:y val="0.056290664023238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8245091284701"/>
          <c:y val="0.222453014628834"/>
          <c:w val="0.817079444026322"/>
          <c:h val="0.30915103334160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'12.Profit by Region and Channel'!$C$3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dLbls>
            <c:delete val="1"/>
          </c:dLbls>
          <c:cat>
            <c:multiLvlStrRef>
              <c:f>'12.Profit by Region and Channel'!$A$4:$B$32</c:f>
              <c:multiLvlStrCache>
                <c:ptCount val="24"/>
                <c:lvl>
                  <c:pt idx="0">
                    <c:v>Direct</c:v>
                  </c:pt>
                  <c:pt idx="1">
                    <c:v>Distributor</c:v>
                  </c:pt>
                  <c:pt idx="2">
                    <c:v>Marketplace</c:v>
                  </c:pt>
                  <c:pt idx="3">
                    <c:v>Not provided</c:v>
                  </c:pt>
                  <c:pt idx="4">
                    <c:v>Online</c:v>
                  </c:pt>
                  <c:pt idx="5">
                    <c:v>Retail</c:v>
                  </c:pt>
                  <c:pt idx="6">
                    <c:v>Direct</c:v>
                  </c:pt>
                  <c:pt idx="7">
                    <c:v>Distributor</c:v>
                  </c:pt>
                  <c:pt idx="8">
                    <c:v>Marketplace</c:v>
                  </c:pt>
                  <c:pt idx="9">
                    <c:v>Not provided</c:v>
                  </c:pt>
                  <c:pt idx="10">
                    <c:v>Online</c:v>
                  </c:pt>
                  <c:pt idx="11">
                    <c:v>Retail</c:v>
                  </c:pt>
                  <c:pt idx="12">
                    <c:v>Direct</c:v>
                  </c:pt>
                  <c:pt idx="13">
                    <c:v>Distributor</c:v>
                  </c:pt>
                  <c:pt idx="14">
                    <c:v>Marketplace</c:v>
                  </c:pt>
                  <c:pt idx="15">
                    <c:v>Not provided</c:v>
                  </c:pt>
                  <c:pt idx="16">
                    <c:v>Online</c:v>
                  </c:pt>
                  <c:pt idx="17">
                    <c:v>Retail</c:v>
                  </c:pt>
                  <c:pt idx="18">
                    <c:v>Direct</c:v>
                  </c:pt>
                  <c:pt idx="19">
                    <c:v>Distributor</c:v>
                  </c:pt>
                  <c:pt idx="20">
                    <c:v>Marketplace</c:v>
                  </c:pt>
                  <c:pt idx="21">
                    <c:v>Not provided</c:v>
                  </c:pt>
                  <c:pt idx="22">
                    <c:v>Online</c:v>
                  </c:pt>
                  <c:pt idx="23">
                    <c:v>Retail</c:v>
                  </c:pt>
                </c:lvl>
                <c:lvl>
                  <c:pt idx="0">
                    <c:v>Africa</c:v>
                  </c:pt>
                  <c:pt idx="6">
                    <c:v>Americas</c:v>
                  </c:pt>
                  <c:pt idx="12">
                    <c:v>Asia</c:v>
                  </c:pt>
                  <c:pt idx="18">
                    <c:v>Europe</c:v>
                  </c:pt>
                </c:lvl>
              </c:multiLvlStrCache>
            </c:multiLvlStrRef>
          </c:cat>
          <c:val>
            <c:numRef>
              <c:f>'12.Profit by Region and Channel'!$C$4:$C$32</c:f>
              <c:numCache>
                <c:formatCode>0.00_ </c:formatCode>
                <c:ptCount val="24"/>
                <c:pt idx="0">
                  <c:v>177919.8197</c:v>
                </c:pt>
                <c:pt idx="1">
                  <c:v>192042.35207</c:v>
                </c:pt>
                <c:pt idx="2">
                  <c:v>164839.30456</c:v>
                </c:pt>
                <c:pt idx="3">
                  <c:v>16237.34423</c:v>
                </c:pt>
                <c:pt idx="4">
                  <c:v>145453.94627</c:v>
                </c:pt>
                <c:pt idx="5">
                  <c:v>156084.16747</c:v>
                </c:pt>
                <c:pt idx="6">
                  <c:v>258674.92591</c:v>
                </c:pt>
                <c:pt idx="7">
                  <c:v>175298.68432</c:v>
                </c:pt>
                <c:pt idx="8">
                  <c:v>96609.64752</c:v>
                </c:pt>
                <c:pt idx="9">
                  <c:v>777.959999999999</c:v>
                </c:pt>
                <c:pt idx="10">
                  <c:v>261943.84437</c:v>
                </c:pt>
                <c:pt idx="11">
                  <c:v>69035.70922</c:v>
                </c:pt>
                <c:pt idx="12">
                  <c:v>229217.47858</c:v>
                </c:pt>
                <c:pt idx="13">
                  <c:v>151146.74599</c:v>
                </c:pt>
                <c:pt idx="14">
                  <c:v>128045.00806</c:v>
                </c:pt>
                <c:pt idx="15">
                  <c:v>20547.54549</c:v>
                </c:pt>
                <c:pt idx="16">
                  <c:v>149042.38969</c:v>
                </c:pt>
                <c:pt idx="17">
                  <c:v>153258.55984</c:v>
                </c:pt>
                <c:pt idx="18">
                  <c:v>292716.95204</c:v>
                </c:pt>
                <c:pt idx="19">
                  <c:v>105550.8522</c:v>
                </c:pt>
                <c:pt idx="20">
                  <c:v>174900.72425</c:v>
                </c:pt>
                <c:pt idx="21">
                  <c:v>8028.70646</c:v>
                </c:pt>
                <c:pt idx="22">
                  <c:v>200067.16277</c:v>
                </c:pt>
                <c:pt idx="23">
                  <c:v>169108.66853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5"/>
        <c:overlap val="100"/>
        <c:axId val="672759026"/>
        <c:axId val="834324906"/>
      </c:barChart>
      <c:catAx>
        <c:axId val="6727590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324906"/>
        <c:crosses val="autoZero"/>
        <c:auto val="1"/>
        <c:lblAlgn val="ctr"/>
        <c:lblOffset val="100"/>
        <c:tickLblSkip val="1"/>
        <c:noMultiLvlLbl val="0"/>
      </c:catAx>
      <c:valAx>
        <c:axId val="83432490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,&quot;K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275902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19b9524-9c51-4a5a-aafa-e78f4d9d846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Data.xlsx]14. Discount Outliers!PivotTable1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0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defRPr>
            </a:pPr>
            <a:r>
              <a:rPr lang="en-GB" sz="1000">
                <a:latin typeface="Times New Roman" panose="02020603050405020304" charset="0"/>
                <a:ea typeface="Times New Roman" panose="02020603050405020304" charset="0"/>
                <a:cs typeface="Times New Roman" panose="02020603050405020304" charset="0"/>
                <a:sym typeface="Times New Roman" panose="02020603050405020304" charset="0"/>
              </a:rPr>
              <a:t>Distribution of DiscountPct Outliers(&gt;0.25)</a:t>
            </a:r>
            <a:endParaRPr lang="en-GB" sz="1000">
              <a:latin typeface="Times New Roman" panose="02020603050405020304" charset="0"/>
              <a:ea typeface="Times New Roman" panose="02020603050405020304" charset="0"/>
              <a:cs typeface="Times New Roman" panose="02020603050405020304" charset="0"/>
              <a:sym typeface="Times New Roman" panose="02020603050405020304" charset="0"/>
            </a:endParaRPr>
          </a:p>
        </c:rich>
      </c:tx>
      <c:layout>
        <c:manualLayout>
          <c:xMode val="edge"/>
          <c:yMode val="edge"/>
          <c:x val="0.218907791005713"/>
          <c:y val="0.0781412102504063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1981746559357"/>
          <c:y val="0.212962962962963"/>
          <c:w val="0.678676148177485"/>
          <c:h val="0.398240740740741"/>
        </c:manualLayout>
      </c:layout>
      <c:lineChart>
        <c:grouping val="standard"/>
        <c:varyColors val="0"/>
        <c:ser>
          <c:idx val="0"/>
          <c:order val="0"/>
          <c:tx>
            <c:strRef>
              <c:f>'14. Discount Outliers'!$B$3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'14. Discount Outliers'!$A$4:$A$35</c:f>
              <c:strCache>
                <c:ptCount val="31"/>
                <c:pt idx="0">
                  <c:v>ORD-2023-261081</c:v>
                </c:pt>
                <c:pt idx="1">
                  <c:v>ORD-2023-290279</c:v>
                </c:pt>
                <c:pt idx="2">
                  <c:v>ORD-2023-368449</c:v>
                </c:pt>
                <c:pt idx="3">
                  <c:v>ORD-2023-382272</c:v>
                </c:pt>
                <c:pt idx="4">
                  <c:v>ORD-2023-422918</c:v>
                </c:pt>
                <c:pt idx="5">
                  <c:v>ORD-2023-521818</c:v>
                </c:pt>
                <c:pt idx="6">
                  <c:v>ORD-2023-613287</c:v>
                </c:pt>
                <c:pt idx="7">
                  <c:v>ORD-2023-766015</c:v>
                </c:pt>
                <c:pt idx="8">
                  <c:v>ORD-2023-825084</c:v>
                </c:pt>
                <c:pt idx="9">
                  <c:v>ORD-2023-944052</c:v>
                </c:pt>
                <c:pt idx="10">
                  <c:v>ORD-2024-155337</c:v>
                </c:pt>
                <c:pt idx="11">
                  <c:v>ORD-2024-232632</c:v>
                </c:pt>
                <c:pt idx="12">
                  <c:v>ORD-2024-247979</c:v>
                </c:pt>
                <c:pt idx="13">
                  <c:v>ORD-2024-251426</c:v>
                </c:pt>
                <c:pt idx="14">
                  <c:v>ORD-2024-260775</c:v>
                </c:pt>
                <c:pt idx="15">
                  <c:v>ORD-2024-329104</c:v>
                </c:pt>
                <c:pt idx="16">
                  <c:v>ORD-2024-343877</c:v>
                </c:pt>
                <c:pt idx="17">
                  <c:v>ORD-2024-468501</c:v>
                </c:pt>
                <c:pt idx="18">
                  <c:v>ORD-2024-544865</c:v>
                </c:pt>
                <c:pt idx="19">
                  <c:v>ORD-2024-605629</c:v>
                </c:pt>
                <c:pt idx="20">
                  <c:v>ORD-2024-647473</c:v>
                </c:pt>
                <c:pt idx="21">
                  <c:v>ORD-2024-690270</c:v>
                </c:pt>
                <c:pt idx="22">
                  <c:v>ORD-2024-777623</c:v>
                </c:pt>
                <c:pt idx="23">
                  <c:v>ORD-2024-993481</c:v>
                </c:pt>
                <c:pt idx="24">
                  <c:v>ORD-2024-998320</c:v>
                </c:pt>
                <c:pt idx="25">
                  <c:v>ORD-2024-999607</c:v>
                </c:pt>
                <c:pt idx="26">
                  <c:v>ORD-2025-473192</c:v>
                </c:pt>
                <c:pt idx="27">
                  <c:v>ORD-2025-496178</c:v>
                </c:pt>
                <c:pt idx="28">
                  <c:v>ORD-2025-685236</c:v>
                </c:pt>
                <c:pt idx="29">
                  <c:v>ORD-2025-779530</c:v>
                </c:pt>
                <c:pt idx="30">
                  <c:v>ORD-2025-845715</c:v>
                </c:pt>
              </c:strCache>
            </c:strRef>
          </c:cat>
          <c:val>
            <c:numRef>
              <c:f>'14. Discount Outliers'!$B$4:$B$35</c:f>
              <c:numCache>
                <c:formatCode>General</c:formatCode>
                <c:ptCount val="31"/>
                <c:pt idx="0">
                  <c:v>0.565</c:v>
                </c:pt>
                <c:pt idx="1">
                  <c:v>0.257</c:v>
                </c:pt>
                <c:pt idx="2">
                  <c:v>0.357</c:v>
                </c:pt>
                <c:pt idx="3">
                  <c:v>0.343</c:v>
                </c:pt>
                <c:pt idx="4">
                  <c:v>0.292</c:v>
                </c:pt>
                <c:pt idx="5">
                  <c:v>0.344</c:v>
                </c:pt>
                <c:pt idx="6">
                  <c:v>0.265</c:v>
                </c:pt>
                <c:pt idx="7">
                  <c:v>0.282</c:v>
                </c:pt>
                <c:pt idx="8">
                  <c:v>0.299</c:v>
                </c:pt>
                <c:pt idx="9">
                  <c:v>0.27</c:v>
                </c:pt>
                <c:pt idx="10">
                  <c:v>0.278</c:v>
                </c:pt>
                <c:pt idx="11">
                  <c:v>0.259</c:v>
                </c:pt>
                <c:pt idx="12">
                  <c:v>0.255</c:v>
                </c:pt>
                <c:pt idx="13">
                  <c:v>0.254</c:v>
                </c:pt>
                <c:pt idx="14">
                  <c:v>0.295</c:v>
                </c:pt>
                <c:pt idx="15">
                  <c:v>0.254</c:v>
                </c:pt>
                <c:pt idx="16">
                  <c:v>0.272</c:v>
                </c:pt>
                <c:pt idx="17">
                  <c:v>0.292</c:v>
                </c:pt>
                <c:pt idx="18">
                  <c:v>0.263</c:v>
                </c:pt>
                <c:pt idx="19">
                  <c:v>0.254</c:v>
                </c:pt>
                <c:pt idx="20">
                  <c:v>0.261</c:v>
                </c:pt>
                <c:pt idx="21">
                  <c:v>0.256</c:v>
                </c:pt>
                <c:pt idx="22">
                  <c:v>0.266</c:v>
                </c:pt>
                <c:pt idx="23">
                  <c:v>0.314</c:v>
                </c:pt>
                <c:pt idx="24">
                  <c:v>0.318</c:v>
                </c:pt>
                <c:pt idx="25">
                  <c:v>0.258</c:v>
                </c:pt>
                <c:pt idx="26">
                  <c:v>0.293</c:v>
                </c:pt>
                <c:pt idx="27">
                  <c:v>0.257</c:v>
                </c:pt>
                <c:pt idx="28">
                  <c:v>0.317</c:v>
                </c:pt>
                <c:pt idx="29">
                  <c:v>0.346</c:v>
                </c:pt>
                <c:pt idx="30">
                  <c:v>0.255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43134260"/>
        <c:axId val="970508801"/>
      </c:lineChart>
      <c:catAx>
        <c:axId val="343134260"/>
        <c:scaling>
          <c:orientation val="minMax"/>
        </c:scaling>
        <c:delete val="0"/>
        <c:axPos val="b"/>
        <c:title>
          <c:layout/>
          <c:overlay val="0"/>
          <c:spPr>
            <a:noFill/>
            <a:ln>
              <a:noFill/>
            </a:ln>
            <a:effectLst/>
          </c:spPr>
          <c:txPr>
            <a:bodyPr rot="0" spcFirstLastPara="0" vertOverflow="ellipsis" vert="horz" wrap="square" anchor="ctr" anchorCtr="1"/>
            <a:lstStyle/>
            <a:p>
              <a:pPr>
                <a:defRPr lang="en-US" sz="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508801"/>
        <c:crosses val="autoZero"/>
        <c:auto val="1"/>
        <c:lblAlgn val="ctr"/>
        <c:lblOffset val="100"/>
        <c:noMultiLvlLbl val="0"/>
      </c:catAx>
      <c:valAx>
        <c:axId val="97050880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000"/>
                  <a:t>DiscountPct</a:t>
                </a:r>
                <a:endParaRPr lang="en-GB" sz="10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31342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cf0291d-5daf-4c30-bc71-1992316286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600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croll" dx="22" fmlaLink="$F$2" horiz="1" max="25" page="5" val="23"/>
</file>

<file path=xl/ctrlProps/ctrlProp2.xml><?xml version="1.0" encoding="utf-8"?>
<formControlPr xmlns="http://schemas.microsoft.com/office/spreadsheetml/2009/9/main" objectType="Scroll" dx="22" fmlaLink="$F$6" horiz="1" max="15" page="5" val="12"/>
</file>

<file path=xl/ctrlProps/ctrlProp3.xml><?xml version="1.0" encoding="utf-8"?>
<formControlPr xmlns="http://schemas.microsoft.com/office/spreadsheetml/2009/9/main" objectType="Scroll" dx="22" fmlaLink="$F$10" horiz="1" max="20" page="5" val="20"/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4" Type="http://schemas.openxmlformats.org/officeDocument/2006/relationships/chart" Target="../charts/chart9.xml"/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1</xdr:row>
          <xdr:rowOff>19050</xdr:rowOff>
        </xdr:from>
        <xdr:to>
          <xdr:col>4</xdr:col>
          <xdr:colOff>600075</xdr:colOff>
          <xdr:row>3</xdr:row>
          <xdr:rowOff>0</xdr:rowOff>
        </xdr:to>
        <xdr:sp>
          <xdr:nvSpPr>
            <xdr:cNvPr id="1026" name="GlobalDiscountCap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4149725" y="209550"/>
              <a:ext cx="1797685" cy="361950"/>
            </a:xfrm>
            <a:prstGeom prst="rect">
              <a:avLst/>
            </a:prstGeom>
          </xdr:spPr>
          <xdr:txBody>
            <a:bodyPr vertOverflow="clip" wrap="square" lIns="18288" tIns="0" rIns="0" bIns="0" anchor="t" upright="1"/>
            <a:lstStyle/>
            <a:p>
              <a:pPr algn="l" rtl="0">
                <a:defRPr sz="1000"/>
              </a:pPr>
              <a:endParaRPr lang="en-GB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5</xdr:row>
          <xdr:rowOff>19050</xdr:rowOff>
        </xdr:from>
        <xdr:to>
          <xdr:col>5</xdr:col>
          <xdr:colOff>0</xdr:colOff>
          <xdr:row>7</xdr:row>
          <xdr:rowOff>9525</xdr:rowOff>
        </xdr:to>
        <xdr:sp>
          <xdr:nvSpPr>
            <xdr:cNvPr id="1028" name="UnitCost Inflation Factor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4149725" y="971550"/>
              <a:ext cx="1805940" cy="37147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19050</xdr:colOff>
          <xdr:row>9</xdr:row>
          <xdr:rowOff>19050</xdr:rowOff>
        </xdr:from>
        <xdr:to>
          <xdr:col>5</xdr:col>
          <xdr:colOff>9525</xdr:colOff>
          <xdr:row>11</xdr:row>
          <xdr:rowOff>28575</xdr:rowOff>
        </xdr:to>
        <xdr:sp>
          <xdr:nvSpPr>
            <xdr:cNvPr id="1030" name="Quantity Uplift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4149725" y="1733550"/>
              <a:ext cx="1815465" cy="39052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336550</xdr:colOff>
      <xdr:row>1</xdr:row>
      <xdr:rowOff>133350</xdr:rowOff>
    </xdr:from>
    <xdr:to>
      <xdr:col>10</xdr:col>
      <xdr:colOff>285750</xdr:colOff>
      <xdr:row>16</xdr:row>
      <xdr:rowOff>114300</xdr:rowOff>
    </xdr:to>
    <xdr:graphicFrame>
      <xdr:nvGraphicFramePr>
        <xdr:cNvPr id="2" name="Chart 1"/>
        <xdr:cNvGraphicFramePr/>
      </xdr:nvGraphicFramePr>
      <xdr:xfrm>
        <a:off x="2571115" y="317500"/>
        <a:ext cx="48158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317500</xdr:colOff>
      <xdr:row>2</xdr:row>
      <xdr:rowOff>133350</xdr:rowOff>
    </xdr:from>
    <xdr:to>
      <xdr:col>13</xdr:col>
      <xdr:colOff>276225</xdr:colOff>
      <xdr:row>18</xdr:row>
      <xdr:rowOff>152400</xdr:rowOff>
    </xdr:to>
    <xdr:graphicFrame>
      <xdr:nvGraphicFramePr>
        <xdr:cNvPr id="2" name="Chart 1"/>
        <xdr:cNvGraphicFramePr/>
      </xdr:nvGraphicFramePr>
      <xdr:xfrm>
        <a:off x="4227830" y="501650"/>
        <a:ext cx="5114925" cy="2965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1066800</xdr:colOff>
      <xdr:row>617</xdr:row>
      <xdr:rowOff>44450</xdr:rowOff>
    </xdr:from>
    <xdr:to>
      <xdr:col>9</xdr:col>
      <xdr:colOff>158750</xdr:colOff>
      <xdr:row>632</xdr:row>
      <xdr:rowOff>25400</xdr:rowOff>
    </xdr:to>
    <xdr:graphicFrame>
      <xdr:nvGraphicFramePr>
        <xdr:cNvPr id="2" name="Chart 1"/>
        <xdr:cNvGraphicFramePr/>
      </xdr:nvGraphicFramePr>
      <xdr:xfrm>
        <a:off x="1854835" y="113665000"/>
        <a:ext cx="479679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450215</xdr:colOff>
      <xdr:row>2</xdr:row>
      <xdr:rowOff>19050</xdr:rowOff>
    </xdr:from>
    <xdr:to>
      <xdr:col>11</xdr:col>
      <xdr:colOff>247650</xdr:colOff>
      <xdr:row>18</xdr:row>
      <xdr:rowOff>9526</xdr:rowOff>
    </xdr:to>
    <xdr:graphicFrame>
      <xdr:nvGraphicFramePr>
        <xdr:cNvPr id="3" name="Chart 2"/>
        <xdr:cNvGraphicFramePr/>
      </xdr:nvGraphicFramePr>
      <xdr:xfrm>
        <a:off x="2684780" y="387350"/>
        <a:ext cx="5272405" cy="2936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158750</xdr:colOff>
      <xdr:row>2</xdr:row>
      <xdr:rowOff>6350</xdr:rowOff>
    </xdr:from>
    <xdr:to>
      <xdr:col>10</xdr:col>
      <xdr:colOff>107950</xdr:colOff>
      <xdr:row>16</xdr:row>
      <xdr:rowOff>171450</xdr:rowOff>
    </xdr:to>
    <xdr:graphicFrame>
      <xdr:nvGraphicFramePr>
        <xdr:cNvPr id="3" name="Chart 2"/>
        <xdr:cNvGraphicFramePr/>
      </xdr:nvGraphicFramePr>
      <xdr:xfrm>
        <a:off x="2493645" y="374650"/>
        <a:ext cx="481584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25400</xdr:colOff>
      <xdr:row>0</xdr:row>
      <xdr:rowOff>6350</xdr:rowOff>
    </xdr:from>
    <xdr:to>
      <xdr:col>10</xdr:col>
      <xdr:colOff>0</xdr:colOff>
      <xdr:row>2</xdr:row>
      <xdr:rowOff>127000</xdr:rowOff>
    </xdr:to>
    <xdr:sp>
      <xdr:nvSpPr>
        <xdr:cNvPr id="2" name="Rectangles 1"/>
        <xdr:cNvSpPr/>
      </xdr:nvSpPr>
      <xdr:spPr>
        <a:xfrm>
          <a:off x="2458720" y="6350"/>
          <a:ext cx="3624580" cy="372745"/>
        </a:xfrm>
        <a:prstGeom prst="rect">
          <a:avLst/>
        </a:prstGeom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sz="2600">
              <a:latin typeface="Times New Roman" panose="02020603050405020304" charset="0"/>
              <a:cs typeface="Times New Roman" panose="02020603050405020304" charset="0"/>
            </a:rPr>
            <a:t>SALES DASHBOARD</a:t>
          </a:r>
          <a:endParaRPr lang="en-US" sz="2600">
            <a:latin typeface="Times New Roman" panose="02020603050405020304" charset="0"/>
            <a:cs typeface="Times New Roman" panose="02020603050405020304" charset="0"/>
          </a:endParaRPr>
        </a:p>
      </xdr:txBody>
    </xdr:sp>
    <xdr:clientData/>
  </xdr:twoCellAnchor>
  <xdr:twoCellAnchor>
    <xdr:from>
      <xdr:col>4</xdr:col>
      <xdr:colOff>419100</xdr:colOff>
      <xdr:row>7</xdr:row>
      <xdr:rowOff>85724</xdr:rowOff>
    </xdr:from>
    <xdr:to>
      <xdr:col>11</xdr:col>
      <xdr:colOff>161925</xdr:colOff>
      <xdr:row>23</xdr:row>
      <xdr:rowOff>19049</xdr:rowOff>
    </xdr:to>
    <xdr:graphicFrame>
      <xdr:nvGraphicFramePr>
        <xdr:cNvPr id="4" name="Chart 3"/>
        <xdr:cNvGraphicFramePr/>
      </xdr:nvGraphicFramePr>
      <xdr:xfrm>
        <a:off x="2852420" y="969645"/>
        <a:ext cx="4001135" cy="1955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19050</xdr:colOff>
      <xdr:row>3</xdr:row>
      <xdr:rowOff>37465</xdr:rowOff>
    </xdr:from>
    <xdr:to>
      <xdr:col>2</xdr:col>
      <xdr:colOff>114935</xdr:colOff>
      <xdr:row>15</xdr:row>
      <xdr:rowOff>9525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050" y="416560"/>
              <a:ext cx="1312545" cy="14884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47625</xdr:colOff>
      <xdr:row>15</xdr:row>
      <xdr:rowOff>47625</xdr:rowOff>
    </xdr:from>
    <xdr:to>
      <xdr:col>2</xdr:col>
      <xdr:colOff>130175</xdr:colOff>
      <xdr:row>27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Count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5" y="1943100"/>
              <a:ext cx="1299210" cy="15163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139700</xdr:colOff>
      <xdr:row>3</xdr:row>
      <xdr:rowOff>53974</xdr:rowOff>
    </xdr:from>
    <xdr:to>
      <xdr:col>4</xdr:col>
      <xdr:colOff>247650</xdr:colOff>
      <xdr:row>14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Channel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hanne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6360" y="432435"/>
              <a:ext cx="1324610" cy="14509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142875</xdr:colOff>
      <xdr:row>27</xdr:row>
      <xdr:rowOff>28575</xdr:rowOff>
    </xdr:from>
    <xdr:to>
      <xdr:col>4</xdr:col>
      <xdr:colOff>285750</xdr:colOff>
      <xdr:row>39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Salespers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alespers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59535" y="3440430"/>
              <a:ext cx="1359535" cy="15068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152400</xdr:colOff>
      <xdr:row>15</xdr:row>
      <xdr:rowOff>43815</xdr:rowOff>
    </xdr:from>
    <xdr:to>
      <xdr:col>4</xdr:col>
      <xdr:colOff>257176</xdr:colOff>
      <xdr:row>27</xdr:row>
      <xdr:rowOff>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0" name="Product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69060" y="1939290"/>
              <a:ext cx="1321435" cy="147256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27</xdr:row>
      <xdr:rowOff>92075</xdr:rowOff>
    </xdr:from>
    <xdr:to>
      <xdr:col>2</xdr:col>
      <xdr:colOff>114299</xdr:colOff>
      <xdr:row>39</xdr:row>
      <xdr:rowOff>19050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11" name="Order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8100" y="3503930"/>
              <a:ext cx="1292225" cy="14433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276225</xdr:colOff>
      <xdr:row>3</xdr:row>
      <xdr:rowOff>60325</xdr:rowOff>
    </xdr:from>
    <xdr:to>
      <xdr:col>6</xdr:col>
      <xdr:colOff>381000</xdr:colOff>
      <xdr:row>7</xdr:row>
      <xdr:rowOff>81280</xdr:rowOff>
    </xdr:to>
    <xdr:sp>
      <xdr:nvSpPr>
        <xdr:cNvPr id="12" name="Rectangles 11"/>
        <xdr:cNvSpPr/>
      </xdr:nvSpPr>
      <xdr:spPr>
        <a:xfrm>
          <a:off x="2709545" y="439420"/>
          <a:ext cx="1321435" cy="52641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r>
            <a:rPr lang="en-US" sz="1200" b="1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Total Revenue</a:t>
          </a:r>
          <a:endParaRPr lang="en-US" sz="1200" b="1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200" b="1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 $11,024,296.21</a:t>
          </a:r>
          <a:r>
            <a:rPr lang="en-US" sz="1100"/>
            <a:t> </a:t>
          </a:r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6</xdr:col>
      <xdr:colOff>466725</xdr:colOff>
      <xdr:row>3</xdr:row>
      <xdr:rowOff>44450</xdr:rowOff>
    </xdr:from>
    <xdr:to>
      <xdr:col>9</xdr:col>
      <xdr:colOff>19050</xdr:colOff>
      <xdr:row>7</xdr:row>
      <xdr:rowOff>94615</xdr:rowOff>
    </xdr:to>
    <xdr:sp>
      <xdr:nvSpPr>
        <xdr:cNvPr id="13" name="Rectangles 12"/>
        <xdr:cNvSpPr/>
      </xdr:nvSpPr>
      <xdr:spPr>
        <a:xfrm>
          <a:off x="4116705" y="423545"/>
          <a:ext cx="1377315" cy="5556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GrossProfit</a:t>
          </a:r>
          <a:endParaRPr lang="en-US" sz="1200" b="1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400" b="1">
              <a:solidFill>
                <a:schemeClr val="tx1"/>
              </a:solidFill>
            </a:rPr>
            <a:t> $3,496,548.50 </a:t>
          </a:r>
          <a:endParaRPr lang="en-US" sz="1400" b="1">
            <a:solidFill>
              <a:schemeClr val="tx1"/>
            </a:solidFill>
          </a:endParaRP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9</xdr:col>
      <xdr:colOff>98425</xdr:colOff>
      <xdr:row>3</xdr:row>
      <xdr:rowOff>15875</xdr:rowOff>
    </xdr:from>
    <xdr:to>
      <xdr:col>11</xdr:col>
      <xdr:colOff>200025</xdr:colOff>
      <xdr:row>7</xdr:row>
      <xdr:rowOff>79375</xdr:rowOff>
    </xdr:to>
    <xdr:sp>
      <xdr:nvSpPr>
        <xdr:cNvPr id="14" name="Rectangles 13"/>
        <xdr:cNvSpPr/>
      </xdr:nvSpPr>
      <xdr:spPr>
        <a:xfrm>
          <a:off x="5573395" y="394970"/>
          <a:ext cx="1318260" cy="56896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Avg Margin %</a:t>
          </a:r>
          <a:endParaRPr lang="en-US" sz="1200" b="1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400" b="1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  24%</a:t>
          </a:r>
          <a:endParaRPr lang="en-US" sz="1400" b="1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361950</xdr:colOff>
      <xdr:row>3</xdr:row>
      <xdr:rowOff>12700</xdr:rowOff>
    </xdr:from>
    <xdr:to>
      <xdr:col>13</xdr:col>
      <xdr:colOff>504825</xdr:colOff>
      <xdr:row>7</xdr:row>
      <xdr:rowOff>50165</xdr:rowOff>
    </xdr:to>
    <xdr:sp>
      <xdr:nvSpPr>
        <xdr:cNvPr id="15" name="Rectangles 14"/>
        <xdr:cNvSpPr/>
      </xdr:nvSpPr>
      <xdr:spPr>
        <a:xfrm>
          <a:off x="7053580" y="391795"/>
          <a:ext cx="1359535" cy="5429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Avg OrderValue</a:t>
          </a:r>
          <a:endParaRPr lang="en-US" sz="1200" b="1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400" b="1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  $17,443.51 </a:t>
          </a:r>
          <a:endParaRPr lang="en-US" sz="1400" b="1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l"/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14</xdr:col>
      <xdr:colOff>34925</xdr:colOff>
      <xdr:row>3</xdr:row>
      <xdr:rowOff>15875</xdr:rowOff>
    </xdr:from>
    <xdr:to>
      <xdr:col>16</xdr:col>
      <xdr:colOff>35560</xdr:colOff>
      <xdr:row>7</xdr:row>
      <xdr:rowOff>66040</xdr:rowOff>
    </xdr:to>
    <xdr:sp>
      <xdr:nvSpPr>
        <xdr:cNvPr id="16" name="Rectangles 15"/>
        <xdr:cNvSpPr/>
      </xdr:nvSpPr>
      <xdr:spPr>
        <a:xfrm>
          <a:off x="8551545" y="394970"/>
          <a:ext cx="1217295" cy="555625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200" b="1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On-Time%</a:t>
          </a:r>
          <a:endParaRPr lang="en-US" sz="1200" b="1">
            <a:solidFill>
              <a:schemeClr val="tx1"/>
            </a:solidFill>
            <a:latin typeface="Times New Roman" panose="02020603050405020304" charset="0"/>
            <a:cs typeface="Times New Roman" panose="02020603050405020304" charset="0"/>
          </a:endParaRPr>
        </a:p>
        <a:p>
          <a:pPr algn="l"/>
          <a:r>
            <a:rPr lang="en-US" sz="1200" b="1">
              <a:solidFill>
                <a:schemeClr val="tx1"/>
              </a:solidFill>
              <a:latin typeface="Times New Roman" panose="02020603050405020304" charset="0"/>
              <a:cs typeface="Times New Roman" panose="02020603050405020304" charset="0"/>
            </a:rPr>
            <a:t> 27.22%</a:t>
          </a:r>
          <a:endParaRPr lang="en-US" sz="1100"/>
        </a:p>
        <a:p>
          <a:pPr algn="l"/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11</xdr:col>
      <xdr:colOff>298450</xdr:colOff>
      <xdr:row>7</xdr:row>
      <xdr:rowOff>79374</xdr:rowOff>
    </xdr:from>
    <xdr:to>
      <xdr:col>18</xdr:col>
      <xdr:colOff>190500</xdr:colOff>
      <xdr:row>23</xdr:row>
      <xdr:rowOff>19050</xdr:rowOff>
    </xdr:to>
    <xdr:graphicFrame>
      <xdr:nvGraphicFramePr>
        <xdr:cNvPr id="17" name="Chart 16"/>
        <xdr:cNvGraphicFramePr/>
      </xdr:nvGraphicFramePr>
      <xdr:xfrm>
        <a:off x="6990080" y="963295"/>
        <a:ext cx="4150360" cy="1962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419100</xdr:colOff>
      <xdr:row>23</xdr:row>
      <xdr:rowOff>66675</xdr:rowOff>
    </xdr:from>
    <xdr:to>
      <xdr:col>11</xdr:col>
      <xdr:colOff>219074</xdr:colOff>
      <xdr:row>39</xdr:row>
      <xdr:rowOff>47625</xdr:rowOff>
    </xdr:to>
    <xdr:graphicFrame>
      <xdr:nvGraphicFramePr>
        <xdr:cNvPr id="18" name="Chart 17"/>
        <xdr:cNvGraphicFramePr/>
      </xdr:nvGraphicFramePr>
      <xdr:xfrm>
        <a:off x="2852420" y="2973070"/>
        <a:ext cx="4057650" cy="2002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278130</xdr:colOff>
      <xdr:row>23</xdr:row>
      <xdr:rowOff>50165</xdr:rowOff>
    </xdr:from>
    <xdr:to>
      <xdr:col>18</xdr:col>
      <xdr:colOff>199390</xdr:colOff>
      <xdr:row>39</xdr:row>
      <xdr:rowOff>69215</xdr:rowOff>
    </xdr:to>
    <xdr:graphicFrame>
      <xdr:nvGraphicFramePr>
        <xdr:cNvPr id="5" name="Chart 4"/>
        <xdr:cNvGraphicFramePr/>
      </xdr:nvGraphicFramePr>
      <xdr:xfrm>
        <a:off x="6969760" y="2956560"/>
        <a:ext cx="4179570" cy="2040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4.7084722222" refreshedBy="ADMIN" recordCount="632">
  <cacheSource type="worksheet">
    <worksheetSource ref="A1:AG633" sheet="1. Staging Table"/>
  </cacheSource>
  <cacheFields count="34">
    <cacheField name="OrderID" numFmtId="0">
      <sharedItems count="631">
        <s v="ORD-2024-275203"/>
        <s v="ORD-2024-358795"/>
        <s v="ORD-2023-373538"/>
        <s v="ORD-2025-168148"/>
        <s v="ORD-2023-824839"/>
        <s v="ORD-2023-723587"/>
        <s v="ORD-2024-336584"/>
        <s v="ORD-2023-112666"/>
        <s v="ORD-2024-589570"/>
        <s v="ORD-2025-997421"/>
        <s v="ORD-2024-210687"/>
        <s v="ORD-2025-515515"/>
        <s v="ORD-2025-487261"/>
        <s v="ORD-2024-890180"/>
        <s v="ORD-2025-840976"/>
        <s v="ORD-2023-937291"/>
        <s v="ORD-2024-206081"/>
        <s v="ORD-2025-233883"/>
        <s v="ORD-2025-843974"/>
        <s v="ORD-2025-745263"/>
        <s v="ORD-2024-798002"/>
        <s v="ORD-2023-867836"/>
        <s v="ORD-2025-580047"/>
        <s v="ORD-2024-500109"/>
        <s v="ORD-2023-271836"/>
        <s v="ORD-2024-215294"/>
        <s v="ORD-2024-788105"/>
        <s v="ORD-2024-855073"/>
        <s v="ORD-2023-897079"/>
        <s v="ORD-2025-548982"/>
        <s v="ORD-2024-170313"/>
        <s v="ORD-2023-562894"/>
        <s v="ORD-2025-474710"/>
        <s v="ORD-2024-629525"/>
        <s v="ORD-2024-167215"/>
        <s v="ORD-2023-864121"/>
        <s v="ORD-2024-692673"/>
        <s v="ORD-2025-718992"/>
        <s v="ORD-2024-599522"/>
        <s v="ORD-2023-651638"/>
        <s v="ORD-2024-635626"/>
        <s v="ORD-2024-296582"/>
        <s v="ORD-2024-998320"/>
        <s v="ORD-2025-820255"/>
        <s v="ORD-2024-389336"/>
        <s v="ORD-2023-308124"/>
        <s v="ORD-2023-128295"/>
        <s v="ORD-2024-548345"/>
        <s v="ORD-2024-966651"/>
        <s v="ORD-2023-292714"/>
        <s v="ORD-2024-468501"/>
        <s v="ORD-2024-260775"/>
        <s v="ORD-2023-419187"/>
        <s v="ORD-2025-578007"/>
        <s v="ORD-2023-235230"/>
        <s v="ORD-2025-765220"/>
        <s v="ORD-2025-931538"/>
        <s v="ORD-2024-289089"/>
        <s v="ORD-2025-639542"/>
        <s v="ORD-2025-762301"/>
        <s v="ORD-2024-906395"/>
        <s v="ORD-2025-779574"/>
        <s v="ORD-2025-526650"/>
        <s v="ORD-2024-247979"/>
        <s v="ORD-2023-480975"/>
        <s v="ORD-2023-239789"/>
        <s v="ORD-2023-548874"/>
        <s v="ORD-2024-347736"/>
        <s v="ORD-2023-749324"/>
        <s v="ORD-2023-809913"/>
        <s v="ORD-2024-287210"/>
        <s v="ORD-2025-640677"/>
        <s v="ORD-2024-939873"/>
        <s v="ORD-2024-800947"/>
        <s v="ORD-2023-382272"/>
        <s v="ORD-2023-722117"/>
        <s v="ORD-2024-446699"/>
        <s v="ORD-2024-451005"/>
        <s v="ORD-2023-290279"/>
        <s v="ORD-2024-192263"/>
        <s v="ORD-2023-159379"/>
        <s v="ORD-2023-343322"/>
        <s v="ORD-2025-114382"/>
        <s v="ORD-2025-488349"/>
        <s v="ORD-2025-330203"/>
        <s v="ORD-2023-841426"/>
        <s v="ORD-2024-594592"/>
        <s v="ORD-2025-863978"/>
        <s v="ORD-2024-604471"/>
        <s v="ORD-2023-258768"/>
        <s v="ORD-2025-626047"/>
        <s v="ORD-2025-526752"/>
        <s v="ORD-2023-374486"/>
        <s v="ORD-2024-997336"/>
        <s v="ORD-2025-725646"/>
        <s v="ORD-2023-868734"/>
        <s v="ORD-2025-262491"/>
        <s v="ORD-2024-638884"/>
        <s v="ORD-2025-541501"/>
        <s v="ORD-2023-422918"/>
        <s v="ORD-2025-328504"/>
        <s v="ORD-2024-851883"/>
        <s v="ORD-2025-662997"/>
        <s v="ORD-2024-478165"/>
        <s v="ORD-2024-771210"/>
        <s v="ORD-2024-155337"/>
        <s v="ORD-2023-251563"/>
        <s v="ORD-2024-286833"/>
        <s v="ORD-2024-792558"/>
        <s v="ORD-2024-166150"/>
        <s v="ORD-2024-909942"/>
        <s v="ORD-2024-223618"/>
        <s v="ORD-2024-919471"/>
        <s v="ORD-2025-649239"/>
        <s v="ORD-2023-975863"/>
        <s v="ORD-2023-869884"/>
        <s v="ORD-2025-698069"/>
        <s v="ORD-2024-474999"/>
        <s v="ORD-2023-427304"/>
        <s v="ORD-2025-956101"/>
        <s v="ORD-2025-184082"/>
        <s v="ORD-2023-576840"/>
        <s v="ORD-2023-178249"/>
        <s v="ORD-2024-588972"/>
        <s v="ORD-2023-603238"/>
        <s v="ORD-2023-883066"/>
        <s v="ORD-2024-584090"/>
        <s v="ORD-2025-537785"/>
        <s v="ORD-2024-605518"/>
        <s v="ORD-2023-521818"/>
        <s v="ORD-2025-650719"/>
        <s v="ORD-2025-501927"/>
        <s v="ORD-2023-430904"/>
        <s v="ORD-2025-354346"/>
        <s v="ORD-2024-164288"/>
        <s v="ORD-2023-867285"/>
        <s v="ORD-2024-836421"/>
        <s v="ORD-2023-613287"/>
        <s v="ORD-2024-783321"/>
        <s v="ORD-2024-232632"/>
        <s v="ORD-2023-906481"/>
        <s v="ORD-2024-902741"/>
        <s v="ORD-2023-912395"/>
        <s v="ORD-2024-389102"/>
        <s v="ORD-2023-309373"/>
        <s v="ORD-2023-825495"/>
        <s v="ORD-2025-244832"/>
        <s v="ORD-2024-211453"/>
        <s v="ORD-2023-192324"/>
        <s v="ORD-2024-438404"/>
        <s v="ORD-2025-246470"/>
        <s v="ORD-2023-497686"/>
        <s v="ORD-2023-596758"/>
        <s v="ORD-2024-201376"/>
        <s v="ORD-2023-842488"/>
        <s v="ORD-2024-136321"/>
        <s v="ORD-2024-764468"/>
        <s v="ORD-2024-553449"/>
        <s v="ORD-2025-766923"/>
        <s v="ORD-2025-418232"/>
        <s v="ORD-2023-848013"/>
        <s v="ORD-2024-357368"/>
        <s v="ORD-2024-219735"/>
        <s v="ORD-2023-240507"/>
        <s v="ORD-2024-134084"/>
        <s v="ORD-2023-884625"/>
        <s v="ORD-2023-157993"/>
        <s v="ORD-2024-329104"/>
        <s v="ORD-2023-304451"/>
        <s v="ORD-2024-942981"/>
        <s v="ORD-2024-605629"/>
        <s v="ORD-2023-450877"/>
        <s v="ORD-2023-286994"/>
        <s v="ORD-2025-700847"/>
        <s v="ORD-2024-970848"/>
        <s v="ORD-2025-845715"/>
        <s v="ORD-2023-664749"/>
        <s v="ORD-2024-960952"/>
        <s v="ORD-2023-987700"/>
        <s v="ORD-2025-652467"/>
        <s v="ORD-2025-667201"/>
        <s v="ORD-2024-237478"/>
        <s v="ORD-2025-898843"/>
        <s v="ORD-2023-334213"/>
        <s v="ORD-2024-640340"/>
        <s v="ORD-2023-399631"/>
        <s v="ORD-2025-542939"/>
        <s v="ORD-2023-825836"/>
        <s v="ORD-2024-503082"/>
        <s v="ORD-2024-760799"/>
        <s v="ORD-2023-197661"/>
        <s v="ORD-2024-212990"/>
        <s v="ORD-2023-925146"/>
        <s v="ORD-2023-177794"/>
        <s v="ORD-2024-444710"/>
        <s v="ORD-2024-668926"/>
        <s v="ORD-2024-968374"/>
        <s v="ORD-2023-575584"/>
        <s v="ORD-2023-701153"/>
        <s v="ORD-2023-382017"/>
        <s v="ORD-2024-999607"/>
        <s v="ORD-2023-133848"/>
        <s v="ORD-2023-586275"/>
        <s v="ORD-2025-964661"/>
        <s v="ORD-2023-390998"/>
        <s v="ORD-2023-920483"/>
        <s v="ORD-2025-146850"/>
        <s v="ORD-2024-687100"/>
        <s v="ORD-2025-629393"/>
        <s v="ORD-2024-686712"/>
        <s v="ORD-2025-586799"/>
        <s v="ORD-2024-988736"/>
        <s v="ORD-2025-564184"/>
        <s v="ORD-2023-653343"/>
        <s v="ORD-2024-197852"/>
        <s v="ORD-2023-431328"/>
        <s v="ORD-2023-613317"/>
        <s v="ORD-2024-720756"/>
        <s v="ORD-2024-777623"/>
        <s v="ORD-2025-762212"/>
        <s v="ORD-2023-271918"/>
        <s v="ORD-2023-713375"/>
        <s v="ORD-2025-678688"/>
        <s v="ORD-2023-501220"/>
        <s v="ORD-2023-195665"/>
        <s v="ORD-2023-290237"/>
        <s v="ORD-2023-302041"/>
        <s v="ORD-2025-289139"/>
        <s v="ORD-2023-949710"/>
        <s v="ORD-2023-603650"/>
        <s v="ORD-2025-757957"/>
        <s v="ORD-2024-423853"/>
        <s v="ORD-2024-569164"/>
        <s v="ORD-2023-946143"/>
        <s v="ORD-2024-281211"/>
        <s v="ORD-2024-805860"/>
        <s v="ORD-2025-132174"/>
        <s v="ORD-2023-964434"/>
        <s v="ORD-2024-897622"/>
        <s v="ORD-2023-517216"/>
        <s v="ORD-2025-509940"/>
        <s v="ORD-2025-646342"/>
        <s v="ORD-2024-866535"/>
        <s v="ORD-2023-747341"/>
        <s v="ORD-2024-853298"/>
        <s v="ORD-2024-544865"/>
        <s v="ORD-2025-946490"/>
        <s v="ORD-2024-320972"/>
        <s v="ORD-2025-248586"/>
        <s v="ORD-2024-664046"/>
        <s v="ORD-2023-276806"/>
        <s v="ORD-2024-220234"/>
        <s v="ORD-2024-301260"/>
        <s v="ORD-2024-350100"/>
        <s v="ORD-2024-855600"/>
        <s v="ORD-2023-474313"/>
        <s v="ORD-2023-256951"/>
        <s v="ORD-2025-184754"/>
        <s v="ORD-2023-888140"/>
        <s v="ORD-2023-638181"/>
        <s v="ORD-2023-521280"/>
        <s v="ORD-2023-630430"/>
        <s v="ORD-2025-908258"/>
        <s v="ORD-2025-440093"/>
        <s v="ORD-2025-898022"/>
        <s v="ORD-2024-500511"/>
        <s v="ORD-2023-632893"/>
        <s v="ORD-2023-967239"/>
        <s v="ORD-2024-885858"/>
        <s v="ORD-2023-253245"/>
        <s v="ORD-2025-484073"/>
        <s v="ORD-2024-745822"/>
        <s v="ORD-2023-369160"/>
        <s v="ORD-2024-834983"/>
        <s v="ORD-2024-499009"/>
        <s v="ORD-2024-948800"/>
        <s v="ORD-2025-678328"/>
        <s v="ORD-2024-580808"/>
        <s v="ORD-2023-211715"/>
        <s v="ORD-2023-715175"/>
        <s v="ORD-2025-685236"/>
        <s v="ORD-2023-274037"/>
        <s v="ORD-2025-983096"/>
        <s v="ORD-2024-366010"/>
        <s v="ORD-2023-610470"/>
        <s v="ORD-2025-541048"/>
        <s v="ORD-2024-862371"/>
        <s v="ORD-2024-277241"/>
        <s v="ORD-2023-369150"/>
        <s v="ORD-2025-922513"/>
        <s v="ORD-2025-752845"/>
        <s v="ORD-2023-667815"/>
        <s v="ORD-2023-375011"/>
        <s v="ORD-2025-487025"/>
        <s v="ORD-2025-398335"/>
        <s v="ORD-2024-792137"/>
        <s v="ORD-2023-602648"/>
        <s v="ORD-2024-207096"/>
        <s v="ORD-2025-939953"/>
        <s v="ORD-2025-191328"/>
        <s v="ORD-2023-166668"/>
        <s v="ORD-2023-594700"/>
        <s v="ORD-2025-278048"/>
        <s v="ORD-2024-878493"/>
        <s v="ORD-2025-138578"/>
        <s v="ORD-2025-944081"/>
        <s v="ORD-2025-364852"/>
        <s v="ORD-2025-415018"/>
        <s v="ORD-2023-884192"/>
        <s v="ORD-2024-165942"/>
        <s v="ORD-2024-403664"/>
        <s v="ORD-2023-890605"/>
        <s v="ORD-2024-925626"/>
        <s v="ORD-2024-427031"/>
        <s v="ORD-2025-231184"/>
        <s v="ORD-2023-363031"/>
        <s v="ORD-2023-619570"/>
        <s v="ORD-2025-861401"/>
        <s v="ORD-2023-835010"/>
        <s v="ORD-2024-819979"/>
        <s v="ORD-2024-719055"/>
        <s v="ORD-2023-888245"/>
        <s v="ORD-2024-206121"/>
        <s v="ORD-2024-500890"/>
        <s v="ORD-2023-144816"/>
        <s v="ORD-2024-153053"/>
        <s v="ORD-2023-536542"/>
        <s v="ORD-2025-779530"/>
        <s v="ORD-2023-163610"/>
        <s v="ORD-2025-653781"/>
        <s v="ORD-2025-737787"/>
        <s v="ORD-2023-944052"/>
        <s v="ORD-2023-181257"/>
        <s v="ORD-2025-323492"/>
        <s v="ORD-2024-332076"/>
        <s v="ORD-2024-571797"/>
        <s v="ORD-2024-129345"/>
        <s v="ORD-2023-660608"/>
        <s v="ORD-2023-825084"/>
        <s v="ORD-2023-261081"/>
        <s v="ORD-2023-766015"/>
        <s v="ORD-2024-333192"/>
        <s v="ORD-2024-647473"/>
        <s v="ORD-2024-892908"/>
        <s v="ORD-2023-573146"/>
        <s v="ORD-2024-901115"/>
        <s v="ORD-2023-898009"/>
        <s v="ORD-2023-208944"/>
        <s v="ORD-2025-480172"/>
        <s v="ORD-2023-735274"/>
        <s v="ORD-2023-212701"/>
        <s v="ORD-2023-479747"/>
        <s v="ORD-2024-915495"/>
        <s v="ORD-2024-225829"/>
        <s v="ORD-2024-921935"/>
        <s v="ORD-2025-949776"/>
        <s v="ORD-2024-510591"/>
        <s v="ORD-2024-961756"/>
        <s v="ORD-2024-892173"/>
        <s v="ORD-2024-704056"/>
        <s v="ORD-2025-591006"/>
        <s v="ORD-2023-159821"/>
        <s v="ORD-2024-343877"/>
        <s v="ORD-2023-386663"/>
        <s v="ORD-2025-125517"/>
        <s v="ORD-2024-819778"/>
        <s v="ORD-2025-624006"/>
        <s v="ORD-2023-132101"/>
        <s v="ORD-2025-306903"/>
        <s v="ORD-2023-813340"/>
        <s v="ORD-2023-855675"/>
        <s v="ORD-2023-545150"/>
        <s v="ORD-2025-269934"/>
        <s v="ORD-2024-690270"/>
        <s v="ORD-2024-868223"/>
        <s v="ORD-2025-188059"/>
        <s v="ORD-2023-281890"/>
        <s v="ORD-2025-636162"/>
        <s v="ORD-2025-915869"/>
        <s v="ORD-2025-192876"/>
        <s v="ORD-2025-822030"/>
        <s v="ORD-2025-789245"/>
        <s v="ORD-2023-594955"/>
        <s v="ORD-2024-398783"/>
        <s v="ORD-2023-676553"/>
        <s v="ORD-2025-866565"/>
        <s v="ORD-2024-527858"/>
        <s v="ORD-2023-619385"/>
        <s v="ORD-2023-835226"/>
        <s v="ORD-2025-485946"/>
        <s v="ORD-2024-307849"/>
        <s v="ORD-2023-368449"/>
        <s v="ORD-2024-251426"/>
        <s v="ORD-2023-927385"/>
        <s v="ORD-2025-486350"/>
        <s v="ORD-2025-677880"/>
        <s v="ORD-2024-102866"/>
        <s v="ORD-2025-588029"/>
        <s v="ORD-2024-972999"/>
        <s v="ORD-2025-608069"/>
        <s v="ORD-2024-626750"/>
        <s v="ORD-2024-170021"/>
        <s v="ORD-2024-678110"/>
        <s v="ORD-2025-909340"/>
        <s v="ORD-2023-854471"/>
        <s v="ORD-2024-390951"/>
        <s v="ORD-2025-881624"/>
        <s v="ORD-2025-512310"/>
        <s v="ORD-2023-674887"/>
        <s v="ORD-2024-542244"/>
        <s v="ORD-2024-375848"/>
        <s v="ORD-2023-933238"/>
        <s v="ORD-2023-732585"/>
        <s v="ORD-2024-465898"/>
        <s v="ORD-2023-987081"/>
        <s v="ORD-2024-655710"/>
        <s v="ORD-2025-411385"/>
        <s v="ORD-2025-222035"/>
        <s v="ORD-2024-749242"/>
        <s v="ORD-2023-623293"/>
        <s v="ORD-2025-276968"/>
        <s v="ORD-2025-650841"/>
        <s v="ORD-2025-831576"/>
        <s v="ORD-2024-468655"/>
        <s v="ORD-2024-515105"/>
        <s v="ORD-2025-803803"/>
        <s v="ORD-2024-993481"/>
        <s v="ORD-2024-811752"/>
        <s v="ORD-2025-673091"/>
        <s v="ORD-2024-381197"/>
        <s v="ORD-2024-651852"/>
        <s v="ORD-2023-659070"/>
        <s v="ORD-2024-837651"/>
        <s v="ORD-2024-581530"/>
        <s v="ORD-2023-378104"/>
        <s v="ORD-2024-972318"/>
        <s v="ORD-2023-752962"/>
        <s v="ORD-2023-808024"/>
        <s v="ORD-2023-156396"/>
        <s v="ORD-2023-184577"/>
        <s v="ORD-2024-446030"/>
        <s v="ORD-2023-842820"/>
        <s v="ORD-2024-745424"/>
        <s v="ORD-2024-510520"/>
        <s v="ORD-2023-769774"/>
        <s v="ORD-2023-580751"/>
        <s v="ORD-2025-473192"/>
        <s v="ORD-2024-886939"/>
        <s v="ORD-2024-566589"/>
        <s v="ORD-2023-109927"/>
        <s v="ORD-2023-780206"/>
        <s v="ORD-2024-851993"/>
        <s v="ORD-2025-417942"/>
        <s v="ORD-2023-172095"/>
        <s v="ORD-2024-257550"/>
        <s v="ORD-2023-581799"/>
        <s v="ORD-2023-880296"/>
        <s v="ORD-2023-191563"/>
        <s v="ORD-2024-202166"/>
        <s v="ORD-2023-539967"/>
        <s v="ORD-2023-704111"/>
        <s v="ORD-2024-356812"/>
        <s v="ORD-2025-306251"/>
        <s v="ORD-2025-496178"/>
        <s v="ORD-2024-508213"/>
        <s v="ORD-2024-787018"/>
        <s v="ORD-2023-728177"/>
        <s v="ORD-2025-795385"/>
        <s v="ORD-2025-947929"/>
        <s v="ORD-2023-931633"/>
        <s v="ORD-2023-243704"/>
        <s v="ORD-2025-779659"/>
        <s v="ORD-2024-647571"/>
        <s v="ORD-2025-683043"/>
        <s v="ORD-2023-588455"/>
        <s v="ORD-2024-641220"/>
        <s v="ORD-2023-799597"/>
        <s v="ORD-2023-569862"/>
        <s v="ORD-2023-609394"/>
        <s v="ORD-2024-105586"/>
        <s v="ORD-2024-207792"/>
        <s v="ORD-2025-417336"/>
        <s v="ORD-2025-252117"/>
        <s v="ORD-2023-867175"/>
        <s v="ORD-2024-382152"/>
        <s v="ORD-2023-597666"/>
        <s v="ORD-2024-371409"/>
        <s v="ORD-2024-973420"/>
        <s v="ORD-2025-254721"/>
        <s v="ORD-2024-247032"/>
        <s v="ORD-2024-792353"/>
        <s v="ORD-2025-703623"/>
        <s v="ORD-2024-516704"/>
        <s v="ORD-2024-578646"/>
        <s v="ORD-2024-433936"/>
        <s v="ORD-2023-434071"/>
        <s v="ORD-2024-728474"/>
        <s v="ORD-2023-406606"/>
        <s v="ORD-2025-823055"/>
        <s v="ORD-2023-573656"/>
        <s v="ORD-2024-567435"/>
        <s v="ORD-2023-744942"/>
        <s v="ORD-2025-331237"/>
        <s v="ORD-2025-680118"/>
        <s v="ORD-2024-310809"/>
        <s v="ORD-2025-474368"/>
        <s v="ORD-2024-732543"/>
        <s v="ORD-2023-867166"/>
        <s v="ORD-2024-776337"/>
        <s v="ORD-2023-913592"/>
        <s v="ORD-2024-961501"/>
        <s v="ORD-2024-964950"/>
        <s v="ORD-2023-349264"/>
        <s v="ORD-2025-137394"/>
        <s v="ORD-2025-635337"/>
        <s v="ORD-2023-568013"/>
        <s v="ORD-2025-828263"/>
        <s v="ORD-2024-402240"/>
        <s v="ORD-2023-125739"/>
        <s v="ORD-2024-892879"/>
        <s v="ORD-2023-472050"/>
        <s v="ORD-2024-468615"/>
        <s v="ORD-2024-833375"/>
        <s v="ORD-2024-206311"/>
        <s v="ORD-2024-364080"/>
        <s v="ORD-2025-460466"/>
        <s v="ORD-2023-700699"/>
        <s v="ORD-2024-713332"/>
        <s v="ORD-2023-640022"/>
        <s v="ORD-2024-532184"/>
        <s v="ORD-2025-926547"/>
        <s v="ORD-2025-778145"/>
        <s v="ORD-2023-525643"/>
        <s v="ORD-2025-312803"/>
        <s v="ORD-2025-149156"/>
        <s v="ORD-2023-215819"/>
        <s v="ORD-2024-353078"/>
        <s v="ORD-2023-621393"/>
        <s v="ORD-2023-974506"/>
        <s v="ORD-2023-811823"/>
        <s v="ORD-2023-286720"/>
        <s v="ORD-2024-626925"/>
        <s v="ORD-2023-960380"/>
        <s v="ORD-2023-453699"/>
        <s v="ORD-2025-960931"/>
        <s v="ORD-2024-419248"/>
        <s v="ORD-2023-488227"/>
        <s v="ORD-2023-472078"/>
        <s v="ORD-2024-202877"/>
        <s v="ORD-2024-140633"/>
        <s v="ORD-2025-419532"/>
        <s v="ORD-2023-139236"/>
        <s v="ORD-2025-337268"/>
        <s v="ORD-2025-332931"/>
        <s v="ORD-2024-536442"/>
        <s v="ORD-2023-957692"/>
        <s v="ORD-2025-874124"/>
        <s v="ORD-2024-687073"/>
        <s v="ORD-2024-555229"/>
        <s v="ORD-2024-872291"/>
        <s v="ORD-2024-250862"/>
        <s v="ORD-2024-331226"/>
        <s v="ORD-2023-356427"/>
        <s v="ORD-2025-659650"/>
        <s v="ORD-2024-207669"/>
        <s v="ORD-2024-979401"/>
        <s v="ORD-2025-929414"/>
        <s v="ORD-2024-766980"/>
        <s v="ORD-2024-437164"/>
        <s v="ORD-2025-169093"/>
        <s v="ORD-2023-868460"/>
        <s v="ORD-2025-177994"/>
        <s v="ORD-2024-355095"/>
        <s v="ORD-2023-126505"/>
        <s v="ORD-2023-340056"/>
        <s v="ORD-2025-281413"/>
        <s v="ORD-2023-713614"/>
        <s v="ORD-2023-173313"/>
        <s v="ORD-2024-496601"/>
        <s v="ORD-2025-155182"/>
        <s v="ORD-2023-244375"/>
        <s v="ORD-2023-856322"/>
        <s v="ORD-2024-594527"/>
        <s v="ORD-2024-689872"/>
        <s v="ORD-2025-246692"/>
        <s v="ORD-2023-378676"/>
        <s v="ORD-2024-243988"/>
        <s v="ORD-2024-572312"/>
        <s v="ORD-2025-281062"/>
        <s v="ORD-2023-727290"/>
        <s v="ORD-2025-993993"/>
        <s v="ORD-2023-619493"/>
        <s v="ORD-2024-947056"/>
        <s v="ORD-2025-856556"/>
        <s v="ORD-2024-442776"/>
        <s v="ORD-2025-705398"/>
        <s v="ORD-2023-689428"/>
        <s v="ORD-2025-683247"/>
        <s v="ORD-2024-585443"/>
        <s v="ORD-2024-907733"/>
        <s v="ORD-2024-550400"/>
        <s v="ORD-2025-189846"/>
        <s v="ORD-2025-752192"/>
        <s v="ORD-2023-294716"/>
        <s v="ORD-2023-552115"/>
        <s v="ORD-2023-107265"/>
        <s v="ORD-2025-262434"/>
        <s v="ORD-2024-266562"/>
        <s v="ORD-2024-838925"/>
        <s v="ORD-2023-664790"/>
        <s v="ORD-2024-331408"/>
        <s v="ORD-2024-741404"/>
        <s v="ORD-2024-341535"/>
        <s v="ORD-2023-451931"/>
        <s v="ORD-2025-532859"/>
        <s v="ORD-2023-502205"/>
        <s v="ORD-2024-930679"/>
        <s v="ORD-2025-150713"/>
        <s v="ORD-2024-756884"/>
        <s v="ORD-2023-755337"/>
        <s v="ORD-2025-907040"/>
        <s v="ORD-2024-817997"/>
        <s v="ORD-2025-649633"/>
        <s v="ORD-2023-885216"/>
        <s v="ORD-2023-561823"/>
        <s v="ORD-2023-249805"/>
        <s v="ORD-2023-548934"/>
        <s v="ORD-2023-921939"/>
        <s v="ORD-2023-961864"/>
        <s v="ORD-2023-455933"/>
        <s v="ORD-2025-728935"/>
      </sharedItems>
    </cacheField>
    <cacheField name="OrderDate" numFmtId="0">
      <sharedItems containsSemiMixedTypes="0" containsString="0" containsNonDate="0" containsDate="1" minDate="2023-01-02T00:00:00" maxDate="2025-09-15T00:00:00" count="468">
        <d v="2024-03-11T00:00:00"/>
        <d v="2024-10-23T00:00:00"/>
        <d v="2023-02-28T00:00:00"/>
        <d v="2025-03-29T00:00:00"/>
        <d v="2023-12-06T00:00:00"/>
        <d v="2023-01-02T00:00:00"/>
        <d v="2024-12-27T00:00:00"/>
        <d v="2023-01-15T00:00:00"/>
        <d v="2024-05-04T00:00:00"/>
        <d v="2025-05-21T00:00:00"/>
        <d v="2024-01-28T00:00:00"/>
        <d v="2025-01-03T00:00:00"/>
        <d v="2025-03-06T00:00:00"/>
        <d v="2024-01-20T00:00:00"/>
        <d v="2025-09-01T00:00:00"/>
        <d v="2023-04-23T00:00:00"/>
        <d v="2024-12-10T00:00:00"/>
        <d v="2025-09-08T00:00:00"/>
        <d v="2025-07-20T00:00:00"/>
        <d v="2024-07-25T00:00:00"/>
        <d v="2023-05-11T00:00:00"/>
        <d v="2025-06-14T00:00:00"/>
        <d v="2024-05-18T00:00:00"/>
        <d v="2023-02-07T00:00:00"/>
        <d v="2024-06-30T00:00:00"/>
        <d v="2024-11-30T00:00:00"/>
        <d v="2024-07-19T00:00:00"/>
        <d v="2023-04-14T00:00:00"/>
        <d v="2025-04-07T00:00:00"/>
        <d v="2023-02-23T00:00:00"/>
        <d v="2025-07-24T00:00:00"/>
        <d v="2024-04-18T00:00:00"/>
        <d v="2024-08-23T00:00:00"/>
        <d v="2023-03-27T00:00:00"/>
        <d v="2024-03-07T00:00:00"/>
        <d v="2025-06-24T00:00:00"/>
        <d v="2024-04-19T00:00:00"/>
        <d v="2023-06-17T00:00:00"/>
        <d v="2024-08-27T00:00:00"/>
        <d v="2024-01-11T00:00:00"/>
        <d v="2024-10-25T00:00:00"/>
        <d v="2025-05-29T00:00:00"/>
        <d v="2024-05-20T00:00:00"/>
        <d v="2023-04-19T00:00:00"/>
        <d v="2023-06-23T00:00:00"/>
        <d v="2024-05-14T00:00:00"/>
        <d v="2024-10-14T00:00:00"/>
        <d v="2023-07-10T00:00:00"/>
        <d v="2024-11-06T00:00:00"/>
        <d v="2024-10-17T00:00:00"/>
        <d v="2023-03-31T00:00:00"/>
        <d v="2025-01-21T00:00:00"/>
        <d v="2023-08-30T00:00:00"/>
        <d v="2025-04-06T00:00:00"/>
        <d v="2025-02-09T00:00:00"/>
        <d v="2024-12-17T00:00:00"/>
        <d v="2025-06-09T00:00:00"/>
        <d v="2025-05-02T00:00:00"/>
        <d v="2024-03-10T00:00:00"/>
        <d v="2025-09-10T00:00:00"/>
        <d v="2025-04-27T00:00:00"/>
        <d v="2024-11-02T00:00:00"/>
        <d v="2023-02-15T00:00:00"/>
        <d v="2023-12-03T00:00:00"/>
        <d v="2023-03-19T00:00:00"/>
        <d v="2024-05-22T00:00:00"/>
        <d v="2023-08-19T00:00:00"/>
        <d v="2023-04-21T00:00:00"/>
        <d v="2024-03-18T00:00:00"/>
        <d v="2025-04-09T00:00:00"/>
        <d v="2024-04-12T00:00:00"/>
        <d v="2024-12-15T00:00:00"/>
        <d v="2023-05-20T00:00:00"/>
        <d v="2023-09-18T00:00:00"/>
        <d v="2024-08-28T00:00:00"/>
        <d v="2023-06-14T00:00:00"/>
        <d v="2024-11-21T00:00:00"/>
        <d v="2023-02-08T00:00:00"/>
        <d v="2025-05-14T00:00:00"/>
        <d v="2025-04-23T00:00:00"/>
        <d v="2025-03-25T00:00:00"/>
        <d v="2023-12-22T00:00:00"/>
        <d v="2024-04-06T00:00:00"/>
        <d v="2025-08-07T00:00:00"/>
        <d v="2024-01-21T00:00:00"/>
        <d v="2023-06-29T00:00:00"/>
        <d v="2025-04-28T00:00:00"/>
        <d v="2023-06-24T00:00:00"/>
        <d v="2024-10-04T00:00:00"/>
        <d v="2023-04-06T00:00:00"/>
        <d v="2025-08-01T00:00:00"/>
        <d v="2024-05-28T00:00:00"/>
        <d v="2025-07-22T00:00:00"/>
        <d v="2025-01-27T00:00:00"/>
        <d v="2024-01-13T00:00:00"/>
        <d v="2025-03-31T00:00:00"/>
        <d v="2024-12-05T00:00:00"/>
        <d v="2024-09-14T00:00:00"/>
        <d v="2024-05-21T00:00:00"/>
        <d v="2024-08-14T00:00:00"/>
        <d v="2024-10-16T00:00:00"/>
        <d v="2024-06-02T00:00:00"/>
        <d v="2024-06-09T00:00:00"/>
        <d v="2024-06-10T00:00:00"/>
        <d v="2024-06-29T00:00:00"/>
        <d v="2025-01-17T00:00:00"/>
        <d v="2023-11-20T00:00:00"/>
        <d v="2023-03-02T00:00:00"/>
        <d v="2025-06-03T00:00:00"/>
        <d v="2023-06-09T00:00:00"/>
        <d v="2025-07-09T00:00:00"/>
        <d v="2025-06-19T00:00:00"/>
        <d v="2023-11-19T00:00:00"/>
        <d v="2023-12-29T00:00:00"/>
        <d v="2023-08-21T00:00:00"/>
        <d v="2023-08-12T00:00:00"/>
        <d v="2024-06-07T00:00:00"/>
        <d v="2025-08-05T00:00:00"/>
        <d v="2024-05-30T00:00:00"/>
        <d v="2023-01-22T00:00:00"/>
        <d v="2025-02-12T00:00:00"/>
        <d v="2025-03-03T00:00:00"/>
        <d v="2023-01-27T00:00:00"/>
        <d v="2025-01-09T00:00:00"/>
        <d v="2024-12-21T00:00:00"/>
        <d v="2023-04-12T00:00:00"/>
        <d v="2024-12-14T00:00:00"/>
        <d v="2024-11-20T00:00:00"/>
        <d v="2024-02-14T00:00:00"/>
        <d v="2023-05-02T00:00:00"/>
        <d v="2024-12-23T00:00:00"/>
        <d v="2023-07-26T00:00:00"/>
        <d v="2024-06-15T00:00:00"/>
        <d v="2023-07-05T00:00:00"/>
        <d v="2023-11-30T00:00:00"/>
        <d v="2025-09-11T00:00:00"/>
        <d v="2024-04-04T00:00:00"/>
        <d v="2023-09-14T00:00:00"/>
        <d v="2024-09-23T00:00:00"/>
        <d v="2025-04-16T00:00:00"/>
        <d v="2023-07-03T00:00:00"/>
        <d v="2023-12-07T00:00:00"/>
        <d v="2024-02-18T00:00:00"/>
        <d v="2023-10-31T00:00:00"/>
        <d v="2024-08-07T00:00:00"/>
        <d v="2024-02-01T00:00:00"/>
        <d v="2025-02-15T00:00:00"/>
        <d v="2023-02-20T00:00:00"/>
        <d v="2024-10-30T00:00:00"/>
        <d v="2024-04-03T00:00:00"/>
        <d v="2023-03-25T00:00:00"/>
        <d v="2024-06-04T00:00:00"/>
        <d v="2023-02-19T00:00:00"/>
        <d v="2023-04-18T00:00:00"/>
        <d v="2024-05-23T00:00:00"/>
        <d v="2023-10-07T00:00:00"/>
        <d v="2024-10-09T00:00:00"/>
        <d v="2024-07-15T00:00:00"/>
        <d v="2023-09-21T00:00:00"/>
        <d v="2023-02-24T00:00:00"/>
        <d v="2025-04-14T00:00:00"/>
        <d v="2023-08-27T00:00:00"/>
        <d v="2024-02-03T00:00:00"/>
        <d v="2023-04-05T00:00:00"/>
        <d v="2025-08-21T00:00:00"/>
        <d v="2025-09-15T00:00:00"/>
        <d v="2024-10-03T00:00:00"/>
        <d v="2025-02-02T00:00:00"/>
        <d v="2024-10-22T00:00:00"/>
        <d v="2023-06-22T00:00:00"/>
        <d v="2025-01-13T00:00:00"/>
        <d v="2023-01-29T00:00:00"/>
        <d v="2023-07-19T00:00:00"/>
        <d v="2024-05-19T00:00:00"/>
        <d v="2023-08-08T00:00:00"/>
        <d v="2024-08-12T00:00:00"/>
        <d v="2023-10-15T00:00:00"/>
        <d v="2023-05-04T00:00:00"/>
        <d v="2024-09-22T00:00:00"/>
        <d v="2024-02-11T00:00:00"/>
        <d v="2023-01-30T00:00:00"/>
        <d v="2023-01-13T00:00:00"/>
        <d v="2024-01-12T00:00:00"/>
        <d v="2023-08-15T00:00:00"/>
        <d v="2023-01-20T00:00:00"/>
        <d v="2025-02-04T00:00:00"/>
        <d v="2023-07-02T00:00:00"/>
        <d v="2024-09-10T00:00:00"/>
        <d v="2025-07-21T00:00:00"/>
        <d v="2024-10-02T00:00:00"/>
        <d v="2025-07-14T00:00:00"/>
        <d v="2024-09-09T00:00:00"/>
        <d v="2025-01-29T00:00:00"/>
        <d v="2023-11-10T00:00:00"/>
        <d v="2024-02-29T00:00:00"/>
        <d v="2023-12-20T00:00:00"/>
        <d v="2024-10-11T00:00:00"/>
        <d v="2024-09-19T00:00:00"/>
        <d v="2025-08-25T00:00:00"/>
        <d v="2023-09-25T00:00:00"/>
        <d v="2023-08-26T00:00:00"/>
        <d v="2025-07-16T00:00:00"/>
        <d v="2023-12-19T00:00:00"/>
        <d v="2023-07-30T00:00:00"/>
        <d v="2023-10-04T00:00:00"/>
        <d v="2025-08-10T00:00:00"/>
        <d v="2023-03-07T00:00:00"/>
        <d v="2023-05-23T00:00:00"/>
        <d v="2025-04-24T00:00:00"/>
        <d v="2024-09-03T00:00:00"/>
        <d v="2024-09-05T00:00:00"/>
        <d v="2023-03-14T00:00:00"/>
        <d v="2024-09-13T00:00:00"/>
        <d v="2025-07-17T00:00:00"/>
        <d v="2023-11-28T00:00:00"/>
        <d v="2024-03-30T00:00:00"/>
        <d v="2023-09-19T00:00:00"/>
        <d v="2025-05-16T00:00:00"/>
        <d v="2025-08-02T00:00:00"/>
        <d v="2024-12-04T00:00:00"/>
        <d v="2024-03-06T00:00:00"/>
        <d v="2024-02-16T00:00:00"/>
        <d v="2025-04-22T00:00:00"/>
        <d v="2024-11-08T00:00:00"/>
        <d v="2025-09-12T00:00:00"/>
        <d v="2024-09-02T00:00:00"/>
        <d v="2023-03-04T00:00:00"/>
        <d v="2024-03-15T00:00:00"/>
        <d v="2024-07-29T00:00:00"/>
        <d v="2024-10-27T00:00:00"/>
        <d v="2024-04-29T00:00:00"/>
        <d v="2023-10-05T00:00:00"/>
        <d v="2025-06-27T00:00:00"/>
        <d v="2023-10-11T00:00:00"/>
        <d v="2023-05-27T00:00:00"/>
        <d v="2023-08-04T00:00:00"/>
        <d v="2025-06-21T00:00:00"/>
        <d v="2025-09-02T00:00:00"/>
        <d v="2024-10-08T00:00:00"/>
        <d v="2023-05-07T00:00:00"/>
        <d v="2023-12-24T00:00:00"/>
        <d v="2024-01-10T00:00:00"/>
        <d v="2023-08-03T00:00:00"/>
        <d v="2025-02-19T00:00:00"/>
        <d v="2024-03-31T00:00:00"/>
        <d v="2023-07-24T00:00:00"/>
        <d v="2024-03-16T00:00:00"/>
        <d v="2024-01-25T00:00:00"/>
        <d v="2024-03-27T00:00:00"/>
        <d v="2024-06-16T00:00:00"/>
        <d v="2023-10-30T00:00:00"/>
        <d v="2023-06-15T00:00:00"/>
        <d v="2025-03-14T00:00:00"/>
        <d v="2025-05-17T00:00:00"/>
        <d v="2025-04-04T00:00:00"/>
        <d v="2024-09-07T00:00:00"/>
        <d v="2023-07-18T00:00:00"/>
        <d v="2025-08-28T00:00:00"/>
        <d v="2025-03-30T00:00:00"/>
        <d v="2023-10-21T00:00:00"/>
        <d v="2023-08-23T00:00:00"/>
        <d v="2025-04-11T00:00:00"/>
        <d v="2025-06-01T00:00:00"/>
        <d v="2024-03-02T00:00:00"/>
        <d v="2023-06-20T00:00:00"/>
        <d v="2024-03-26T00:00:00"/>
        <d v="2025-01-22T00:00:00"/>
        <d v="2025-05-10T00:00:00"/>
        <d v="2025-06-22T00:00:00"/>
        <d v="2024-06-19T00:00:00"/>
        <d v="2025-05-18T00:00:00"/>
        <d v="2023-01-10T00:00:00"/>
        <d v="2024-12-29T00:00:00"/>
        <d v="2024-11-04T00:00:00"/>
        <d v="2024-06-08T00:00:00"/>
        <d v="2023-05-06T00:00:00"/>
        <d v="2023-11-14T00:00:00"/>
        <d v="2025-04-01T00:00:00"/>
        <d v="2023-03-23T00:00:00"/>
        <d v="2024-01-02T00:00:00"/>
        <d v="2023-06-10T00:00:00"/>
        <d v="2025-05-19T00:00:00"/>
        <d v="2023-10-22T00:00:00"/>
        <d v="2025-01-11T00:00:00"/>
        <d v="2025-09-14T00:00:00"/>
        <d v="2023-11-15T00:00:00"/>
        <d v="2024-04-09T00:00:00"/>
        <d v="2024-07-11T00:00:00"/>
        <d v="2023-07-25T00:00:00"/>
        <d v="2023-07-14T00:00:00"/>
        <d v="2023-04-13T00:00:00"/>
        <d v="2024-10-29T00:00:00"/>
        <d v="2024-02-17T00:00:00"/>
        <d v="2024-07-13T00:00:00"/>
        <d v="2023-12-01T00:00:00"/>
        <d v="2023-12-21T00:00:00"/>
        <d v="2025-06-17T00:00:00"/>
        <d v="2023-12-02T00:00:00"/>
        <d v="2024-08-08T00:00:00"/>
        <d v="2024-11-07T00:00:00"/>
        <d v="2024-01-01T00:00:00"/>
        <d v="2025-08-14T00:00:00"/>
        <d v="2024-11-25T00:00:00"/>
        <d v="2024-01-18T00:00:00"/>
        <d v="2024-06-23T00:00:00"/>
        <d v="2025-06-25T00:00:00"/>
        <d v="2023-07-01T00:00:00"/>
        <d v="2024-03-09T00:00:00"/>
        <d v="2023-06-05T00:00:00"/>
        <d v="2025-03-21T00:00:00"/>
        <d v="2025-03-15T00:00:00"/>
        <d v="2023-12-26T00:00:00"/>
        <d v="2023-02-05T00:00:00"/>
        <d v="2024-05-17T00:00:00"/>
        <d v="2024-03-03T00:00:00"/>
        <d v="2023-03-13T00:00:00"/>
        <d v="2025-01-07T00:00:00"/>
        <d v="2025-02-06T00:00:00"/>
        <d v="2025-01-31T00:00:00"/>
        <d v="2025-07-23T00:00:00"/>
        <d v="2024-07-18T00:00:00"/>
        <d v="2025-05-12T00:00:00"/>
        <d v="2024-05-07T00:00:00"/>
        <d v="2023-09-30T00:00:00"/>
        <d v="2023-10-26T00:00:00"/>
        <d v="2025-06-15T00:00:00"/>
        <d v="2024-08-10T00:00:00"/>
        <d v="2023-10-09T00:00:00"/>
        <d v="2023-05-29T00:00:00"/>
        <d v="2025-05-27T00:00:00"/>
        <d v="2024-12-12T00:00:00"/>
        <d v="2024-09-06T00:00:00"/>
        <d v="2025-04-12T00:00:00"/>
        <d v="2024-11-05T00:00:00"/>
        <d v="2024-07-24T00:00:00"/>
        <d v="2025-01-20T00:00:00"/>
        <d v="2023-03-06T00:00:00"/>
        <d v="2024-12-20T00:00:00"/>
        <d v="2025-02-21T00:00:00"/>
        <d v="2025-03-08T00:00:00"/>
        <d v="2023-12-16T00:00:00"/>
        <d v="2024-08-30T00:00:00"/>
        <d v="2023-03-17T00:00:00"/>
        <d v="2023-08-25T00:00:00"/>
        <d v="2024-06-06T00:00:00"/>
        <d v="2023-08-29T00:00:00"/>
        <d v="2025-06-05T00:00:00"/>
        <d v="2024-01-16T00:00:00"/>
        <d v="2023-10-12T00:00:00"/>
        <d v="2025-02-25T00:00:00"/>
        <d v="2025-07-03T00:00:00"/>
        <d v="2024-02-19T00:00:00"/>
        <d v="2024-02-27T00:00:00"/>
        <d v="2024-08-18T00:00:00"/>
        <d v="2024-02-25T00:00:00"/>
        <d v="2025-05-07T00:00:00"/>
        <d v="2024-11-01T00:00:00"/>
        <d v="2024-12-28T00:00:00"/>
        <d v="2023-10-18T00:00:00"/>
        <d v="2024-12-24T00:00:00"/>
        <d v="2023-12-30T00:00:00"/>
        <d v="2023-02-21T00:00:00"/>
        <d v="2023-05-17T00:00:00"/>
        <d v="2024-03-23T00:00:00"/>
        <d v="2023-09-20T00:00:00"/>
        <d v="2024-08-22T00:00:00"/>
        <d v="2024-09-25T00:00:00"/>
        <d v="2023-06-13T00:00:00"/>
        <d v="2024-06-03T00:00:00"/>
        <d v="2024-06-11T00:00:00"/>
        <d v="2023-07-22T00:00:00"/>
        <d v="2023-01-19T00:00:00"/>
        <d v="2024-05-01T00:00:00"/>
        <d v="2023-05-24T00:00:00"/>
        <d v="2023-12-05T00:00:00"/>
        <d v="2024-05-05T00:00:00"/>
        <d v="2023-07-09T00:00:00"/>
        <d v="2025-04-10T00:00:00"/>
        <d v="2025-07-27T00:00:00"/>
        <d v="2024-11-22T00:00:00"/>
        <d v="2023-12-18T00:00:00"/>
        <d v="2025-03-23T00:00:00"/>
        <d v="2023-05-14T00:00:00"/>
        <d v="2024-02-06T00:00:00"/>
        <d v="2025-08-13T00:00:00"/>
        <d v="2024-05-10T00:00:00"/>
        <d v="2023-07-16T00:00:00"/>
        <d v="2023-04-16T00:00:00"/>
        <d v="2025-08-30T00:00:00"/>
        <d v="2023-08-10T00:00:00"/>
        <d v="2024-12-08T00:00:00"/>
        <d v="2023-10-25T00:00:00"/>
        <d v="2024-11-17T00:00:00"/>
        <d v="2024-05-12T00:00:00"/>
        <d v="2025-05-15T00:00:00"/>
        <d v="2024-04-21T00:00:00"/>
        <d v="2024-08-19T00:00:00"/>
        <d v="2024-03-01T00:00:00"/>
        <d v="2024-05-27T00:00:00"/>
        <d v="2024-08-04T00:00:00"/>
        <d v="2024-04-26T00:00:00"/>
        <d v="2025-03-24T00:00:00"/>
        <d v="2025-03-10T00:00:00"/>
        <d v="2024-04-05T00:00:00"/>
        <d v="2024-10-24T00:00:00"/>
        <d v="2024-11-12T00:00:00"/>
        <d v="2023-05-10T00:00:00"/>
        <d v="2024-10-10T00:00:00"/>
        <d v="2023-06-01T00:00:00"/>
        <d v="2025-01-04T00:00:00"/>
        <d v="2023-05-01T00:00:00"/>
        <d v="2024-07-09T00:00:00"/>
        <d v="2024-04-24T00:00:00"/>
        <d v="2024-04-16T00:00:00"/>
        <d v="2025-02-07T00:00:00"/>
        <d v="2023-01-12T00:00:00"/>
        <d v="2024-06-05T00:00:00"/>
        <d v="2023-08-24T00:00:00"/>
        <d v="2025-03-11T00:00:00"/>
        <d v="2023-08-17T00:00:00"/>
        <d v="2025-01-10T00:00:00"/>
        <d v="2024-08-16T00:00:00"/>
        <d v="2023-07-07T00:00:00"/>
        <d v="2023-12-28T00:00:00"/>
        <d v="2023-01-26T00:00:00"/>
        <d v="2023-07-08T00:00:00"/>
        <d v="2023-02-11T00:00:00"/>
        <d v="2025-08-20T00:00:00"/>
        <d v="2024-03-04T00:00:00"/>
        <d v="2023-09-08T00:00:00"/>
        <d v="2024-12-07T00:00:00"/>
        <d v="2025-08-06T00:00:00"/>
        <d v="2023-03-03T00:00:00"/>
        <d v="2025-02-16T00:00:00"/>
        <d v="2024-08-31T00:00:00"/>
        <d v="2024-01-08T00:00:00"/>
        <d v="2024-01-24T00:00:00"/>
        <d v="2024-02-08T00:00:00"/>
        <d v="2025-06-26T00:00:00"/>
        <d v="2024-02-20T00:00:00"/>
        <d v="2025-04-13T00:00:00"/>
        <d v="2023-04-26T00:00:00"/>
        <d v="2025-08-03T00:00:00"/>
        <d v="2023-08-02T00:00:00"/>
        <d v="2024-11-11T00:00:00"/>
        <d v="2025-07-11T00:00:00"/>
        <d v="2023-06-03T00:00:00"/>
        <d v="2024-08-03T00:00:00"/>
        <d v="2025-04-17T00:00:00"/>
        <d v="2023-05-03T00:00:00"/>
        <d v="2024-03-13T00:00:00"/>
        <d v="2023-04-03T00:00:00"/>
        <d v="2023-02-27T00:00:00"/>
        <d v="2024-07-31T00:00:00"/>
        <d v="2025-02-17T00:00:00"/>
        <d v="2023-01-07T00:00:00"/>
        <d v="2024-08-17T00:00:00"/>
        <d v="2025-08-11T00:00:00"/>
        <d v="2023-04-10T00:00:00"/>
        <d v="2023-09-17T00:00:00"/>
        <d v="2023-04-22T00:00:00"/>
        <d v="2024-11-27T00:00:00"/>
        <d v="2024-10-19T00:00:00"/>
        <d v="2024-06-25T00:00:00"/>
        <d v="2024-10-13T00:00:00"/>
        <d v="2024-07-28T00:00:00"/>
        <d v="2025-07-19T00:00:00"/>
        <d v="2025-02-28T00:00:00"/>
      </sharedItems>
      <fieldGroup base="1">
        <rangePr groupBy="months" startDate="2023-01-02T00:00:00" endDate="2025-09-15T00:00:00" groupInterval="1"/>
        <groupItems count="14">
          <s v="&lt;1/2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15/2025"/>
        </groupItems>
      </fieldGroup>
    </cacheField>
    <cacheField name="Month Of OrderDate" numFmtId="0">
      <sharedItems containsSemiMixedTypes="0" containsString="0" containsNumber="1" containsInteger="1" minValue="1" maxValue="12" count="12">
        <n v="3"/>
        <n v="10"/>
        <n v="2"/>
        <n v="12"/>
        <n v="1"/>
        <n v="5"/>
        <n v="9"/>
        <n v="4"/>
        <n v="7"/>
        <n v="6"/>
        <n v="11"/>
        <n v="8"/>
      </sharedItems>
    </cacheField>
    <cacheField name="Month" numFmtId="182">
      <sharedItems containsSemiMixedTypes="0" containsString="0" containsNonDate="0" containsDate="1" minDate="2023-01-02T00:00:00" maxDate="2025-09-15T00:00:00" count="468">
        <d v="2024-03-11T00:00:00"/>
        <d v="2024-10-23T00:00:00"/>
        <d v="2023-02-28T00:00:00"/>
        <d v="2025-03-29T00:00:00"/>
        <d v="2023-12-06T00:00:00"/>
        <d v="2023-01-02T00:00:00"/>
        <d v="2024-12-27T00:00:00"/>
        <d v="2023-01-15T00:00:00"/>
        <d v="2024-05-04T00:00:00"/>
        <d v="2025-05-21T00:00:00"/>
        <d v="2024-01-28T00:00:00"/>
        <d v="2025-01-03T00:00:00"/>
        <d v="2025-03-06T00:00:00"/>
        <d v="2024-01-20T00:00:00"/>
        <d v="2025-09-01T00:00:00"/>
        <d v="2023-04-23T00:00:00"/>
        <d v="2024-12-10T00:00:00"/>
        <d v="2025-09-08T00:00:00"/>
        <d v="2025-07-20T00:00:00"/>
        <d v="2024-07-25T00:00:00"/>
        <d v="2023-05-11T00:00:00"/>
        <d v="2025-06-14T00:00:00"/>
        <d v="2024-05-18T00:00:00"/>
        <d v="2023-02-07T00:00:00"/>
        <d v="2024-06-30T00:00:00"/>
        <d v="2024-11-30T00:00:00"/>
        <d v="2024-07-19T00:00:00"/>
        <d v="2023-04-14T00:00:00"/>
        <d v="2025-04-07T00:00:00"/>
        <d v="2023-02-23T00:00:00"/>
        <d v="2025-07-24T00:00:00"/>
        <d v="2024-04-18T00:00:00"/>
        <d v="2024-08-23T00:00:00"/>
        <d v="2023-03-27T00:00:00"/>
        <d v="2024-03-07T00:00:00"/>
        <d v="2025-06-24T00:00:00"/>
        <d v="2024-04-19T00:00:00"/>
        <d v="2023-06-17T00:00:00"/>
        <d v="2024-08-27T00:00:00"/>
        <d v="2024-01-11T00:00:00"/>
        <d v="2024-10-25T00:00:00"/>
        <d v="2025-05-29T00:00:00"/>
        <d v="2024-05-20T00:00:00"/>
        <d v="2023-04-19T00:00:00"/>
        <d v="2023-06-23T00:00:00"/>
        <d v="2024-05-14T00:00:00"/>
        <d v="2024-10-14T00:00:00"/>
        <d v="2023-07-10T00:00:00"/>
        <d v="2024-11-06T00:00:00"/>
        <d v="2024-10-17T00:00:00"/>
        <d v="2023-03-31T00:00:00"/>
        <d v="2025-01-21T00:00:00"/>
        <d v="2023-08-30T00:00:00"/>
        <d v="2025-04-06T00:00:00"/>
        <d v="2025-02-09T00:00:00"/>
        <d v="2024-12-17T00:00:00"/>
        <d v="2025-06-09T00:00:00"/>
        <d v="2025-05-02T00:00:00"/>
        <d v="2024-03-10T00:00:00"/>
        <d v="2025-09-10T00:00:00"/>
        <d v="2025-04-27T00:00:00"/>
        <d v="2024-11-02T00:00:00"/>
        <d v="2023-02-15T00:00:00"/>
        <d v="2023-12-03T00:00:00"/>
        <d v="2023-03-19T00:00:00"/>
        <d v="2024-05-22T00:00:00"/>
        <d v="2023-08-19T00:00:00"/>
        <d v="2023-04-21T00:00:00"/>
        <d v="2024-03-18T00:00:00"/>
        <d v="2025-04-09T00:00:00"/>
        <d v="2024-04-12T00:00:00"/>
        <d v="2024-12-15T00:00:00"/>
        <d v="2023-05-20T00:00:00"/>
        <d v="2023-09-18T00:00:00"/>
        <d v="2024-08-28T00:00:00"/>
        <d v="2023-06-14T00:00:00"/>
        <d v="2024-11-21T00:00:00"/>
        <d v="2023-02-08T00:00:00"/>
        <d v="2025-05-14T00:00:00"/>
        <d v="2025-04-23T00:00:00"/>
        <d v="2025-03-25T00:00:00"/>
        <d v="2023-12-22T00:00:00"/>
        <d v="2024-04-06T00:00:00"/>
        <d v="2025-08-07T00:00:00"/>
        <d v="2024-01-21T00:00:00"/>
        <d v="2023-06-29T00:00:00"/>
        <d v="2025-04-28T00:00:00"/>
        <d v="2023-06-24T00:00:00"/>
        <d v="2024-10-04T00:00:00"/>
        <d v="2023-04-06T00:00:00"/>
        <d v="2025-08-01T00:00:00"/>
        <d v="2024-05-28T00:00:00"/>
        <d v="2025-07-22T00:00:00"/>
        <d v="2025-01-27T00:00:00"/>
        <d v="2024-01-13T00:00:00"/>
        <d v="2025-03-31T00:00:00"/>
        <d v="2024-12-05T00:00:00"/>
        <d v="2024-09-14T00:00:00"/>
        <d v="2024-05-21T00:00:00"/>
        <d v="2024-08-14T00:00:00"/>
        <d v="2024-10-16T00:00:00"/>
        <d v="2024-06-02T00:00:00"/>
        <d v="2024-06-09T00:00:00"/>
        <d v="2024-06-10T00:00:00"/>
        <d v="2024-06-29T00:00:00"/>
        <d v="2025-01-17T00:00:00"/>
        <d v="2023-11-20T00:00:00"/>
        <d v="2023-03-02T00:00:00"/>
        <d v="2025-06-03T00:00:00"/>
        <d v="2023-06-09T00:00:00"/>
        <d v="2025-07-09T00:00:00"/>
        <d v="2025-06-19T00:00:00"/>
        <d v="2023-11-19T00:00:00"/>
        <d v="2023-12-29T00:00:00"/>
        <d v="2023-08-21T00:00:00"/>
        <d v="2023-08-12T00:00:00"/>
        <d v="2024-06-07T00:00:00"/>
        <d v="2025-08-05T00:00:00"/>
        <d v="2024-05-30T00:00:00"/>
        <d v="2023-01-22T00:00:00"/>
        <d v="2025-02-12T00:00:00"/>
        <d v="2025-03-03T00:00:00"/>
        <d v="2023-01-27T00:00:00"/>
        <d v="2025-01-09T00:00:00"/>
        <d v="2024-12-21T00:00:00"/>
        <d v="2023-04-12T00:00:00"/>
        <d v="2024-12-14T00:00:00"/>
        <d v="2024-11-20T00:00:00"/>
        <d v="2024-02-14T00:00:00"/>
        <d v="2023-05-02T00:00:00"/>
        <d v="2024-12-23T00:00:00"/>
        <d v="2023-07-26T00:00:00"/>
        <d v="2024-06-15T00:00:00"/>
        <d v="2023-07-05T00:00:00"/>
        <d v="2023-11-30T00:00:00"/>
        <d v="2025-09-11T00:00:00"/>
        <d v="2024-04-04T00:00:00"/>
        <d v="2023-09-14T00:00:00"/>
        <d v="2024-09-23T00:00:00"/>
        <d v="2025-04-16T00:00:00"/>
        <d v="2023-07-03T00:00:00"/>
        <d v="2023-12-07T00:00:00"/>
        <d v="2024-02-18T00:00:00"/>
        <d v="2023-10-31T00:00:00"/>
        <d v="2024-08-07T00:00:00"/>
        <d v="2024-02-01T00:00:00"/>
        <d v="2025-02-15T00:00:00"/>
        <d v="2023-02-20T00:00:00"/>
        <d v="2024-10-30T00:00:00"/>
        <d v="2024-04-03T00:00:00"/>
        <d v="2023-03-25T00:00:00"/>
        <d v="2024-06-04T00:00:00"/>
        <d v="2023-02-19T00:00:00"/>
        <d v="2023-04-18T00:00:00"/>
        <d v="2024-05-23T00:00:00"/>
        <d v="2023-10-07T00:00:00"/>
        <d v="2024-10-09T00:00:00"/>
        <d v="2024-07-15T00:00:00"/>
        <d v="2023-09-21T00:00:00"/>
        <d v="2023-02-24T00:00:00"/>
        <d v="2025-04-14T00:00:00"/>
        <d v="2023-08-27T00:00:00"/>
        <d v="2024-02-03T00:00:00"/>
        <d v="2023-04-05T00:00:00"/>
        <d v="2025-08-21T00:00:00"/>
        <d v="2025-09-15T00:00:00"/>
        <d v="2024-10-03T00:00:00"/>
        <d v="2025-02-02T00:00:00"/>
        <d v="2024-10-22T00:00:00"/>
        <d v="2023-06-22T00:00:00"/>
        <d v="2025-01-13T00:00:00"/>
        <d v="2023-01-29T00:00:00"/>
        <d v="2023-07-19T00:00:00"/>
        <d v="2024-05-19T00:00:00"/>
        <d v="2023-08-08T00:00:00"/>
        <d v="2024-08-12T00:00:00"/>
        <d v="2023-10-15T00:00:00"/>
        <d v="2023-05-04T00:00:00"/>
        <d v="2024-09-22T00:00:00"/>
        <d v="2024-02-11T00:00:00"/>
        <d v="2023-01-30T00:00:00"/>
        <d v="2023-01-13T00:00:00"/>
        <d v="2024-01-12T00:00:00"/>
        <d v="2023-08-15T00:00:00"/>
        <d v="2023-01-20T00:00:00"/>
        <d v="2025-02-04T00:00:00"/>
        <d v="2023-07-02T00:00:00"/>
        <d v="2024-09-10T00:00:00"/>
        <d v="2025-07-21T00:00:00"/>
        <d v="2024-10-02T00:00:00"/>
        <d v="2025-07-14T00:00:00"/>
        <d v="2024-09-09T00:00:00"/>
        <d v="2025-01-29T00:00:00"/>
        <d v="2023-11-10T00:00:00"/>
        <d v="2024-02-29T00:00:00"/>
        <d v="2023-12-20T00:00:00"/>
        <d v="2024-10-11T00:00:00"/>
        <d v="2024-09-19T00:00:00"/>
        <d v="2025-08-25T00:00:00"/>
        <d v="2023-09-25T00:00:00"/>
        <d v="2023-08-26T00:00:00"/>
        <d v="2025-07-16T00:00:00"/>
        <d v="2023-12-19T00:00:00"/>
        <d v="2023-07-30T00:00:00"/>
        <d v="2023-10-04T00:00:00"/>
        <d v="2025-08-10T00:00:00"/>
        <d v="2023-03-07T00:00:00"/>
        <d v="2023-05-23T00:00:00"/>
        <d v="2025-04-24T00:00:00"/>
        <d v="2024-09-03T00:00:00"/>
        <d v="2024-09-05T00:00:00"/>
        <d v="2023-03-14T00:00:00"/>
        <d v="2024-09-13T00:00:00"/>
        <d v="2025-07-17T00:00:00"/>
        <d v="2023-11-28T00:00:00"/>
        <d v="2024-03-30T00:00:00"/>
        <d v="2023-09-19T00:00:00"/>
        <d v="2025-05-16T00:00:00"/>
        <d v="2025-08-02T00:00:00"/>
        <d v="2024-12-04T00:00:00"/>
        <d v="2024-03-06T00:00:00"/>
        <d v="2024-02-16T00:00:00"/>
        <d v="2025-04-22T00:00:00"/>
        <d v="2024-11-08T00:00:00"/>
        <d v="2025-09-12T00:00:00"/>
        <d v="2024-09-02T00:00:00"/>
        <d v="2023-03-04T00:00:00"/>
        <d v="2024-03-15T00:00:00"/>
        <d v="2024-07-29T00:00:00"/>
        <d v="2024-10-27T00:00:00"/>
        <d v="2024-04-29T00:00:00"/>
        <d v="2023-10-05T00:00:00"/>
        <d v="2025-06-27T00:00:00"/>
        <d v="2023-10-11T00:00:00"/>
        <d v="2023-05-27T00:00:00"/>
        <d v="2023-08-04T00:00:00"/>
        <d v="2025-06-21T00:00:00"/>
        <d v="2025-09-02T00:00:00"/>
        <d v="2024-10-08T00:00:00"/>
        <d v="2023-05-07T00:00:00"/>
        <d v="2023-12-24T00:00:00"/>
        <d v="2024-01-10T00:00:00"/>
        <d v="2023-08-03T00:00:00"/>
        <d v="2025-02-19T00:00:00"/>
        <d v="2024-03-31T00:00:00"/>
        <d v="2023-07-24T00:00:00"/>
        <d v="2024-03-16T00:00:00"/>
        <d v="2024-01-25T00:00:00"/>
        <d v="2024-03-27T00:00:00"/>
        <d v="2024-06-16T00:00:00"/>
        <d v="2023-10-30T00:00:00"/>
        <d v="2023-06-15T00:00:00"/>
        <d v="2025-03-14T00:00:00"/>
        <d v="2025-05-17T00:00:00"/>
        <d v="2025-04-04T00:00:00"/>
        <d v="2024-09-07T00:00:00"/>
        <d v="2023-07-18T00:00:00"/>
        <d v="2025-08-28T00:00:00"/>
        <d v="2025-03-30T00:00:00"/>
        <d v="2023-10-21T00:00:00"/>
        <d v="2023-08-23T00:00:00"/>
        <d v="2025-04-11T00:00:00"/>
        <d v="2025-06-01T00:00:00"/>
        <d v="2024-03-02T00:00:00"/>
        <d v="2023-06-20T00:00:00"/>
        <d v="2024-03-26T00:00:00"/>
        <d v="2025-01-22T00:00:00"/>
        <d v="2025-05-10T00:00:00"/>
        <d v="2025-06-22T00:00:00"/>
        <d v="2024-06-19T00:00:00"/>
        <d v="2025-05-18T00:00:00"/>
        <d v="2023-01-10T00:00:00"/>
        <d v="2024-12-29T00:00:00"/>
        <d v="2024-11-04T00:00:00"/>
        <d v="2024-06-08T00:00:00"/>
        <d v="2023-05-06T00:00:00"/>
        <d v="2023-11-14T00:00:00"/>
        <d v="2025-04-01T00:00:00"/>
        <d v="2023-03-23T00:00:00"/>
        <d v="2024-01-02T00:00:00"/>
        <d v="2023-06-10T00:00:00"/>
        <d v="2025-05-19T00:00:00"/>
        <d v="2023-10-22T00:00:00"/>
        <d v="2025-01-11T00:00:00"/>
        <d v="2025-09-14T00:00:00"/>
        <d v="2023-11-15T00:00:00"/>
        <d v="2024-04-09T00:00:00"/>
        <d v="2024-07-11T00:00:00"/>
        <d v="2023-07-25T00:00:00"/>
        <d v="2023-07-14T00:00:00"/>
        <d v="2023-04-13T00:00:00"/>
        <d v="2024-10-29T00:00:00"/>
        <d v="2024-02-17T00:00:00"/>
        <d v="2024-07-13T00:00:00"/>
        <d v="2023-12-01T00:00:00"/>
        <d v="2023-12-21T00:00:00"/>
        <d v="2025-06-17T00:00:00"/>
        <d v="2023-12-02T00:00:00"/>
        <d v="2024-08-08T00:00:00"/>
        <d v="2024-11-07T00:00:00"/>
        <d v="2024-01-01T00:00:00"/>
        <d v="2025-08-14T00:00:00"/>
        <d v="2024-11-25T00:00:00"/>
        <d v="2024-01-18T00:00:00"/>
        <d v="2024-06-23T00:00:00"/>
        <d v="2025-06-25T00:00:00"/>
        <d v="2023-07-01T00:00:00"/>
        <d v="2024-03-09T00:00:00"/>
        <d v="2023-06-05T00:00:00"/>
        <d v="2025-03-21T00:00:00"/>
        <d v="2025-03-15T00:00:00"/>
        <d v="2023-12-26T00:00:00"/>
        <d v="2023-02-05T00:00:00"/>
        <d v="2024-05-17T00:00:00"/>
        <d v="2024-03-03T00:00:00"/>
        <d v="2023-03-13T00:00:00"/>
        <d v="2025-01-07T00:00:00"/>
        <d v="2025-02-06T00:00:00"/>
        <d v="2025-01-31T00:00:00"/>
        <d v="2025-07-23T00:00:00"/>
        <d v="2024-07-18T00:00:00"/>
        <d v="2025-05-12T00:00:00"/>
        <d v="2024-05-07T00:00:00"/>
        <d v="2023-09-30T00:00:00"/>
        <d v="2023-10-26T00:00:00"/>
        <d v="2025-06-15T00:00:00"/>
        <d v="2024-08-10T00:00:00"/>
        <d v="2023-10-09T00:00:00"/>
        <d v="2023-05-29T00:00:00"/>
        <d v="2025-05-27T00:00:00"/>
        <d v="2024-12-12T00:00:00"/>
        <d v="2024-09-06T00:00:00"/>
        <d v="2025-04-12T00:00:00"/>
        <d v="2024-11-05T00:00:00"/>
        <d v="2024-07-24T00:00:00"/>
        <d v="2025-01-20T00:00:00"/>
        <d v="2023-03-06T00:00:00"/>
        <d v="2024-12-20T00:00:00"/>
        <d v="2025-02-21T00:00:00"/>
        <d v="2025-03-08T00:00:00"/>
        <d v="2023-12-16T00:00:00"/>
        <d v="2024-08-30T00:00:00"/>
        <d v="2023-03-17T00:00:00"/>
        <d v="2023-08-25T00:00:00"/>
        <d v="2024-06-06T00:00:00"/>
        <d v="2023-08-29T00:00:00"/>
        <d v="2025-06-05T00:00:00"/>
        <d v="2024-01-16T00:00:00"/>
        <d v="2023-10-12T00:00:00"/>
        <d v="2025-02-25T00:00:00"/>
        <d v="2025-07-03T00:00:00"/>
        <d v="2024-02-19T00:00:00"/>
        <d v="2024-02-27T00:00:00"/>
        <d v="2024-08-18T00:00:00"/>
        <d v="2024-02-25T00:00:00"/>
        <d v="2025-05-07T00:00:00"/>
        <d v="2024-11-01T00:00:00"/>
        <d v="2024-12-28T00:00:00"/>
        <d v="2023-10-18T00:00:00"/>
        <d v="2024-12-24T00:00:00"/>
        <d v="2023-12-30T00:00:00"/>
        <d v="2023-02-21T00:00:00"/>
        <d v="2023-05-17T00:00:00"/>
        <d v="2024-03-23T00:00:00"/>
        <d v="2023-09-20T00:00:00"/>
        <d v="2024-08-22T00:00:00"/>
        <d v="2024-09-25T00:00:00"/>
        <d v="2023-06-13T00:00:00"/>
        <d v="2024-06-03T00:00:00"/>
        <d v="2024-06-11T00:00:00"/>
        <d v="2023-07-22T00:00:00"/>
        <d v="2023-01-19T00:00:00"/>
        <d v="2024-05-01T00:00:00"/>
        <d v="2023-05-24T00:00:00"/>
        <d v="2023-12-05T00:00:00"/>
        <d v="2024-05-05T00:00:00"/>
        <d v="2023-07-09T00:00:00"/>
        <d v="2025-04-10T00:00:00"/>
        <d v="2025-07-27T00:00:00"/>
        <d v="2024-11-22T00:00:00"/>
        <d v="2023-12-18T00:00:00"/>
        <d v="2025-03-23T00:00:00"/>
        <d v="2023-05-14T00:00:00"/>
        <d v="2024-02-06T00:00:00"/>
        <d v="2025-08-13T00:00:00"/>
        <d v="2024-05-10T00:00:00"/>
        <d v="2023-07-16T00:00:00"/>
        <d v="2023-04-16T00:00:00"/>
        <d v="2025-08-30T00:00:00"/>
        <d v="2023-08-10T00:00:00"/>
        <d v="2024-12-08T00:00:00"/>
        <d v="2023-10-25T00:00:00"/>
        <d v="2024-11-17T00:00:00"/>
        <d v="2024-05-12T00:00:00"/>
        <d v="2025-05-15T00:00:00"/>
        <d v="2024-04-21T00:00:00"/>
        <d v="2024-08-19T00:00:00"/>
        <d v="2024-03-01T00:00:00"/>
        <d v="2024-05-27T00:00:00"/>
        <d v="2024-08-04T00:00:00"/>
        <d v="2024-04-26T00:00:00"/>
        <d v="2025-03-24T00:00:00"/>
        <d v="2025-03-10T00:00:00"/>
        <d v="2024-04-05T00:00:00"/>
        <d v="2024-10-24T00:00:00"/>
        <d v="2024-11-12T00:00:00"/>
        <d v="2023-05-10T00:00:00"/>
        <d v="2024-10-10T00:00:00"/>
        <d v="2023-06-01T00:00:00"/>
        <d v="2025-01-04T00:00:00"/>
        <d v="2023-05-01T00:00:00"/>
        <d v="2024-07-09T00:00:00"/>
        <d v="2024-04-24T00:00:00"/>
        <d v="2024-04-16T00:00:00"/>
        <d v="2025-02-07T00:00:00"/>
        <d v="2023-01-12T00:00:00"/>
        <d v="2024-06-05T00:00:00"/>
        <d v="2023-08-24T00:00:00"/>
        <d v="2025-03-11T00:00:00"/>
        <d v="2023-08-17T00:00:00"/>
        <d v="2025-01-10T00:00:00"/>
        <d v="2024-08-16T00:00:00"/>
        <d v="2023-07-07T00:00:00"/>
        <d v="2023-12-28T00:00:00"/>
        <d v="2023-01-26T00:00:00"/>
        <d v="2023-07-08T00:00:00"/>
        <d v="2023-02-11T00:00:00"/>
        <d v="2025-08-20T00:00:00"/>
        <d v="2024-03-04T00:00:00"/>
        <d v="2023-09-08T00:00:00"/>
        <d v="2024-12-07T00:00:00"/>
        <d v="2025-08-06T00:00:00"/>
        <d v="2023-03-03T00:00:00"/>
        <d v="2025-02-16T00:00:00"/>
        <d v="2024-08-31T00:00:00"/>
        <d v="2024-01-08T00:00:00"/>
        <d v="2024-01-24T00:00:00"/>
        <d v="2024-02-08T00:00:00"/>
        <d v="2025-06-26T00:00:00"/>
        <d v="2024-02-20T00:00:00"/>
        <d v="2025-04-13T00:00:00"/>
        <d v="2023-04-26T00:00:00"/>
        <d v="2025-08-03T00:00:00"/>
        <d v="2023-08-02T00:00:00"/>
        <d v="2024-11-11T00:00:00"/>
        <d v="2025-07-11T00:00:00"/>
        <d v="2023-06-03T00:00:00"/>
        <d v="2024-08-03T00:00:00"/>
        <d v="2025-04-17T00:00:00"/>
        <d v="2023-05-03T00:00:00"/>
        <d v="2024-03-13T00:00:00"/>
        <d v="2023-04-03T00:00:00"/>
        <d v="2023-02-27T00:00:00"/>
        <d v="2024-07-31T00:00:00"/>
        <d v="2025-02-17T00:00:00"/>
        <d v="2023-01-07T00:00:00"/>
        <d v="2024-08-17T00:00:00"/>
        <d v="2025-08-11T00:00:00"/>
        <d v="2023-04-10T00:00:00"/>
        <d v="2023-09-17T00:00:00"/>
        <d v="2023-04-22T00:00:00"/>
        <d v="2024-11-27T00:00:00"/>
        <d v="2024-10-19T00:00:00"/>
        <d v="2024-06-25T00:00:00"/>
        <d v="2024-10-13T00:00:00"/>
        <d v="2024-07-28T00:00:00"/>
        <d v="2025-07-19T00:00:00"/>
        <d v="2025-02-28T00:00:00"/>
      </sharedItems>
    </cacheField>
    <cacheField name="Quarter" numFmtId="181">
      <sharedItems count="4">
        <s v="Quarter 1"/>
        <s v="Quarter 4"/>
        <s v="Quarter 2"/>
        <s v="Quarter 3"/>
      </sharedItems>
    </cacheField>
    <cacheField name="RequiredDate" numFmtId="181">
      <sharedItems containsSemiMixedTypes="0" containsString="0" containsNonDate="0" containsDate="1" minDate="2023-01-05T00:00:00" maxDate="2025-10-05T00:00:00" count="469">
        <d v="2024-04-06T00:00:00"/>
        <d v="2024-10-22T00:00:00"/>
        <d v="2023-03-25T00:00:00"/>
        <d v="2025-04-02T00:00:00"/>
        <d v="2023-12-31T00:00:00"/>
        <d v="2023-01-05T00:00:00"/>
        <d v="2025-01-14T00:00:00"/>
        <d v="2023-01-13T00:00:00"/>
        <d v="2024-05-29T00:00:00"/>
        <d v="2025-06-09T00:00:00"/>
        <d v="2024-02-09T00:00:00"/>
        <d v="2025-01-23T00:00:00"/>
        <d v="2025-03-31T00:00:00"/>
        <d v="2024-02-13T00:00:00"/>
        <d v="2025-09-30T00:00:00"/>
        <d v="2023-04-22T00:00:00"/>
        <d v="2025-01-08T00:00:00"/>
        <d v="2025-09-16T00:00:00"/>
        <d v="2025-08-05T00:00:00"/>
        <d v="2025-05-19T00:00:00"/>
        <d v="2024-07-24T00:00:00"/>
        <d v="2023-05-28T00:00:00"/>
        <d v="2025-06-29T00:00:00"/>
        <d v="2024-05-23T00:00:00"/>
        <d v="2023-02-12T00:00:00"/>
        <d v="2024-07-14T00:00:00"/>
        <d v="2024-12-30T00:00:00"/>
        <d v="2024-07-19T00:00:00"/>
        <d v="2023-05-14T00:00:00"/>
        <d v="2025-04-11T00:00:00"/>
        <d v="2025-01-15T00:00:00"/>
        <d v="2025-08-06T00:00:00"/>
        <d v="2024-05-08T00:00:00"/>
        <d v="2024-08-21T00:00:00"/>
        <d v="2024-03-25T00:00:00"/>
        <d v="2025-07-10T00:00:00"/>
        <d v="2024-05-06T00:00:00"/>
        <d v="2023-06-24T00:00:00"/>
        <d v="2024-09-19T00:00:00"/>
        <d v="2024-02-02T00:00:00"/>
        <d v="2024-11-14T00:00:00"/>
        <d v="2025-06-20T00:00:00"/>
        <d v="2024-06-02T00:00:00"/>
        <d v="2023-04-30T00:00:00"/>
        <d v="2023-07-03T00:00:00"/>
        <d v="2024-05-28T00:00:00"/>
        <d v="2024-11-08T00:00:00"/>
        <d v="2023-08-01T00:00:00"/>
        <d v="2024-11-22T00:00:00"/>
        <d v="2024-11-06T00:00:00"/>
        <d v="2023-04-05T00:00:00"/>
        <d v="2025-02-16T00:00:00"/>
        <d v="2023-09-01T00:00:00"/>
        <d v="2025-04-30T00:00:00"/>
        <d v="2025-03-01T00:00:00"/>
        <d v="2024-12-18T00:00:00"/>
        <d v="2025-06-18T00:00:00"/>
        <d v="2025-05-13T00:00:00"/>
        <d v="2024-04-09T00:00:00"/>
        <d v="2025-09-12T00:00:00"/>
        <d v="2025-05-25T00:00:00"/>
        <d v="2024-11-18T00:00:00"/>
        <d v="2023-02-26T00:00:00"/>
        <d v="2023-12-26T00:00:00"/>
        <d v="2023-04-09T00:00:00"/>
        <d v="2024-06-06T00:00:00"/>
        <d v="2023-09-07T00:00:00"/>
        <d v="2023-05-10T00:00:00"/>
        <d v="2024-03-21T00:00:00"/>
        <d v="2025-05-06T00:00:00"/>
        <d v="2024-05-07T00:00:00"/>
        <d v="2024-12-20T00:00:00"/>
        <d v="2023-05-18T00:00:00"/>
        <d v="2023-10-08T00:00:00"/>
        <d v="2024-09-25T00:00:00"/>
        <d v="2024-06-28T00:00:00"/>
        <d v="2023-06-16T00:00:00"/>
        <d v="2024-12-21T00:00:00"/>
        <d v="2023-02-11T00:00:00"/>
        <d v="2023-09-12T00:00:00"/>
        <d v="2025-05-24T00:00:00"/>
        <d v="2025-04-22T00:00:00"/>
        <d v="2025-04-17T00:00:00"/>
        <d v="2023-12-23T00:00:00"/>
        <d v="2024-04-25T00:00:00"/>
        <d v="2025-08-19T00:00:00"/>
        <d v="2024-01-25T00:00:00"/>
        <d v="2023-07-02T00:00:00"/>
        <d v="2025-05-15T00:00:00"/>
        <d v="2025-06-25T00:00:00"/>
        <d v="2023-06-23T00:00:00"/>
        <d v="2024-11-02T00:00:00"/>
        <d v="2023-04-27T00:00:00"/>
        <d v="2025-08-16T00:00:00"/>
        <d v="2024-05-26T00:00:00"/>
        <d v="2025-08-18T00:00:00"/>
        <d v="2023-03-20T00:00:00"/>
        <d v="2025-02-15T00:00:00"/>
        <d v="2024-01-22T00:00:00"/>
        <d v="2025-04-04T00:00:00"/>
        <d v="2024-12-28T00:00:00"/>
        <d v="2024-10-05T00:00:00"/>
        <d v="2024-05-27T00:00:00"/>
        <d v="2023-06-07T00:00:00"/>
        <d v="2024-09-04T00:00:00"/>
        <d v="2024-06-08T00:00:00"/>
        <d v="2024-07-07T00:00:00"/>
        <d v="2024-06-11T00:00:00"/>
        <d v="2024-07-26T00:00:00"/>
        <d v="2025-01-24T00:00:00"/>
        <d v="2023-12-05T00:00:00"/>
        <d v="2023-03-05T00:00:00"/>
        <d v="2025-06-10T00:00:00"/>
        <d v="2025-01-02T00:00:00"/>
        <d v="2023-06-19T00:00:00"/>
        <d v="2025-07-18T00:00:00"/>
        <d v="2025-07-12T00:00:00"/>
        <d v="2023-12-13T00:00:00"/>
        <d v="2024-01-20T00:00:00"/>
        <d v="2024-11-29T00:00:00"/>
        <d v="2023-09-04T00:00:00"/>
        <d v="2023-09-06T00:00:00"/>
        <d v="2024-06-26T00:00:00"/>
        <d v="2025-08-14T00:00:00"/>
        <d v="2024-06-13T00:00:00"/>
        <d v="2023-01-30T00:00:00"/>
        <d v="2025-02-28T00:00:00"/>
        <d v="2025-03-24T00:00:00"/>
        <d v="2023-01-31T00:00:00"/>
        <d v="2024-12-26T00:00:00"/>
        <d v="2023-04-17T00:00:00"/>
        <d v="2025-01-12T00:00:00"/>
        <d v="2023-04-12T00:00:00"/>
        <d v="2024-12-15T00:00:00"/>
        <d v="2024-02-14T00:00:00"/>
        <d v="2025-01-11T00:00:00"/>
        <d v="2023-08-25T00:00:00"/>
        <d v="2024-07-06T00:00:00"/>
        <d v="2023-07-14T00:00:00"/>
        <d v="2023-11-29T00:00:00"/>
        <d v="2025-09-28T00:00:00"/>
        <d v="2024-04-24T00:00:00"/>
        <d v="2023-09-16T00:00:00"/>
        <d v="2024-10-18T00:00:00"/>
        <d v="2025-05-16T00:00:00"/>
        <d v="2023-07-23T00:00:00"/>
        <d v="2024-03-04T00:00:00"/>
        <d v="2023-11-02T00:00:00"/>
        <d v="2024-08-17T00:00:00"/>
        <d v="2024-02-21T00:00:00"/>
        <d v="2024-09-18T00:00:00"/>
        <d v="2025-08-21T00:00:00"/>
        <d v="2023-03-04T00:00:00"/>
        <d v="2024-11-24T00:00:00"/>
        <d v="2024-04-07T00:00:00"/>
        <d v="2023-03-26T00:00:00"/>
        <d v="2024-06-16T00:00:00"/>
        <d v="2023-03-12T00:00:00"/>
        <d v="2024-06-14T00:00:00"/>
        <d v="2023-10-23T00:00:00"/>
        <d v="2024-07-15T00:00:00"/>
        <d v="2023-10-10T00:00:00"/>
        <d v="2023-03-09T00:00:00"/>
        <d v="2024-06-03T00:00:00"/>
        <d v="2025-05-04T00:00:00"/>
        <d v="2023-09-11T00:00:00"/>
        <d v="2023-04-16T00:00:00"/>
        <d v="2025-09-18T00:00:00"/>
        <d v="2024-10-11T00:00:00"/>
        <d v="2025-03-04T00:00:00"/>
        <d v="2023-08-23T00:00:00"/>
        <d v="2024-10-29T00:00:00"/>
        <d v="2023-07-21T00:00:00"/>
        <d v="2025-02-08T00:00:00"/>
        <d v="2023-02-28T00:00:00"/>
        <d v="2023-07-31T00:00:00"/>
        <d v="2024-02-19T00:00:00"/>
        <d v="2023-08-22T00:00:00"/>
        <d v="2024-09-03T00:00:00"/>
        <d v="2023-11-13T00:00:00"/>
        <d v="2023-05-26T00:00:00"/>
        <d v="2024-10-01T00:00:00"/>
        <d v="2024-03-03T00:00:00"/>
        <d v="2023-02-21T00:00:00"/>
        <d v="2023-05-13T00:00:00"/>
        <d v="2023-01-19T00:00:00"/>
        <d v="2024-01-29T00:00:00"/>
        <d v="2023-02-03T00:00:00"/>
        <d v="2025-02-25T00:00:00"/>
        <d v="2023-04-28T00:00:00"/>
        <d v="2025-02-14T00:00:00"/>
        <d v="2024-10-07T00:00:00"/>
        <d v="2025-08-07T00:00:00"/>
        <d v="2024-10-23T00:00:00"/>
        <d v="2025-08-04T00:00:00"/>
        <d v="2025-02-06T00:00:00"/>
        <d v="2023-11-28T00:00:00"/>
        <d v="2024-03-30T00:00:00"/>
        <d v="2024-01-14T00:00:00"/>
        <d v="2023-01-21T00:00:00"/>
        <d v="2024-11-09T00:00:00"/>
        <d v="2024-10-14T00:00:00"/>
        <d v="2025-09-24T00:00:00"/>
        <d v="2023-10-02T00:00:00"/>
        <d v="2023-09-10T00:00:00"/>
        <d v="2025-07-17T00:00:00"/>
        <d v="2023-05-07T00:00:00"/>
        <d v="2023-12-20T00:00:00"/>
        <d v="2023-08-07T00:00:00"/>
        <d v="2023-10-29T00:00:00"/>
        <d v="2025-08-30T00:00:00"/>
        <d v="2023-04-01T00:00:00"/>
        <d v="2023-06-10T00:00:00"/>
        <d v="2024-09-08T00:00:00"/>
        <d v="2023-03-30T00:00:00"/>
        <d v="2024-10-02T00:00:00"/>
        <d v="2025-07-23T00:00:00"/>
        <d v="2023-12-07T00:00:00"/>
        <d v="2025-05-27T00:00:00"/>
        <d v="2025-08-08T00:00:00"/>
        <d v="2024-12-12T00:00:00"/>
        <d v="2024-03-26T00:00:00"/>
        <d v="2025-05-02T00:00:00"/>
        <d v="2023-03-24T00:00:00"/>
        <d v="2024-07-31T00:00:00"/>
        <d v="2024-11-20T00:00:00"/>
        <d v="2024-05-19T00:00:00"/>
        <d v="2023-10-06T00:00:00"/>
        <d v="2025-07-05T00:00:00"/>
        <d v="2023-10-13T00:00:00"/>
        <d v="2023-08-24T00:00:00"/>
        <d v="2025-06-27T00:00:00"/>
        <d v="2025-04-26T00:00:00"/>
        <d v="2025-09-11T00:00:00"/>
        <d v="2024-10-08T00:00:00"/>
        <d v="2023-05-05T00:00:00"/>
        <d v="2024-01-01T00:00:00"/>
        <d v="2024-01-23T00:00:00"/>
        <d v="2023-08-14T00:00:00"/>
        <d v="2025-03-09T00:00:00"/>
        <d v="2024-04-17T00:00:00"/>
        <d v="2023-08-13T00:00:00"/>
        <d v="2024-04-13T00:00:00"/>
        <d v="2024-01-27T00:00:00"/>
        <d v="2024-04-11T00:00:00"/>
        <d v="2025-07-14T00:00:00"/>
        <d v="2024-07-03T00:00:00"/>
        <d v="2023-11-14T00:00:00"/>
        <d v="2025-03-29T00:00:00"/>
        <d v="2025-05-28T00:00:00"/>
        <d v="2024-02-05T00:00:00"/>
        <d v="2025-04-13T00:00:00"/>
        <d v="2024-09-07T00:00:00"/>
        <d v="2024-01-30T00:00:00"/>
        <d v="2023-08-10T00:00:00"/>
        <d v="2025-08-26T00:00:00"/>
        <d v="2025-04-07T00:00:00"/>
        <d v="2023-11-09T00:00:00"/>
        <d v="2023-09-22T00:00:00"/>
        <d v="2024-03-16T00:00:00"/>
        <d v="2023-07-08T00:00:00"/>
        <d v="2024-04-05T00:00:00"/>
        <d v="2025-01-22T00:00:00"/>
        <d v="2023-10-31T00:00:00"/>
        <d v="2023-07-22T00:00:00"/>
        <d v="2025-07-08T00:00:00"/>
        <d v="2024-06-20T00:00:00"/>
        <d v="2025-04-12T00:00:00"/>
        <d v="2025-03-26T00:00:00"/>
        <d v="2025-02-04T00:00:00"/>
        <d v="2023-01-29T00:00:00"/>
        <d v="2023-06-22T00:00:00"/>
        <d v="2024-11-05T00:00:00"/>
        <d v="2024-06-24T00:00:00"/>
        <d v="2025-06-06T00:00:00"/>
        <d v="2023-11-30T00:00:00"/>
        <d v="2025-04-27T00:00:00"/>
        <d v="2023-04-15T00:00:00"/>
        <d v="2024-06-18T00:00:00"/>
        <d v="2023-02-27T00:00:00"/>
        <d v="2024-03-11T00:00:00"/>
        <d v="2023-05-29T00:00:00"/>
        <d v="2023-06-18T00:00:00"/>
        <d v="2025-05-17T00:00:00"/>
        <d v="2023-11-16T00:00:00"/>
        <d v="2025-09-26T00:00:00"/>
        <d v="2023-09-03T00:00:00"/>
        <d v="2023-12-06T00:00:00"/>
        <d v="2024-04-18T00:00:00"/>
        <d v="2023-08-19T00:00:00"/>
        <d v="2023-04-11T00:00:00"/>
        <d v="2024-11-04T00:00:00"/>
        <d v="2024-07-12T00:00:00"/>
        <d v="2023-12-18T00:00:00"/>
        <d v="2024-08-02T00:00:00"/>
        <d v="2023-05-16T00:00:00"/>
        <d v="2024-01-06T00:00:00"/>
        <d v="2023-03-08T00:00:00"/>
        <d v="2023-12-16T00:00:00"/>
        <d v="2024-08-20T00:00:00"/>
        <d v="2024-11-26T00:00:00"/>
        <d v="2024-04-21T00:00:00"/>
        <d v="2024-12-07T00:00:00"/>
        <d v="2024-02-03T00:00:00"/>
        <d v="2024-06-25T00:00:00"/>
        <d v="2023-06-28T00:00:00"/>
        <d v="2025-04-09T00:00:00"/>
        <d v="2024-06-15T00:00:00"/>
        <d v="2023-10-09T00:00:00"/>
        <d v="2024-01-03T00:00:00"/>
        <d v="2023-04-08T00:00:00"/>
        <d v="2025-04-10T00:00:00"/>
        <d v="2024-03-19T00:00:00"/>
        <d v="2025-07-11T00:00:00"/>
        <d v="2023-04-04T00:00:00"/>
        <d v="2025-01-20T00:00:00"/>
        <d v="2025-02-17T00:00:00"/>
        <d v="2025-09-06T00:00:00"/>
        <d v="2025-08-17T00:00:00"/>
        <d v="2024-08-07T00:00:00"/>
        <d v="2025-05-26T00:00:00"/>
        <d v="2024-05-12T00:00:00"/>
        <d v="2023-10-03T00:00:00"/>
        <d v="2023-11-05T00:00:00"/>
        <d v="2025-06-30T00:00:00"/>
        <d v="2023-10-26T00:00:00"/>
        <d v="2023-06-20T00:00:00"/>
        <d v="2025-06-08T00:00:00"/>
        <d v="2025-09-14T00:00:00"/>
        <d v="2025-09-23T00:00:00"/>
        <d v="2024-10-04T00:00:00"/>
        <d v="2024-08-15T00:00:00"/>
        <d v="2024-08-08T00:00:00"/>
        <d v="2025-02-03T00:00:00"/>
        <d v="2025-03-21T00:00:00"/>
        <d v="2025-03-15T00:00:00"/>
        <d v="2023-12-19T00:00:00"/>
        <d v="2024-09-05T00:00:00"/>
        <d v="2024-05-21T00:00:00"/>
        <d v="2023-04-06T00:00:00"/>
        <d v="2023-09-13T00:00:00"/>
        <d v="2024-12-10T00:00:00"/>
        <d v="2025-06-14T00:00:00"/>
        <d v="2025-04-08T00:00:00"/>
        <d v="2024-02-11T00:00:00"/>
        <d v="2025-03-17T00:00:00"/>
        <d v="2025-07-06T00:00:00"/>
        <d v="2025-09-25T00:00:00"/>
        <d v="2024-03-06T00:00:00"/>
        <d v="2025-09-05T00:00:00"/>
        <d v="2024-09-12T00:00:00"/>
        <d v="2024-03-09T00:00:00"/>
        <d v="2024-11-12T00:00:00"/>
        <d v="2023-10-21T00:00:00"/>
        <d v="2024-12-19T00:00:00"/>
        <d v="2023-10-20T00:00:00"/>
        <d v="2025-01-13T00:00:00"/>
        <d v="2023-04-19T00:00:00"/>
        <d v="2024-01-08T00:00:00"/>
        <d v="2023-06-03T00:00:00"/>
        <d v="2023-09-28T00:00:00"/>
        <d v="2024-10-03T00:00:00"/>
        <d v="2024-01-13T00:00:00"/>
        <d v="2025-04-29T00:00:00"/>
        <d v="2024-07-09T00:00:00"/>
        <d v="2024-05-16T00:00:00"/>
        <d v="2025-06-24T00:00:00"/>
        <d v="2023-06-21T00:00:00"/>
        <d v="2024-12-29T00:00:00"/>
        <d v="2023-12-12T00:00:00"/>
        <d v="2023-05-19T00:00:00"/>
        <d v="2023-12-10T00:00:00"/>
        <d v="2024-05-18T00:00:00"/>
        <d v="2023-07-19T00:00:00"/>
        <d v="2023-06-15T00:00:00"/>
        <d v="2024-04-03T00:00:00"/>
        <d v="2025-04-19T00:00:00"/>
        <d v="2025-08-15T00:00:00"/>
        <d v="2025-06-05T00:00:00"/>
        <d v="2023-05-22T00:00:00"/>
        <d v="2023-09-19T00:00:00"/>
        <d v="2024-02-28T00:00:00"/>
        <d v="2025-09-03T00:00:00"/>
        <d v="2023-05-25T00:00:00"/>
        <d v="2023-03-18T00:00:00"/>
        <d v="2024-01-15T00:00:00"/>
        <d v="2023-08-15T00:00:00"/>
        <d v="2024-12-08T00:00:00"/>
        <d v="2023-11-24T00:00:00"/>
        <d v="2024-11-28T00:00:00"/>
        <d v="2024-05-24T00:00:00"/>
        <d v="2024-02-29T00:00:00"/>
        <d v="2024-06-17T00:00:00"/>
        <d v="2023-07-04T00:00:00"/>
        <d v="2024-09-13T00:00:00"/>
        <d v="2023-10-28T00:00:00"/>
        <d v="2025-10-05T00:00:00"/>
        <d v="2025-03-25T00:00:00"/>
        <d v="2025-03-27T00:00:00"/>
        <d v="2024-10-28T00:00:00"/>
        <d v="2023-04-20T00:00:00"/>
        <d v="2024-11-21T00:00:00"/>
        <d v="2024-03-23T00:00:00"/>
        <d v="2023-06-08T00:00:00"/>
        <d v="2025-01-05T00:00:00"/>
        <d v="2025-08-28T00:00:00"/>
        <d v="2023-10-30T00:00:00"/>
        <d v="2025-05-30T00:00:00"/>
        <d v="2023-05-27T00:00:00"/>
        <d v="2024-05-10T00:00:00"/>
        <d v="2024-04-27T00:00:00"/>
        <d v="2023-01-26T00:00:00"/>
        <d v="2024-06-23T00:00:00"/>
        <d v="2023-09-20T00:00:00"/>
        <d v="2024-02-08T00:00:00"/>
        <d v="2025-05-12T00:00:00"/>
        <d v="2023-07-11T00:00:00"/>
        <d v="2024-08-26T00:00:00"/>
        <d v="2023-07-13T00:00:00"/>
        <d v="2023-02-15T00:00:00"/>
        <d v="2023-07-09T00:00:00"/>
        <d v="2024-06-09T00:00:00"/>
        <d v="2023-03-06T00:00:00"/>
        <d v="2024-08-03T00:00:00"/>
        <d v="2025-08-23T00:00:00"/>
        <d v="2024-09-26T00:00:00"/>
        <d v="2023-05-20T00:00:00"/>
        <d v="2024-03-29T00:00:00"/>
        <d v="2024-05-22T00:00:00"/>
        <d v="2024-01-12T00:00:00"/>
        <d v="2023-05-02T00:00:00"/>
        <d v="2024-02-04T00:00:00"/>
        <d v="2024-11-07T00:00:00"/>
        <d v="2024-02-20T00:00:00"/>
        <d v="2025-04-14T00:00:00"/>
        <d v="2023-06-01T00:00:00"/>
        <d v="2024-01-02T00:00:00"/>
        <d v="2023-04-26T00:00:00"/>
        <d v="2023-07-12T00:00:00"/>
        <d v="2025-08-03T00:00:00"/>
        <d v="2023-07-01T00:00:00"/>
        <d v="2023-02-06T00:00:00"/>
        <d v="2024-08-09T00:00:00"/>
        <d v="2024-06-21T00:00:00"/>
        <d v="2025-02-27T00:00:00"/>
        <d v="2025-09-22T00:00:00"/>
        <d v="2024-07-21T00:00:00"/>
        <d v="2024-03-22T00:00:00"/>
        <d v="2024-09-02T00:00:00"/>
        <d v="2025-05-18T00:00:00"/>
        <d v="2023-04-25T00:00:00"/>
        <d v="2025-06-21T00:00:00"/>
        <d v="2024-12-24T00:00:00"/>
        <d v="2023-04-23T00:00:00"/>
        <d v="2024-02-01T00:00:00"/>
        <d v="2024-06-30T00:00:00"/>
        <d v="2023-10-11T00:00:00"/>
        <d v="2025-01-16T00:00:00"/>
        <d v="2025-07-16T00:00:00"/>
        <d v="2024-10-24T00:00:00"/>
        <d v="2023-09-14T00:00:00"/>
        <d v="2025-05-03T00:00:00"/>
        <d v="2024-08-23T00:00:00"/>
        <d v="2025-07-31T00:00:00"/>
        <d v="2023-08-02T00:00:00"/>
        <d v="2024-01-16T00:00:00"/>
        <d v="2023-08-30T00:00:00"/>
        <d v="2023-07-18T00:00:00"/>
        <d v="2025-03-10T00:00:00"/>
      </sharedItems>
    </cacheField>
    <cacheField name="Corrected Required Date" numFmtId="181">
      <sharedItems containsSemiMixedTypes="0" containsString="0" containsNonDate="0" containsDate="1" minDate="2023-01-05T00:00:00" maxDate="2025-10-05T00:00:00" count="472">
        <d v="2024-04-06T00:00:00"/>
        <d v="2024-10-30T00:00:00"/>
        <d v="2023-03-25T00:00:00"/>
        <d v="2025-04-02T00:00:00"/>
        <d v="2023-12-31T00:00:00"/>
        <d v="2023-01-05T00:00:00"/>
        <d v="2025-01-14T00:00:00"/>
        <d v="2023-01-22T00:00:00"/>
        <d v="2024-05-29T00:00:00"/>
        <d v="2025-06-09T00:00:00"/>
        <d v="2024-02-09T00:00:00"/>
        <d v="2025-01-23T00:00:00"/>
        <d v="2025-03-31T00:00:00"/>
        <d v="2024-02-13T00:00:00"/>
        <d v="2025-09-30T00:00:00"/>
        <d v="2023-04-30T00:00:00"/>
        <d v="2025-01-08T00:00:00"/>
        <d v="2025-09-16T00:00:00"/>
        <d v="2025-08-05T00:00:00"/>
        <d v="2025-05-28T00:00:00"/>
        <d v="2024-08-01T00:00:00"/>
        <d v="2023-05-28T00:00:00"/>
        <d v="2025-06-29T00:00:00"/>
        <d v="2024-05-23T00:00:00"/>
        <d v="2023-02-12T00:00:00"/>
        <d v="2024-07-14T00:00:00"/>
        <d v="2024-12-30T00:00:00"/>
        <d v="2024-07-19T00:00:00"/>
        <d v="2023-05-14T00:00:00"/>
        <d v="2025-04-11T00:00:00"/>
        <d v="2025-01-15T00:00:00"/>
        <d v="2025-08-06T00:00:00"/>
        <d v="2024-05-08T00:00:00"/>
        <d v="2024-08-30T00:00:00"/>
        <d v="2023-04-22T00:00:00"/>
        <d v="2024-03-25T00:00:00"/>
        <d v="2025-07-10T00:00:00"/>
        <d v="2024-05-06T00:00:00"/>
        <d v="2023-06-24T00:00:00"/>
        <d v="2024-09-19T00:00:00"/>
        <d v="2024-02-02T00:00:00"/>
        <d v="2024-11-14T00:00:00"/>
        <d v="2025-06-20T00:00:00"/>
        <d v="2024-06-02T00:00:00"/>
        <d v="2023-07-03T00:00:00"/>
        <d v="2024-05-28T00:00:00"/>
        <d v="2024-11-08T00:00:00"/>
        <d v="2023-08-01T00:00:00"/>
        <d v="2024-11-22T00:00:00"/>
        <d v="2024-11-06T00:00:00"/>
        <d v="2023-04-05T00:00:00"/>
        <d v="2025-02-16T00:00:00"/>
        <d v="2023-09-01T00:00:00"/>
        <d v="2025-04-30T00:00:00"/>
        <d v="2025-03-01T00:00:00"/>
        <d v="2024-12-18T00:00:00"/>
        <d v="2025-06-18T00:00:00"/>
        <d v="2025-05-13T00:00:00"/>
        <d v="2024-04-09T00:00:00"/>
        <d v="2025-09-12T00:00:00"/>
        <d v="2025-05-25T00:00:00"/>
        <d v="2024-11-18T00:00:00"/>
        <d v="2023-02-26T00:00:00"/>
        <d v="2023-12-26T00:00:00"/>
        <d v="2023-04-09T00:00:00"/>
        <d v="2024-06-06T00:00:00"/>
        <d v="2023-09-07T00:00:00"/>
        <d v="2023-05-10T00:00:00"/>
        <d v="2024-03-21T00:00:00"/>
        <d v="2025-05-06T00:00:00"/>
        <d v="2024-05-07T00:00:00"/>
        <d v="2024-12-20T00:00:00"/>
        <d v="2023-05-27T00:00:00"/>
        <d v="2023-10-08T00:00:00"/>
        <d v="2024-09-25T00:00:00"/>
        <d v="2024-07-07T00:00:00"/>
        <d v="2023-06-16T00:00:00"/>
        <d v="2024-12-21T00:00:00"/>
        <d v="2023-02-11T00:00:00"/>
        <d v="2023-09-12T00:00:00"/>
        <d v="2025-05-24T00:00:00"/>
        <d v="2025-04-17T00:00:00"/>
        <d v="2023-12-23T00:00:00"/>
        <d v="2024-04-25T00:00:00"/>
        <d v="2025-08-19T00:00:00"/>
        <d v="2024-01-25T00:00:00"/>
        <d v="2023-07-02T00:00:00"/>
        <d v="2025-05-15T00:00:00"/>
        <d v="2025-06-25T00:00:00"/>
        <d v="2023-07-01T00:00:00"/>
        <d v="2024-11-02T00:00:00"/>
        <d v="2023-04-27T00:00:00"/>
        <d v="2025-08-16T00:00:00"/>
        <d v="2024-06-04T00:00:00"/>
        <d v="2025-08-18T00:00:00"/>
        <d v="2023-03-20T00:00:00"/>
        <d v="2025-02-15T00:00:00"/>
        <d v="2024-01-22T00:00:00"/>
        <d v="2025-04-04T00:00:00"/>
        <d v="2024-12-28T00:00:00"/>
        <d v="2024-10-05T00:00:00"/>
        <d v="2024-05-27T00:00:00"/>
        <d v="2023-06-07T00:00:00"/>
        <d v="2024-09-04T00:00:00"/>
        <d v="2024-06-08T00:00:00"/>
        <d v="2024-06-11T00:00:00"/>
        <d v="2024-07-26T00:00:00"/>
        <d v="2025-01-24T00:00:00"/>
        <d v="2023-12-05T00:00:00"/>
        <d v="2023-03-05T00:00:00"/>
        <d v="2025-06-10T00:00:00"/>
        <d v="2025-01-02T00:00:00"/>
        <d v="2023-06-19T00:00:00"/>
        <d v="2025-07-18T00:00:00"/>
        <d v="2025-07-12T00:00:00"/>
        <d v="2023-12-13T00:00:00"/>
        <d v="2024-01-20T00:00:00"/>
        <d v="2024-11-29T00:00:00"/>
        <d v="2023-09-04T00:00:00"/>
        <d v="2023-09-06T00:00:00"/>
        <d v="2024-06-26T00:00:00"/>
        <d v="2025-08-14T00:00:00"/>
        <d v="2024-06-13T00:00:00"/>
        <d v="2023-01-30T00:00:00"/>
        <d v="2025-02-28T00:00:00"/>
        <d v="2025-03-24T00:00:00"/>
        <d v="2023-01-31T00:00:00"/>
        <d v="2024-12-26T00:00:00"/>
        <d v="2023-04-17T00:00:00"/>
        <d v="2025-01-12T00:00:00"/>
        <d v="2023-04-12T00:00:00"/>
        <d v="2024-12-15T00:00:00"/>
        <d v="2024-02-14T00:00:00"/>
        <d v="2023-05-18T00:00:00"/>
        <d v="2025-01-11T00:00:00"/>
        <d v="2023-08-25T00:00:00"/>
        <d v="2024-07-06T00:00:00"/>
        <d v="2023-07-14T00:00:00"/>
        <d v="2023-12-07T00:00:00"/>
        <d v="2025-09-28T00:00:00"/>
        <d v="2024-04-24T00:00:00"/>
        <d v="2023-09-16T00:00:00"/>
        <d v="2024-10-18T00:00:00"/>
        <d v="2025-05-16T00:00:00"/>
        <d v="2023-07-23T00:00:00"/>
        <d v="2023-12-14T00:00:00"/>
        <d v="2024-03-04T00:00:00"/>
        <d v="2023-11-02T00:00:00"/>
        <d v="2024-08-17T00:00:00"/>
        <d v="2024-02-21T00:00:00"/>
        <d v="2024-09-18T00:00:00"/>
        <d v="2025-08-21T00:00:00"/>
        <d v="2023-03-04T00:00:00"/>
        <d v="2024-11-24T00:00:00"/>
        <d v="2024-04-07T00:00:00"/>
        <d v="2023-03-26T00:00:00"/>
        <d v="2024-06-16T00:00:00"/>
        <d v="2023-03-12T00:00:00"/>
        <d v="2024-06-14T00:00:00"/>
        <d v="2023-10-23T00:00:00"/>
        <d v="2024-07-15T00:00:00"/>
        <d v="2023-10-10T00:00:00"/>
        <d v="2023-03-09T00:00:00"/>
        <d v="2024-06-03T00:00:00"/>
        <d v="2025-05-04T00:00:00"/>
        <d v="2023-09-11T00:00:00"/>
        <d v="2023-04-16T00:00:00"/>
        <d v="2025-09-18T00:00:00"/>
        <d v="2024-10-11T00:00:00"/>
        <d v="2025-03-04T00:00:00"/>
        <d v="2023-08-23T00:00:00"/>
        <d v="2024-10-29T00:00:00"/>
        <d v="2023-07-21T00:00:00"/>
        <d v="2025-02-08T00:00:00"/>
        <d v="2023-02-28T00:00:00"/>
        <d v="2023-07-31T00:00:00"/>
        <d v="2024-02-19T00:00:00"/>
        <d v="2023-08-22T00:00:00"/>
        <d v="2024-09-03T00:00:00"/>
        <d v="2023-11-13T00:00:00"/>
        <d v="2023-05-26T00:00:00"/>
        <d v="2024-10-01T00:00:00"/>
        <d v="2024-03-03T00:00:00"/>
        <d v="2023-02-21T00:00:00"/>
        <d v="2023-05-13T00:00:00"/>
        <d v="2023-01-19T00:00:00"/>
        <d v="2024-01-29T00:00:00"/>
        <d v="2023-02-03T00:00:00"/>
        <d v="2025-02-25T00:00:00"/>
        <d v="2023-04-28T00:00:00"/>
        <d v="2025-02-14T00:00:00"/>
        <d v="2024-10-07T00:00:00"/>
        <d v="2025-08-07T00:00:00"/>
        <d v="2024-10-23T00:00:00"/>
        <d v="2025-08-04T00:00:00"/>
        <d v="2025-02-06T00:00:00"/>
        <d v="2023-11-28T00:00:00"/>
        <d v="2024-03-30T00:00:00"/>
        <d v="2024-01-14T00:00:00"/>
        <d v="2023-01-29T00:00:00"/>
        <d v="2024-11-09T00:00:00"/>
        <d v="2024-10-14T00:00:00"/>
        <d v="2025-09-24T00:00:00"/>
        <d v="2023-10-02T00:00:00"/>
        <d v="2023-09-10T00:00:00"/>
        <d v="2025-07-17T00:00:00"/>
        <d v="2023-05-07T00:00:00"/>
        <d v="2023-12-20T00:00:00"/>
        <d v="2023-08-07T00:00:00"/>
        <d v="2023-10-29T00:00:00"/>
        <d v="2025-08-30T00:00:00"/>
        <d v="2023-04-01T00:00:00"/>
        <d v="2023-06-10T00:00:00"/>
        <d v="2024-09-08T00:00:00"/>
        <d v="2023-03-30T00:00:00"/>
        <d v="2024-10-02T00:00:00"/>
        <d v="2025-07-23T00:00:00"/>
        <d v="2025-05-27T00:00:00"/>
        <d v="2025-08-08T00:00:00"/>
        <d v="2024-12-12T00:00:00"/>
        <d v="2024-03-26T00:00:00"/>
        <d v="2025-05-02T00:00:00"/>
        <d v="2023-03-24T00:00:00"/>
        <d v="2024-07-31T00:00:00"/>
        <d v="2024-11-20T00:00:00"/>
        <d v="2024-05-19T00:00:00"/>
        <d v="2023-10-06T00:00:00"/>
        <d v="2025-07-05T00:00:00"/>
        <d v="2023-10-13T00:00:00"/>
        <d v="2023-08-24T00:00:00"/>
        <d v="2025-06-27T00:00:00"/>
        <d v="2025-04-26T00:00:00"/>
        <d v="2025-09-11T00:00:00"/>
        <d v="2024-10-08T00:00:00"/>
        <d v="2024-01-01T00:00:00"/>
        <d v="2024-01-23T00:00:00"/>
        <d v="2023-08-14T00:00:00"/>
        <d v="2025-03-09T00:00:00"/>
        <d v="2024-04-17T00:00:00"/>
        <d v="2023-08-13T00:00:00"/>
        <d v="2024-04-13T00:00:00"/>
        <d v="2024-01-27T00:00:00"/>
        <d v="2024-04-11T00:00:00"/>
        <d v="2025-07-14T00:00:00"/>
        <d v="2024-07-03T00:00:00"/>
        <d v="2023-11-14T00:00:00"/>
        <d v="2023-06-23T00:00:00"/>
        <d v="2025-03-29T00:00:00"/>
        <d v="2024-02-05T00:00:00"/>
        <d v="2025-04-13T00:00:00"/>
        <d v="2024-09-07T00:00:00"/>
        <d v="2024-01-30T00:00:00"/>
        <d v="2023-08-10T00:00:00"/>
        <d v="2025-09-04T00:00:00"/>
        <d v="2025-04-07T00:00:00"/>
        <d v="2023-11-09T00:00:00"/>
        <d v="2023-09-22T00:00:00"/>
        <d v="2024-03-16T00:00:00"/>
        <d v="2023-07-08T00:00:00"/>
        <d v="2024-04-05T00:00:00"/>
        <d v="2025-01-22T00:00:00"/>
        <d v="2023-10-31T00:00:00"/>
        <d v="2023-07-22T00:00:00"/>
        <d v="2025-07-08T00:00:00"/>
        <d v="2024-06-20T00:00:00"/>
        <d v="2025-04-12T00:00:00"/>
        <d v="2025-03-26T00:00:00"/>
        <d v="2025-02-04T00:00:00"/>
        <d v="2024-11-05T00:00:00"/>
        <d v="2024-06-24T00:00:00"/>
        <d v="2025-06-06T00:00:00"/>
        <d v="2023-11-30T00:00:00"/>
        <d v="2025-04-27T00:00:00"/>
        <d v="2023-04-15T00:00:00"/>
        <d v="2024-06-18T00:00:00"/>
        <d v="2024-01-09T00:00:00"/>
        <d v="2023-03-07T00:00:00"/>
        <d v="2024-03-11T00:00:00"/>
        <d v="2023-05-29T00:00:00"/>
        <d v="2023-06-18T00:00:00"/>
        <d v="2025-05-26T00:00:00"/>
        <d v="2023-11-16T00:00:00"/>
        <d v="2025-09-26T00:00:00"/>
        <d v="2023-09-03T00:00:00"/>
        <d v="2023-12-06T00:00:00"/>
        <d v="2024-04-18T00:00:00"/>
        <d v="2023-08-19T00:00:00"/>
        <d v="2023-04-20T00:00:00"/>
        <d v="2024-11-04T00:00:00"/>
        <d v="2024-07-20T00:00:00"/>
        <d v="2023-12-18T00:00:00"/>
        <d v="2024-08-02T00:00:00"/>
        <d v="2023-05-16T00:00:00"/>
        <d v="2024-01-06T00:00:00"/>
        <d v="2023-03-08T00:00:00"/>
        <d v="2023-12-16T00:00:00"/>
        <d v="2024-08-20T00:00:00"/>
        <d v="2024-11-26T00:00:00"/>
        <d v="2024-04-21T00:00:00"/>
        <d v="2024-12-07T00:00:00"/>
        <d v="2024-02-03T00:00:00"/>
        <d v="2024-06-25T00:00:00"/>
        <d v="2023-06-28T00:00:00"/>
        <d v="2025-04-09T00:00:00"/>
        <d v="2024-06-15T00:00:00"/>
        <d v="2023-10-09T00:00:00"/>
        <d v="2024-01-03T00:00:00"/>
        <d v="2023-04-08T00:00:00"/>
        <d v="2025-04-10T00:00:00"/>
        <d v="2024-03-19T00:00:00"/>
        <d v="2025-07-11T00:00:00"/>
        <d v="2023-04-04T00:00:00"/>
        <d v="2025-01-20T00:00:00"/>
        <d v="2025-02-17T00:00:00"/>
        <d v="2025-09-06T00:00:00"/>
        <d v="2025-08-17T00:00:00"/>
        <d v="2024-08-07T00:00:00"/>
        <d v="2024-05-12T00:00:00"/>
        <d v="2023-10-03T00:00:00"/>
        <d v="2023-11-05T00:00:00"/>
        <d v="2025-06-30T00:00:00"/>
        <d v="2023-10-26T00:00:00"/>
        <d v="2023-06-20T00:00:00"/>
        <d v="2025-06-08T00:00:00"/>
        <d v="2025-09-14T00:00:00"/>
        <d v="2025-09-23T00:00:00"/>
        <d v="2024-10-04T00:00:00"/>
        <d v="2024-08-15T00:00:00"/>
        <d v="2024-08-08T00:00:00"/>
        <d v="2025-02-03T00:00:00"/>
        <d v="2025-03-21T00:00:00"/>
        <d v="2025-03-15T00:00:00"/>
        <d v="2023-12-19T00:00:00"/>
        <d v="2024-09-05T00:00:00"/>
        <d v="2024-05-21T00:00:00"/>
        <d v="2023-04-06T00:00:00"/>
        <d v="2023-09-13T00:00:00"/>
        <d v="2024-12-10T00:00:00"/>
        <d v="2025-06-14T00:00:00"/>
        <d v="2025-04-08T00:00:00"/>
        <d v="2024-02-11T00:00:00"/>
        <d v="2025-03-17T00:00:00"/>
        <d v="2025-07-06T00:00:00"/>
        <d v="2025-09-25T00:00:00"/>
        <d v="2024-03-06T00:00:00"/>
        <d v="2025-09-05T00:00:00"/>
        <d v="2024-09-12T00:00:00"/>
        <d v="2024-03-09T00:00:00"/>
        <d v="2024-11-12T00:00:00"/>
        <d v="2023-10-21T00:00:00"/>
        <d v="2024-12-19T00:00:00"/>
        <d v="2023-10-20T00:00:00"/>
        <d v="2025-01-13T00:00:00"/>
        <d v="2024-01-08T00:00:00"/>
        <d v="2023-06-03T00:00:00"/>
        <d v="2023-09-28T00:00:00"/>
        <d v="2024-10-03T00:00:00"/>
        <d v="2024-01-13T00:00:00"/>
        <d v="2025-04-29T00:00:00"/>
        <d v="2024-07-09T00:00:00"/>
        <d v="2023-07-29T00:00:00"/>
        <d v="2024-05-16T00:00:00"/>
        <d v="2025-06-24T00:00:00"/>
        <d v="2023-06-21T00:00:00"/>
        <d v="2024-12-29T00:00:00"/>
        <d v="2023-12-12T00:00:00"/>
        <d v="2023-05-19T00:00:00"/>
        <d v="2023-12-10T00:00:00"/>
        <d v="2024-05-18T00:00:00"/>
        <d v="2023-07-19T00:00:00"/>
        <d v="2023-06-15T00:00:00"/>
        <d v="2024-04-03T00:00:00"/>
        <d v="2025-04-19T00:00:00"/>
        <d v="2025-08-15T00:00:00"/>
        <d v="2024-06-28T00:00:00"/>
        <d v="2025-06-05T00:00:00"/>
        <d v="2023-05-22T00:00:00"/>
        <d v="2023-09-19T00:00:00"/>
        <d v="2024-02-28T00:00:00"/>
        <d v="2025-09-03T00:00:00"/>
        <d v="2023-05-25T00:00:00"/>
        <d v="2023-03-18T00:00:00"/>
        <d v="2023-04-19T00:00:00"/>
        <d v="2024-01-15T00:00:00"/>
        <d v="2025-05-19T00:00:00"/>
        <d v="2023-08-15T00:00:00"/>
        <d v="2024-12-08T00:00:00"/>
        <d v="2023-11-24T00:00:00"/>
        <d v="2024-11-28T00:00:00"/>
        <d v="2024-05-24T00:00:00"/>
        <d v="2024-03-08T00:00:00"/>
        <d v="2024-06-17T00:00:00"/>
        <d v="2023-07-04T00:00:00"/>
        <d v="2024-09-13T00:00:00"/>
        <d v="2023-10-28T00:00:00"/>
        <d v="2025-10-05T00:00:00"/>
        <d v="2024-05-03T00:00:00"/>
        <d v="2025-03-25T00:00:00"/>
        <d v="2025-03-27T00:00:00"/>
        <d v="2025-05-17T00:00:00"/>
        <d v="2024-10-28T00:00:00"/>
        <d v="2024-11-21T00:00:00"/>
        <d v="2024-03-23T00:00:00"/>
        <d v="2023-06-08T00:00:00"/>
        <d v="2025-01-05T00:00:00"/>
        <d v="2025-08-28T00:00:00"/>
        <d v="2023-10-30T00:00:00"/>
        <d v="2025-05-30T00:00:00"/>
        <d v="2024-05-26T00:00:00"/>
        <d v="2024-07-12T00:00:00"/>
        <d v="2024-05-10T00:00:00"/>
        <d v="2024-04-27T00:00:00"/>
        <d v="2023-01-26T00:00:00"/>
        <d v="2024-06-23T00:00:00"/>
        <d v="2023-09-20T00:00:00"/>
        <d v="2024-02-08T00:00:00"/>
        <d v="2025-05-12T00:00:00"/>
        <d v="2023-07-11T00:00:00"/>
        <d v="2024-08-26T00:00:00"/>
        <d v="2023-07-13T00:00:00"/>
        <d v="2023-02-15T00:00:00"/>
        <d v="2023-07-09T00:00:00"/>
        <d v="2024-06-09T00:00:00"/>
        <d v="2025-08-26T00:00:00"/>
        <d v="2023-03-06T00:00:00"/>
        <d v="2024-08-03T00:00:00"/>
        <d v="2025-08-23T00:00:00"/>
        <d v="2024-09-26T00:00:00"/>
        <d v="2023-05-20T00:00:00"/>
        <d v="2025-05-21T00:00:00"/>
        <d v="2024-03-29T00:00:00"/>
        <d v="2024-05-22T00:00:00"/>
        <d v="2024-01-12T00:00:00"/>
        <d v="2023-05-02T00:00:00"/>
        <d v="2024-02-04T00:00:00"/>
        <d v="2024-11-07T00:00:00"/>
        <d v="2024-02-20T00:00:00"/>
        <d v="2025-04-14T00:00:00"/>
        <d v="2023-06-01T00:00:00"/>
        <d v="2024-01-02T00:00:00"/>
        <d v="2023-04-26T00:00:00"/>
        <d v="2023-07-12T00:00:00"/>
        <d v="2025-08-03T00:00:00"/>
        <d v="2023-02-06T00:00:00"/>
        <d v="2024-08-09T00:00:00"/>
        <d v="2024-06-21T00:00:00"/>
        <d v="2025-02-27T00:00:00"/>
        <d v="2025-09-22T00:00:00"/>
        <d v="2024-07-21T00:00:00"/>
        <d v="2025-02-24T00:00:00"/>
        <d v="2024-08-24T00:00:00"/>
        <d v="2024-03-22T00:00:00"/>
        <d v="2024-09-02T00:00:00"/>
        <d v="2025-05-18T00:00:00"/>
        <d v="2023-04-25T00:00:00"/>
        <d v="2025-06-21T00:00:00"/>
        <d v="2024-12-24T00:00:00"/>
        <d v="2023-04-23T00:00:00"/>
        <d v="2024-02-01T00:00:00"/>
        <d v="2024-06-30T00:00:00"/>
        <d v="2023-10-11T00:00:00"/>
        <d v="2025-01-16T00:00:00"/>
        <d v="2025-07-16T00:00:00"/>
        <d v="2024-10-24T00:00:00"/>
        <d v="2023-09-14T00:00:00"/>
        <d v="2025-05-03T00:00:00"/>
        <d v="2024-08-23T00:00:00"/>
        <d v="2025-07-31T00:00:00"/>
        <d v="2024-01-16T00:00:00"/>
        <d v="2023-08-30T00:00:00"/>
        <d v="2023-07-18T00:00:00"/>
        <d v="2025-03-10T00:00:00"/>
      </sharedItems>
    </cacheField>
    <cacheField name="LeadTime Days" numFmtId="1">
      <sharedItems containsSemiMixedTypes="0" containsString="0" containsNumber="1" containsInteger="1" minValue="0" maxValue="30" count="31">
        <n v="26"/>
        <n v="7"/>
        <n v="25"/>
        <n v="4"/>
        <n v="3"/>
        <n v="18"/>
        <n v="19"/>
        <n v="12"/>
        <n v="20"/>
        <n v="24"/>
        <n v="29"/>
        <n v="8"/>
        <n v="16"/>
        <n v="17"/>
        <n v="15"/>
        <n v="5"/>
        <n v="14"/>
        <n v="30"/>
        <n v="0"/>
        <n v="13"/>
        <n v="23"/>
        <n v="22"/>
        <n v="11"/>
        <n v="10"/>
        <n v="2"/>
        <n v="1"/>
        <n v="9"/>
        <n v="28"/>
        <n v="21"/>
        <n v="27"/>
        <n v="6"/>
      </sharedItems>
    </cacheField>
    <cacheField name="On-Time" numFmtId="0">
      <sharedItems containsNumber="1" containsInteger="1" containsMixedTypes="1" count="3">
        <s v="Delayed "/>
        <s v="Ontime"/>
        <n v="1" u="1"/>
      </sharedItems>
    </cacheField>
    <cacheField name="Region" numFmtId="0">
      <sharedItems count="4">
        <s v="Africa"/>
        <s v="Asia"/>
        <s v="Americas"/>
        <s v="Europe"/>
      </sharedItems>
    </cacheField>
    <cacheField name="Country" numFmtId="0">
      <sharedItems count="12">
        <s v="Kenya"/>
        <s v="Nigeria"/>
        <s v="Japan"/>
        <s v="Canada"/>
        <s v="India"/>
        <s v="Brazil"/>
        <s v="Germany"/>
        <s v="France"/>
        <s v="United Kingdom"/>
        <s v="China"/>
        <s v="USA"/>
        <s v="South Africa"/>
      </sharedItems>
    </cacheField>
    <cacheField name="City" numFmtId="0">
      <sharedItems count="40">
        <s v="Kisumu"/>
        <s v="Port Harcourt"/>
        <s v="Nairobi"/>
        <s v="Lagos"/>
        <s v="Osaka"/>
        <s v="Toronto"/>
        <s v="Bengaluru"/>
        <s v="Abuja"/>
        <s v="São Paulo"/>
        <s v="Berlin"/>
        <s v="Brasília"/>
        <s v="Marseille"/>
        <s v="Birmingham"/>
        <s v="Mombasa"/>
        <s v="Shenzhen"/>
        <s v="Chicago"/>
        <s v="Nakuru"/>
        <s v="Lyon"/>
        <s v="Delhi"/>
        <s v="Montreal"/>
        <s v="Johannesburg"/>
        <s v="London"/>
        <s v="Munich"/>
        <s v="Shanghai"/>
        <s v="San Francisco"/>
        <s v="Durban"/>
        <s v="Vancouver"/>
        <s v="Tokyo"/>
        <s v="Paris"/>
        <s v="Mumbai"/>
        <s v="Rio de Janeiro"/>
        <s v="Manchester"/>
        <s v="Nagoya"/>
        <s v="Cape Town"/>
        <s v="Hyderabad"/>
        <s v="Unknown city"/>
        <s v="Austin"/>
        <s v="Frankfurt"/>
        <s v="Beijing"/>
        <s v="New York"/>
      </sharedItems>
    </cacheField>
    <cacheField name="CustomerSegment" numFmtId="0">
      <sharedItems count="6">
        <s v="Corporate"/>
        <s v="Education"/>
        <s v="Non-Profit"/>
        <s v="Consumer"/>
        <s v="Small Business"/>
        <s v="Enterprise"/>
      </sharedItems>
    </cacheField>
    <cacheField name="Channel" numFmtId="0">
      <sharedItems count="6">
        <s v="Retail"/>
        <s v="Online"/>
        <s v="Marketplace"/>
        <s v="Distributor"/>
        <s v="Direct"/>
        <s v="Not provided"/>
      </sharedItems>
    </cacheField>
    <cacheField name="Salesperson" numFmtId="0">
      <sharedItems count="16">
        <s v="C. Otieno"/>
        <s v="J. Njeri"/>
        <s v="I. Johnson"/>
        <s v="G. Dubois"/>
        <s v="L. Okafor"/>
        <s v="B. Chen"/>
        <s v="E. Garcia"/>
        <s v="O. Wang"/>
        <s v="A. Patel"/>
        <s v="F. Müller"/>
        <s v="H. Kim"/>
        <s v="K. Singh"/>
        <s v="M. Rossi"/>
        <s v="N. Brown"/>
        <s v="D. Smith"/>
        <s v="Unknown"/>
      </sharedItems>
    </cacheField>
    <cacheField name="ProductCategory" numFmtId="0">
      <sharedItems count="7">
        <s v="Components"/>
        <s v="Printers"/>
        <s v="Networking"/>
        <s v="Phones"/>
        <s v="Laptops"/>
        <s v="Monitors"/>
        <s v="Accessories"/>
      </sharedItems>
    </cacheField>
    <cacheField name="SKU" numFmtId="0">
      <sharedItems count="630">
        <s v="CMP-8270"/>
        <s v="PRN-9322"/>
        <s v="NET-9666"/>
        <s v="PHN-4556"/>
        <s v="PRN-8041"/>
        <s v="LAP-8555"/>
        <s v="MON-8629"/>
        <s v="PRN-6276"/>
        <s v="MON-6892"/>
        <s v="CMP-3731"/>
        <s v="ACC-7938"/>
        <s v="PHN-7019"/>
        <s v="CMP-3693"/>
        <s v="PRN-8392"/>
        <s v="ACC-1663"/>
        <s v="LAP-1698"/>
        <s v="PRN-6791"/>
        <s v="PHN-1197"/>
        <s v="ACC-8098"/>
        <s v="LAP-3385"/>
        <s v="LAP-9815"/>
        <s v="NET-3255"/>
        <s v="ACC-3961"/>
        <s v="LAP-4987"/>
        <s v="CMP-2693"/>
        <s v="ACC-8683"/>
        <s v="PRN-4170"/>
        <s v="PHN-6854"/>
        <s v="PHN-1784"/>
        <s v="NET-9716"/>
        <s v="CMP-6919"/>
        <s v="PHN-4854"/>
        <s v="NET-7966"/>
        <s v="LAP-9932"/>
        <s v="CMP-1559"/>
        <s v="PRN-4506"/>
        <s v="CMP-7617"/>
        <s v="CMP-8390"/>
        <s v="PRN-7303"/>
        <s v="PRN-6536"/>
        <s v="MON-9967"/>
        <s v="NET-1412"/>
        <s v="PRN-3143"/>
        <s v="PRN-9787"/>
        <s v="CMP-5946"/>
        <s v="NET-2062"/>
        <s v="PRN-2542"/>
        <s v="NET-2365"/>
        <s v="NET-5268"/>
        <s v="PRN-1504"/>
        <s v="ACC-6348"/>
        <s v="MON-4330"/>
        <s v="LAP-7819"/>
        <s v="LAP-3779"/>
        <s v="NET-9989"/>
        <s v="MON-4925"/>
        <s v="LAP-6989"/>
        <s v="ACC-5780"/>
        <s v="ACC-1770"/>
        <s v="ACC-2252"/>
        <s v="CMP-8002"/>
        <s v="CMP-6971"/>
        <s v="PHN-8350"/>
        <s v="MON-5188"/>
        <s v="LAP-3393"/>
        <s v="PHN-4644"/>
        <s v="ACC-9150"/>
        <s v="MON-6870"/>
        <s v="MON-2296"/>
        <s v="CMP-7371"/>
        <s v="ACC-2761"/>
        <s v="LAP-4517"/>
        <s v="LAP-8489"/>
        <s v="NET-1846"/>
        <s v="CMP-5208"/>
        <s v="CMP-1009"/>
        <s v="ACC-4490"/>
        <s v="ACC-9162"/>
        <s v="CMP-5820"/>
        <s v="MON-7943"/>
        <s v="NET-5018"/>
        <s v="PRN-9669"/>
        <s v="CMP-2865"/>
        <s v="MON-3371"/>
        <s v="NET-7166"/>
        <s v="CMP-4531"/>
        <s v="CMP-8196"/>
        <s v="CMP-2854"/>
        <s v="MON-8973"/>
        <s v="MON-2990"/>
        <s v="NET-1966"/>
        <s v="PHN-3482"/>
        <s v="PRN-6490"/>
        <s v="ACC-9038"/>
        <s v="PHN-6954"/>
        <s v="PRN-8970"/>
        <s v="MON-1822"/>
        <s v="ACC-5177"/>
        <s v="NET-1804"/>
        <s v="LAP-3679"/>
        <s v="PHN-8368"/>
        <s v="CMP-8141"/>
        <s v="LAP-7136"/>
        <s v="ACC-2386"/>
        <s v="LAP-5150"/>
        <s v="CMP-8101"/>
        <s v="PHN-8970"/>
        <s v="PHN-2341"/>
        <s v="NET-6387"/>
        <s v="ACC-9820"/>
        <s v="CMP-6392"/>
        <s v="LAP-9230"/>
        <s v="NET-4241"/>
        <s v="ACC-4511"/>
        <s v="NET-3033"/>
        <s v="MON-2828"/>
        <s v="PRN-6429"/>
        <s v="LAP-8214"/>
        <s v="MON-9194"/>
        <s v="LAP-2218"/>
        <s v="NET-6370"/>
        <s v="MON-3745"/>
        <s v="PHN-7924"/>
        <s v="NET-8561"/>
        <s v="CMP-2136"/>
        <s v="CMP-6352"/>
        <s v="CMP-2040"/>
        <s v="CMP-6346"/>
        <s v="PHN-4356"/>
        <s v="NET-4155"/>
        <s v="MON-5179"/>
        <s v="ACC-4056"/>
        <s v="LAP-9782"/>
        <s v="PHN-2875"/>
        <s v="PRN-4788"/>
        <s v="MON-3043"/>
        <s v="CMP-3720"/>
        <s v="PHN-8014"/>
        <s v="PRN-4911"/>
        <s v="ACC-1021"/>
        <s v="MON-2266"/>
        <s v="PHN-8057"/>
        <s v="ACC-7078"/>
        <s v="PRN-4453"/>
        <s v="NET-2394"/>
        <s v="LAP-1525"/>
        <s v="LAP-3278"/>
        <s v="ACC-6543"/>
        <s v="PRN-4432"/>
        <s v="PHN-4568"/>
        <s v="PRN-6178"/>
        <s v="LAP-6342"/>
        <s v="PRN-8175"/>
        <s v="PRN-7089"/>
        <s v="ACC-4124"/>
        <s v="NET-7924"/>
        <s v="NET-8761"/>
        <s v="CMP-3875"/>
        <s v="ACC-3989"/>
        <s v="PHN-9234"/>
        <s v="MON-9906"/>
        <s v="CMP-4610"/>
        <s v="PHN-5445"/>
        <s v="MON-9227"/>
        <s v="PRN-4097"/>
        <s v="MON-6699"/>
        <s v="LAP-1482"/>
        <s v="MON-2100"/>
        <s v="MON-7602"/>
        <s v="CMP-1072"/>
        <s v="ACC-2735"/>
        <s v="CMP-5211"/>
        <s v="CMP-1632"/>
        <s v="LAP-7099"/>
        <s v="PRN-3785"/>
        <s v="MON-6962"/>
        <s v="PRN-5107"/>
        <s v="CMP-9264"/>
        <s v="MON-5259"/>
        <s v="PRN-8137"/>
        <s v="ACC-6777"/>
        <s v="PHN-7488"/>
        <s v="ACC-9591"/>
        <s v="MON-5517"/>
        <s v="MON-8758"/>
        <s v="ACC-3385"/>
        <s v="MON-1593"/>
        <s v="ACC-4631"/>
        <s v="MON-7869"/>
        <s v="MON-4271"/>
        <s v="LAP-5531"/>
        <s v="MON-7511"/>
        <s v="LAP-7979"/>
        <s v="PRN-4983"/>
        <s v="NET-5941"/>
        <s v="MON-6341"/>
        <s v="PHN-9789"/>
        <s v="PHN-5082"/>
        <s v="NET-3460"/>
        <s v="PRN-7019"/>
        <s v="PHN-3159"/>
        <s v="PRN-8604"/>
        <s v="PHN-2013"/>
        <s v="NET-6036"/>
        <s v="MON-4959"/>
        <s v="MON-1663"/>
        <s v="CMP-7256"/>
        <s v="ACC-1659"/>
        <s v="PRN-6068"/>
        <s v="ACC-8999"/>
        <s v="CMP-3978"/>
        <s v="MON-7868"/>
        <s v="PRN-3014"/>
        <s v="PHN-1671"/>
        <s v="ACC-5260"/>
        <s v="NET-7588"/>
        <s v="MON-1572"/>
        <s v="MON-2537"/>
        <s v="PRN-5666"/>
        <s v="PRN-2749"/>
        <s v="CMP-4970"/>
        <s v="ACC-3551"/>
        <s v="CMP-7063"/>
        <s v="NET-1612"/>
        <s v="LAP-9766"/>
        <s v="PHN-7274"/>
        <s v="NET-1645"/>
        <s v="ACC-5079"/>
        <s v="PRN-2098"/>
        <s v="PRN-7049"/>
        <s v="CMP-6925"/>
        <s v="PHN-2787"/>
        <s v="PRN-1141"/>
        <s v="MON-5249"/>
        <s v="CMP-8230"/>
        <s v="PRN-7816"/>
        <s v="PHN-8804"/>
        <s v="CMP-8851"/>
        <s v="PHN-2447"/>
        <s v="LAP-2846"/>
        <s v="PRN-5005"/>
        <s v="PHN-3800"/>
        <s v="LAP-4828"/>
        <s v="PRN-5492"/>
        <s v="PHN-7132"/>
        <s v="PHN-4741"/>
        <s v="LAP-2774"/>
        <s v="MON-2842"/>
        <s v="NET-2628"/>
        <s v="MON-2998"/>
        <s v="CMP-7563"/>
        <s v="LAP-6160"/>
        <s v="MON-4361"/>
        <s v="PRN-2829"/>
        <s v="MON-8939"/>
        <s v="LAP-5009"/>
        <s v="CMP-4807"/>
        <s v="NET-2439"/>
        <s v="MON-7626"/>
        <s v="ACC-3567"/>
        <s v="CMP-4630"/>
        <s v="ACC-1882"/>
        <s v="NET-9125"/>
        <s v="PHN-3819"/>
        <s v="LAP-3490"/>
        <s v="PRN-1276"/>
        <s v="MON-9733"/>
        <s v="CMP-9392"/>
        <s v="PHN-3014"/>
        <s v="PRN-6776"/>
        <s v="ACC-3951"/>
        <s v="MON-1436"/>
        <s v="MON-8651"/>
        <s v="MON-3307"/>
        <s v="PRN-8758"/>
        <s v="LAP-7056"/>
        <s v="NET-5523"/>
        <s v="ACC-8094"/>
        <s v="PHN-6832"/>
        <s v="LAP-2378"/>
        <s v="MON-5424"/>
        <s v="NET-8430"/>
        <s v="PHN-1234"/>
        <s v="LAP-9016"/>
        <s v="LAP-9931"/>
        <s v="PHN-6818"/>
        <s v="PHN-3803"/>
        <s v="NET-9835"/>
        <s v="ACC-6223"/>
        <s v="CMP-8659"/>
        <s v="ACC-4483"/>
        <s v="PRN-8763"/>
        <s v="ACC-8557"/>
        <s v="ACC-1492"/>
        <s v="CMP-3743"/>
        <s v="LAP-1619"/>
        <s v="PRN-7976"/>
        <s v="MON-4326"/>
        <s v="MON-5444"/>
        <s v="ACC-5422"/>
        <s v="CMP-9307"/>
        <s v="PRN-6520"/>
        <s v="NET-1699"/>
        <s v="PHN-5316"/>
        <s v="LAP-4607"/>
        <s v="MON-5276"/>
        <s v="ACC-9533"/>
        <s v="NET-3749"/>
        <s v="PRN-2991"/>
        <s v="LAP-4551"/>
        <s v="MON-6310"/>
        <s v="NET-1166"/>
        <s v="ACC-2903"/>
        <s v="PRN-2293"/>
        <s v="MON-1389"/>
        <s v="CMP-4093"/>
        <s v="PHN-6131"/>
        <s v="NET-4104"/>
        <s v="MON-9319"/>
        <s v="ACC-2988"/>
        <s v="PHN-9399"/>
        <s v="NET-4554"/>
        <s v="NET-5195"/>
        <s v="CMP-9801"/>
        <s v="CMP-3093"/>
        <s v="ACC-2364"/>
        <s v="CMP-5138"/>
        <s v="PHN-2337"/>
        <s v="MON-2993"/>
        <s v="LAP-9024"/>
        <s v="PHN-6307"/>
        <s v="NET-9003"/>
        <s v="ACC-3068"/>
        <s v="ACC-1060"/>
        <s v="PHN-3854"/>
        <s v="PRN-1086"/>
        <s v="PHN-7815"/>
        <s v="PRN-5384"/>
        <s v="ACC-8178"/>
        <s v="MON-1018"/>
        <s v="ACC-1238"/>
        <s v="NET-1816"/>
        <s v="PRN-4893"/>
        <s v="PHN-1717"/>
        <s v="NET-9575"/>
        <s v="LAP-3604"/>
        <s v="ACC-6626"/>
        <s v="PHN-1670"/>
        <s v="CMP-4792"/>
        <s v="LAP-1990"/>
        <s v="PRN-7410"/>
        <s v="MON-4278"/>
        <s v="ACC-5334"/>
        <s v="NET-8957"/>
        <s v="PRN-9960"/>
        <s v="ACC-3103"/>
        <s v="PRN-9490"/>
        <s v="NET-3850"/>
        <s v="ACC-7047"/>
        <s v="PRN-6660"/>
        <s v="ACC-7838"/>
        <s v="PHN-5383"/>
        <s v="LAP-3904"/>
        <s v="MON-5749"/>
        <s v="PRN-3690"/>
        <s v="CMP-7055"/>
        <s v="PHN-6866"/>
        <s v="CMP-3259"/>
        <s v="LAP-6750"/>
        <s v="PRN-3775"/>
        <s v="LAP-2942"/>
        <s v="PHN-2036"/>
        <s v="MON-4373"/>
        <s v="PRN-8657"/>
        <s v="PHN-7974"/>
        <s v="PHN-4915"/>
        <s v="NET-3535"/>
        <s v="CMP-2574"/>
        <s v="NET-7901"/>
        <s v="NET-5482"/>
        <s v="NET-1336"/>
        <s v="PRN-5876"/>
        <s v="NET-3828"/>
        <s v="MON-7622"/>
        <s v="LAP-2806"/>
        <s v="PRN-8850"/>
        <s v="LAP-9100"/>
        <s v="LAP-5763"/>
        <s v="LAP-7320"/>
        <s v="MON-5891"/>
        <s v="PRN-1183"/>
        <s v="CMP-2096"/>
        <s v="PHN-3398"/>
        <s v="CMP-8545"/>
        <s v="ACC-1249"/>
        <s v="MON-9662"/>
        <s v="LAP-8347"/>
        <s v="CMP-6898"/>
        <s v="MON-3504"/>
        <s v="NET-3432"/>
        <s v="PRN-5591"/>
        <s v="CMP-2015"/>
        <s v="LAP-9901"/>
        <s v="CMP-8658"/>
        <s v="MON-2073"/>
        <s v="PRN-9378"/>
        <s v="PHN-5887"/>
        <s v="LAP-8119"/>
        <s v="ACC-9644"/>
        <s v="LAP-7009"/>
        <s v="PRN-1725"/>
        <s v="PHN-8483"/>
        <s v="PHN-3971"/>
        <s v="NET-6578"/>
        <s v="PRN-9975"/>
        <s v="ACC-1075"/>
        <s v="ACC-2902"/>
        <s v="PRN-5815"/>
        <s v="MON-4195"/>
        <s v="PHN-8478"/>
        <s v="PHN-1044"/>
        <s v="LAP-8910"/>
        <s v="PHN-2859"/>
        <s v="PRN-6308"/>
        <s v="LAP-8469"/>
        <s v="LAP-7553"/>
        <s v="PHN-3077"/>
        <s v="MON-3350"/>
        <s v="PHN-5683"/>
        <s v="PRN-2409"/>
        <s v="LAP-8825"/>
        <s v="MON-8697"/>
        <s v="MON-4789"/>
        <s v="NET-7998"/>
        <s v="PHN-8891"/>
        <s v="NET-9832"/>
        <s v="CMP-8604"/>
        <s v="ACC-6594"/>
        <s v="NET-2499"/>
        <s v="PRN-1923"/>
        <s v="PHN-4346"/>
        <s v="ACC-1375"/>
        <s v="PRN-4892"/>
        <s v="PRN-9557"/>
        <s v="PRN-8008"/>
        <s v="LAP-1946"/>
        <s v="MON-7106"/>
        <s v="MON-5386"/>
        <s v="PHN-2436"/>
        <s v="PRN-2301"/>
        <s v="ACC-3645"/>
        <s v="CMP-6811"/>
        <s v="PHN-5675"/>
        <s v="MON-6882"/>
        <s v="ACC-8620"/>
        <s v="PHN-6506"/>
        <s v="MON-5086"/>
        <s v="LAP-4899"/>
        <s v="CMP-3313"/>
        <s v="CMP-6649"/>
        <s v="ACC-5206"/>
        <s v="PRN-6911"/>
        <s v="NET-5270"/>
        <s v="CMP-5658"/>
        <s v="CMP-3938"/>
        <s v="ACC-7671"/>
        <s v="NET-6014"/>
        <s v="CMP-4159"/>
        <s v="PRN-3159"/>
        <s v="PRN-9488"/>
        <s v="PRN-7079"/>
        <s v="CMP-1220"/>
        <s v="MON-2462"/>
        <s v="PHN-9465"/>
        <s v="PRN-1271"/>
        <s v="LAP-1066"/>
        <s v="CMP-8675"/>
        <s v="LAP-1178"/>
        <s v="ACC-1731"/>
        <s v="NET-1893"/>
        <s v="PRN-3917"/>
        <s v="LAP-3220"/>
        <s v="PHN-2462"/>
        <s v="NET-2894"/>
        <s v="CMP-2335"/>
        <s v="PHN-5938"/>
        <s v="PRN-1371"/>
        <s v="PRN-5813"/>
        <s v="PHN-6480"/>
        <s v="ACC-2990"/>
        <s v="CMP-5435"/>
        <s v="ACC-1596"/>
        <s v="PHN-7852"/>
        <s v="ACC-7240"/>
        <s v="MON-8867"/>
        <s v="NET-1228"/>
        <s v="NET-1145"/>
        <s v="ACC-2867"/>
        <s v="MON-9274"/>
        <s v="MON-4830"/>
        <s v="PHN-9107"/>
        <s v="PRN-1060"/>
        <s v="NET-8329"/>
        <s v="NET-6269"/>
        <s v="CMP-6529"/>
        <s v="PHN-8776"/>
        <s v="NET-3728"/>
        <s v="LAP-3565"/>
        <s v="LAP-5078"/>
        <s v="MON-2465"/>
        <s v="CMP-3223"/>
        <s v="CMP-8127"/>
        <s v="PHN-1924"/>
        <s v="CMP-1156"/>
        <s v="LAP-3905"/>
        <s v="PRN-1786"/>
        <s v="ACC-3349"/>
        <s v="NET-4228"/>
        <s v="CMP-5633"/>
        <s v="CMP-5825"/>
        <s v="LAP-6499"/>
        <s v="ACC-3721"/>
        <s v="MON-6190"/>
        <s v="CMP-2410"/>
        <s v="PRN-2641"/>
        <s v="PRN-1882"/>
        <s v="PRN-1641"/>
        <s v="LAP-1739"/>
        <s v="PRN-4732"/>
        <s v="NET-9569"/>
        <s v="PHN-3007"/>
        <s v="MON-9216"/>
        <s v="PHN-8072"/>
        <s v="LAP-1308"/>
        <s v="LAP-7353"/>
        <s v="NET-6533"/>
        <s v="ACC-9445"/>
        <s v="PRN-1654"/>
        <s v="NET-8787"/>
        <s v="LAP-1989"/>
        <s v="MON-8688"/>
        <s v="ACC-8242"/>
        <s v="LAP-4666"/>
        <s v="NET-5196"/>
        <s v="MON-8422"/>
        <s v="ACC-3415"/>
        <s v="PRN-9624"/>
        <s v="MON-6287"/>
        <s v="NET-4491"/>
        <s v="MON-4317"/>
        <s v="NET-7349"/>
        <s v="ACC-5150"/>
        <s v="ACC-5144"/>
        <s v="PHN-6111"/>
        <s v="ACC-9283"/>
        <s v="PRN-2407"/>
        <s v="MON-7099"/>
        <s v="ACC-7354"/>
        <s v="PRN-6585"/>
        <s v="CMP-9498"/>
        <s v="PHN-1919"/>
        <s v="MON-6053"/>
        <s v="NET-2502"/>
        <s v="LAP-5689"/>
        <s v="CMP-5911"/>
        <s v="LAP-7523"/>
        <s v="MON-1118"/>
        <s v="NET-9177"/>
        <s v="CMP-6495"/>
        <s v="ACC-4587"/>
        <s v="PHN-4395"/>
        <s v="LAP-3581"/>
        <s v="MON-6065"/>
        <s v="CMP-4945"/>
        <s v="NET-3785"/>
        <s v="NET-3689"/>
        <s v="ACC-3833"/>
        <s v="NET-2932"/>
        <s v="PHN-7636"/>
        <s v="CMP-1223"/>
        <s v="MON-7207"/>
        <s v="LAP-4483"/>
        <s v="LAP-1969"/>
        <s v="PHN-4566"/>
        <s v="PHN-5366"/>
        <s v="CMP-9001"/>
        <s v="PHN-9677"/>
        <s v="ACC-1604"/>
        <s v="ACC-4815"/>
        <s v="CMP-5311"/>
        <s v="NET-1282"/>
        <s v="MON-1564"/>
        <s v="ACC-7906"/>
        <s v="LAP-6577"/>
        <s v="CMP-5065"/>
        <s v="PRN-4787"/>
        <s v="PRN-9867"/>
        <s v="MON-2849"/>
        <s v="LAP-8633"/>
        <s v="PRN-9793"/>
        <s v="NET-6218"/>
        <s v="PRN-6131"/>
        <s v="PRN-5067"/>
        <s v="LAP-4932"/>
        <s v="ACC-7713"/>
        <s v="PHN-7379"/>
        <s v="PRN-5569"/>
        <s v="CMP-1470"/>
        <s v="PRN-9249"/>
        <s v="PRN-4906"/>
        <s v="MON-8129"/>
        <s v="NET-5987"/>
        <s v="NET-5423"/>
        <s v="PRN-5264"/>
        <s v="NET-8856"/>
        <s v="MON-4215"/>
        <s v="PRN-5753"/>
        <s v="CMP-5006"/>
        <s v="ACC-4766"/>
        <s v="NET-8610"/>
        <s v="NET-4675"/>
        <s v="ACC-1028"/>
        <s v="NET-4735"/>
        <s v="NET-2460"/>
        <s v="CMP-1555"/>
        <s v="MON-3773"/>
        <s v="PHN-4677"/>
        <s v="CMP-1940"/>
        <s v="PHN-9184"/>
        <s v="LAP-3017"/>
      </sharedItems>
    </cacheField>
    <cacheField name="UnitCost" numFmtId="44">
      <sharedItems containsSemiMixedTypes="0" containsString="0" containsNumber="1" minValue="5.34" maxValue="1495.79" count="632">
        <n v="279.24"/>
        <n v="1084.39"/>
        <n v="1460.76"/>
        <n v="259.93"/>
        <n v="663.03"/>
        <n v="315.87"/>
        <n v="586.07"/>
        <n v="28.38"/>
        <n v="1295.34"/>
        <n v="1331.38"/>
        <n v="644.17"/>
        <n v="908.6"/>
        <n v="331.57"/>
        <n v="643.53"/>
        <n v="780.59"/>
        <n v="756.51"/>
        <n v="891.08"/>
        <n v="1225.57"/>
        <n v="1068.17"/>
        <n v="1015.16"/>
        <n v="1494.4"/>
        <n v="1331.19"/>
        <n v="730.99"/>
        <n v="1274.59"/>
        <n v="948.55"/>
        <n v="1491.85"/>
        <n v="117.64"/>
        <n v="857.24"/>
        <n v="209.25"/>
        <n v="754.77"/>
        <n v="495.59"/>
        <n v="1242.66"/>
        <n v="1463.9"/>
        <n v="645.33"/>
        <n v="1432.52"/>
        <n v="178.53"/>
        <n v="712.84"/>
        <n v="757.19"/>
        <n v="865.33"/>
        <n v="313.99"/>
        <n v="1024.01"/>
        <n v="1206.2"/>
        <n v="1396.48"/>
        <n v="483.47"/>
        <n v="675.43"/>
        <n v="826.55"/>
        <n v="337.75"/>
        <n v="1421.14"/>
        <n v="859.35"/>
        <n v="1303.56"/>
        <n v="1454.11"/>
        <n v="72.94"/>
        <n v="533.26"/>
        <n v="204.11"/>
        <n v="44.42"/>
        <n v="855.78"/>
        <n v="1154.64"/>
        <n v="346.82"/>
        <n v="1225.5"/>
        <n v="1057.6"/>
        <n v="1176.56"/>
        <n v="1470.15"/>
        <n v="603.45"/>
        <n v="1233.58"/>
        <n v="498.5"/>
        <n v="1303.11"/>
        <n v="1082.17"/>
        <n v="673.88"/>
        <n v="494.61"/>
        <n v="882.33"/>
        <n v="910.63"/>
        <n v="264.19"/>
        <n v="1376.51"/>
        <n v="717.55"/>
        <n v="917.88"/>
        <n v="825.64"/>
        <n v="1394.65"/>
        <n v="1112.98"/>
        <n v="357.36"/>
        <n v="1122.68"/>
        <n v="1410.05"/>
        <n v="1183.95"/>
        <n v="170.39"/>
        <n v="23.24"/>
        <n v="1421.19"/>
        <n v="1186.18"/>
        <n v="1366.48"/>
        <n v="601.51"/>
        <n v="523.7"/>
        <n v="55.65"/>
        <n v="691.19"/>
        <n v="527.33"/>
        <n v="804.01"/>
        <n v="412.09"/>
        <n v="1009.48"/>
        <n v="1084.79"/>
        <n v="24.44"/>
        <n v="1227.08"/>
        <n v="547.32"/>
        <n v="1200.78"/>
        <n v="1253.22"/>
        <n v="313.6"/>
        <n v="862.08"/>
        <n v="107.03"/>
        <n v="1405.56"/>
        <n v="1157.51"/>
        <n v="12.85"/>
        <n v="1138.8"/>
        <n v="82.14"/>
        <n v="292.94"/>
        <n v="550.22"/>
        <n v="1187.13"/>
        <n v="5.36"/>
        <n v="142.09"/>
        <n v="354.24"/>
        <n v="1473.58"/>
        <n v="75.18"/>
        <n v="1391.99"/>
        <n v="339.61"/>
        <n v="57.96"/>
        <n v="801.24"/>
        <n v="1297.42"/>
        <n v="1395.49"/>
        <n v="1363.51"/>
        <n v="178.19"/>
        <n v="950.77"/>
        <n v="1064.32"/>
        <n v="41.76"/>
        <n v="157.78"/>
        <n v="413.52"/>
        <n v="414.95"/>
        <n v="555.95"/>
        <n v="941.2"/>
        <n v="304.78"/>
        <n v="699.57"/>
        <n v="1087.81"/>
        <n v="1412.15"/>
        <n v="304.22"/>
        <n v="1203.58"/>
        <n v="65.93"/>
        <n v="1463.92"/>
        <n v="501.81"/>
        <n v="1261.48"/>
        <n v="817.23"/>
        <n v="578.85"/>
        <n v="275.56"/>
        <n v="891.46"/>
        <n v="683.42"/>
        <n v="376.83"/>
        <n v="1297"/>
        <n v="763.32"/>
        <n v="1001.96"/>
        <n v="1097.59"/>
        <n v="928.68"/>
        <n v="867.89"/>
        <n v="436.58"/>
        <n v="656.2"/>
        <n v="896.75"/>
        <n v="815.83"/>
        <n v="1220.41"/>
        <n v="299.75"/>
        <n v="811.05"/>
        <n v="1023.27"/>
        <n v="135.12"/>
        <n v="918.42"/>
        <n v="1234.81"/>
        <n v="329.03"/>
        <n v="1481.74"/>
        <n v="906.81"/>
        <n v="343.85"/>
        <n v="801.77"/>
        <n v="845.63"/>
        <n v="6.85"/>
        <n v="1263.84"/>
        <n v="180.89"/>
        <n v="1413.87"/>
        <n v="943.79"/>
        <n v="39.23"/>
        <n v="213.1"/>
        <n v="352.66"/>
        <n v="5.5"/>
        <n v="1132.61"/>
        <n v="766.59"/>
        <n v="790.63"/>
        <n v="1023.06"/>
        <n v="734.34"/>
        <n v="594.74"/>
        <n v="1262.1"/>
        <n v="1334.64"/>
        <n v="1075.9"/>
        <n v="993.75"/>
        <n v="446.69"/>
        <n v="797.8"/>
        <n v="986.44"/>
        <n v="249.71"/>
        <n v="1378.8"/>
        <n v="1406.4"/>
        <n v="516.86"/>
        <n v="1142.88"/>
        <n v="1320.33"/>
        <n v="833.57"/>
        <n v="493.76"/>
        <n v="590.33"/>
        <n v="884.36"/>
        <n v="1016.32"/>
        <n v="1178.42"/>
        <n v="137.46"/>
        <n v="1030.44"/>
        <n v="1248.39"/>
        <n v="1204.95"/>
        <n v="1095.61"/>
        <n v="90.3"/>
        <n v="1166.18"/>
        <n v="1445.27"/>
        <n v="388.51"/>
        <n v="231.11"/>
        <n v="1085.61"/>
        <n v="150.86"/>
        <n v="391.64"/>
        <n v="386.96"/>
        <n v="589.14"/>
        <n v="145.58"/>
        <n v="241.14"/>
        <n v="1198.9"/>
        <n v="1089.15"/>
        <n v="1080.43"/>
        <n v="1352.44"/>
        <n v="1239.84"/>
        <n v="933.29"/>
        <n v="1024.1"/>
        <n v="54.62"/>
        <n v="394.13"/>
        <n v="197.63"/>
        <n v="195.54"/>
        <n v="1309.77"/>
        <n v="1237.68"/>
        <n v="1338.99"/>
        <n v="1364.89"/>
        <n v="699.33"/>
        <n v="160.82"/>
        <n v="385.32"/>
        <n v="918.12"/>
        <n v="1225.94"/>
        <n v="72.06"/>
        <n v="1013.54"/>
        <n v="65.64"/>
        <n v="1350.98"/>
        <n v="20.15"/>
        <n v="803.28"/>
        <n v="1212.99"/>
        <n v="462.94"/>
        <n v="481.71"/>
        <n v="648.64"/>
        <n v="798.97"/>
        <n v="317.25"/>
        <n v="668.97"/>
        <n v="1470.26"/>
        <n v="516.96"/>
        <n v="314.93"/>
        <n v="715.94"/>
        <n v="1120.06"/>
        <n v="1471.58"/>
        <n v="582.88"/>
        <n v="93.91"/>
        <n v="1457.44"/>
        <n v="1207.63"/>
        <n v="1108.11"/>
        <n v="1269.65"/>
        <n v="526.49"/>
        <n v="720"/>
        <n v="232.73"/>
        <n v="325.87"/>
        <n v="1025.51"/>
        <n v="1082.38"/>
        <n v="287.61"/>
        <n v="1410.97"/>
        <n v="1338.35"/>
        <n v="385.08"/>
        <n v="1173.83"/>
        <n v="953.46"/>
        <n v="1097.09"/>
        <n v="1106.96"/>
        <n v="91.85"/>
        <n v="623.4"/>
        <n v="1017.93"/>
        <n v="554.76"/>
        <n v="7.02"/>
        <n v="1066.65"/>
        <n v="798.45"/>
        <n v="1271.56"/>
        <n v="521.06"/>
        <n v="71.62"/>
        <n v="1142.48"/>
        <n v="209.81"/>
        <n v="786.2"/>
        <n v="1362.31"/>
        <n v="248.24"/>
        <n v="337"/>
        <n v="5.66"/>
        <n v="591.72"/>
        <n v="862.89"/>
        <n v="649.91"/>
        <n v="1269.55"/>
        <n v="892.73"/>
        <n v="231.63"/>
        <n v="86.68"/>
        <n v="1450.43"/>
        <n v="382.96"/>
        <n v="122.29"/>
        <n v="401.66"/>
        <n v="1399.72"/>
        <n v="51.13"/>
        <n v="471.42"/>
        <n v="840.68"/>
        <n v="597.85"/>
        <n v="379.45"/>
        <n v="291.18"/>
        <n v="1017.92"/>
        <n v="156.55"/>
        <n v="875.36"/>
        <n v="986.85"/>
        <n v="404.77"/>
        <n v="1299.81"/>
        <n v="80.48"/>
        <n v="1010.33"/>
        <n v="653.86"/>
        <n v="310.02"/>
        <n v="894.23"/>
        <n v="383.77"/>
        <n v="1373.31"/>
        <n v="100.69"/>
        <n v="425.15"/>
        <n v="1082.25"/>
        <n v="1184.99"/>
        <n v="481.32"/>
        <n v="1288.85"/>
        <n v="647.26"/>
        <n v="624.23"/>
        <n v="506.83"/>
        <n v="620.74"/>
        <n v="661.45"/>
        <n v="32.1"/>
        <n v="805.81"/>
        <n v="1231.8"/>
        <n v="105.13"/>
        <n v="1495.79"/>
        <n v="986.81"/>
        <n v="77.74"/>
        <n v="932.61"/>
        <n v="982.93"/>
        <n v="307.37"/>
        <n v="879.08"/>
        <n v="956.38"/>
        <n v="1233.36"/>
        <n v="55.35"/>
        <n v="657.45"/>
        <n v="1203.02"/>
        <n v="1176.69"/>
        <n v="769.9"/>
        <n v="666.23"/>
        <n v="951.44"/>
        <n v="546.83"/>
        <n v="834.26"/>
        <n v="1029.67"/>
        <n v="605.82"/>
        <n v="1055.45"/>
        <n v="1295.18"/>
        <n v="935.83"/>
        <n v="1279.56"/>
        <n v="255.4"/>
        <n v="492.75"/>
        <n v="1214.49"/>
        <n v="720.35"/>
        <n v="290.14"/>
        <n v="1484.23"/>
        <n v="988.83"/>
        <n v="1227.7"/>
        <n v="1113.7"/>
        <n v="432.13"/>
        <n v="837.39"/>
        <n v="378.26"/>
        <n v="833.73"/>
        <n v="1142.06"/>
        <n v="1145.53"/>
        <n v="941.35"/>
        <n v="1161.2"/>
        <n v="320.12"/>
        <n v="1163.99"/>
        <n v="1019.36"/>
        <n v="20.38"/>
        <n v="1487.59"/>
        <n v="229.96"/>
        <n v="1132.03"/>
        <n v="1137.41"/>
        <n v="1295.39"/>
        <n v="653.6"/>
        <n v="1397.67"/>
        <n v="1202.47"/>
        <n v="1310.3"/>
        <n v="1174.17"/>
        <n v="1119.04"/>
        <n v="850.7"/>
        <n v="1020.4"/>
        <n v="501.5"/>
        <n v="974.11"/>
        <n v="1126.29"/>
        <n v="1361.34"/>
        <n v="1437.39"/>
        <n v="475.66"/>
        <n v="1415.05"/>
        <n v="466.16"/>
        <n v="663.66"/>
        <n v="692.18"/>
        <n v="1196.83"/>
        <n v="1253.25"/>
        <n v="1287.64"/>
        <n v="851.49"/>
        <n v="618.69"/>
        <n v="80.59"/>
        <n v="504.93"/>
        <n v="1102.19"/>
        <n v="1205.26"/>
        <n v="1313.3"/>
        <n v="1488.91"/>
        <n v="1477.84"/>
        <n v="1035.19"/>
        <n v="1271.1"/>
        <n v="1154.03"/>
        <n v="322.44"/>
        <n v="935.98"/>
        <n v="599.84"/>
        <n v="1201.31"/>
        <n v="384.19"/>
        <n v="488.68"/>
        <n v="181.74"/>
        <n v="774.12"/>
        <n v="126.15"/>
        <n v="607.04"/>
        <n v="861.1"/>
        <n v="352.65"/>
        <n v="979.59"/>
        <n v="382.21"/>
        <n v="1362.06"/>
        <n v="90.04"/>
        <n v="558.19"/>
        <n v="247.07"/>
        <n v="625.37"/>
        <n v="194.6"/>
        <n v="1205.5"/>
        <n v="895.54"/>
        <n v="946.99"/>
        <n v="873.06"/>
        <n v="901.19"/>
        <n v="400.39"/>
        <n v="813.97"/>
        <n v="1146.72"/>
        <n v="307.43"/>
        <n v="714.28"/>
        <n v="174.74"/>
        <n v="1264.04"/>
        <n v="141.26"/>
        <n v="40.89"/>
        <n v="738.16"/>
        <n v="113.74"/>
        <n v="275.43"/>
        <n v="1335.76"/>
        <n v="242.31"/>
        <n v="1408.3"/>
        <n v="1171.42"/>
        <n v="663.61"/>
        <n v="432.01"/>
        <n v="784.46"/>
        <n v="647.36"/>
        <n v="834.93"/>
        <n v="603.47"/>
        <n v="690.49"/>
        <n v="210.76"/>
        <n v="472.33"/>
        <n v="1039.03"/>
        <n v="553.61"/>
        <n v="1219.06"/>
        <n v="43.23"/>
        <n v="1286.56"/>
        <n v="350.76"/>
        <n v="1307.52"/>
        <n v="257.44"/>
        <n v="287.85"/>
        <n v="1008.16"/>
        <n v="111.02"/>
        <n v="1466.5"/>
        <n v="187.22"/>
        <n v="297.59"/>
        <n v="896.09"/>
        <n v="5.34"/>
        <n v="465.02"/>
        <n v="352.79"/>
        <n v="1292.86"/>
        <n v="1133.08"/>
        <n v="509.31"/>
        <n v="660.78"/>
        <n v="475.37"/>
        <n v="1232.77"/>
        <n v="770.11"/>
        <n v="1133.03"/>
        <n v="996.73"/>
        <n v="395.07"/>
        <n v="932.26"/>
        <n v="1331.77"/>
        <n v="227.02"/>
        <n v="903.41"/>
        <n v="622.6"/>
        <n v="225.01"/>
        <n v="1389.46"/>
        <n v="804.17"/>
        <n v="1428.33"/>
        <n v="638.54"/>
        <n v="649.13"/>
        <n v="66.4"/>
        <n v="930.71"/>
        <n v="327.97"/>
        <n v="1062.38"/>
        <n v="1286.16"/>
        <n v="748.39"/>
        <n v="513.31"/>
        <n v="1061.37"/>
        <n v="401.3"/>
        <n v="90.68"/>
        <n v="1083.09"/>
        <n v="1208.74"/>
        <n v="1399.64"/>
        <n v="937.16"/>
        <n v="116.97"/>
        <n v="59.51"/>
        <n v="676.37"/>
        <n v="1151.06"/>
        <n v="725.62"/>
        <n v="479.5"/>
        <n v="1291.7"/>
        <n v="612.59"/>
        <n v="1141.8"/>
        <n v="492.62"/>
        <n v="1258.72"/>
        <n v="1370.28"/>
        <n v="944.61"/>
        <n v="460.21"/>
        <n v="1304.95"/>
        <n v="441.08"/>
        <n v="1299.03"/>
        <n v="880.02"/>
        <n v="702.98"/>
        <n v="1035.24"/>
        <n v="86.64"/>
        <n v="1171.17"/>
        <n v="730.42"/>
        <n v="1162.86"/>
        <n v="1189.03"/>
        <n v="1443.28"/>
        <n v="883.5"/>
        <n v="710.98"/>
        <n v="857.42"/>
        <n v="802.32"/>
        <n v="446.66"/>
        <n v="1195.98"/>
        <n v="671.05"/>
        <n v="586.21"/>
        <n v="525.34"/>
        <n v="1233.52"/>
        <n v="1170.15"/>
        <n v="740.68"/>
        <n v="1407.05"/>
        <n v="138.9"/>
        <n v="669.37"/>
        <n v="23.83"/>
        <n v="444.41"/>
        <n v="856.1"/>
        <n v="81.49"/>
        <n v="698.66"/>
        <n v="175.38"/>
        <n v="751.28"/>
        <n v="164.53"/>
        <n v="389.93"/>
        <n v="860.4"/>
        <n v="41.84"/>
        <n v="1368.17"/>
        <n v="643.21"/>
        <n v="719.41"/>
        <n v="64.5"/>
        <n v="1232.78"/>
        <n v="1367.13"/>
        <n v="1027.26"/>
        <n v="790.54"/>
        <n v="663.9"/>
        <n v="1015.91"/>
        <n v="1252.52"/>
        <n v="318.83"/>
        <n v="753.43"/>
        <n v="1133.47"/>
        <n v="299.02"/>
        <n v="783.72"/>
        <n v="165.3"/>
        <n v="985.45"/>
        <n v="1337.01"/>
        <n v="416.16"/>
        <n v="1144.38"/>
        <n v="405.66"/>
        <n v="689.33"/>
        <n v="1209.22"/>
        <n v="1466.27"/>
        <n v="143.33"/>
        <n v="109.75"/>
        <n v="1099.15"/>
        <n v="714.43"/>
        <n v="942.02"/>
        <n v="1323.55"/>
        <n v="1418.51"/>
        <n v="1317.58"/>
        <n v="391.16"/>
        <n v="722.87"/>
        <n v="930.03"/>
        <n v="816.7"/>
        <n v="251.03"/>
        <n v="168.68"/>
        <n v="1339.24"/>
        <n v="619.64"/>
        <n v="1021.97"/>
        <n v="1349.04"/>
        <n v="1346.81"/>
        <n v="226.04"/>
        <n v="807.02"/>
        <n v="1071.99"/>
        <n v="807.11"/>
        <n v="51.86"/>
      </sharedItems>
    </cacheField>
    <cacheField name="UnitPrice" numFmtId="44">
      <sharedItems containsSemiMixedTypes="0" containsString="0" containsNumber="1" minValue="-33.66" maxValue="3661.07" count="630">
        <n v="608.9"/>
        <n v="759.33"/>
        <n v="-30.66"/>
        <n v="255.94"/>
        <n v="813.51"/>
        <n v="591.68"/>
        <n v="845.97"/>
        <n v="47.22"/>
        <n v="2530.81"/>
        <n v="2309.56"/>
        <n v="700.12"/>
        <n v="691.37"/>
        <n v="548.4"/>
        <n v="1439.01"/>
        <n v="631.57"/>
        <n v="850.8"/>
        <n v="1040.1"/>
        <n v="2705.57"/>
        <n v="2375.37"/>
        <n v="2148.14"/>
        <n v="3661.07"/>
        <n v="2903.09"/>
        <n v="1242.84"/>
        <n v="2553.69"/>
        <n v="2089.16"/>
        <n v="2583.02"/>
        <n v="175.67"/>
        <n v="758.23"/>
        <n v="434.8"/>
        <n v="1666.18"/>
        <n v="631.78"/>
        <n v="1794.07"/>
        <n v="2633.02"/>
        <n v="1321.85"/>
        <n v="3036.87"/>
        <n v="199.37"/>
        <n v="927.51"/>
        <n v="1735.41"/>
        <n v="1395.64"/>
        <n v="454.42"/>
        <n v="1580.97"/>
        <n v="1759.79"/>
        <n v="3204.5"/>
        <n v="1135.43"/>
        <n v="996.36"/>
        <n v="1397.05"/>
        <n v="548.89"/>
        <n v="3524"/>
        <n v="1825.61"/>
        <n v="1791.37"/>
        <n v="2629.75"/>
        <n v="106.3"/>
        <n v="385.72"/>
        <n v="236.87"/>
        <n v="41.9"/>
        <n v="977.38"/>
        <n v="2794.13"/>
        <n v="701.95"/>
        <n v="-5.27"/>
        <n v="1437.06"/>
        <n v="1911.89"/>
        <n v="2593.78"/>
        <n v="1244.08"/>
        <n v="1912.51"/>
        <n v="755.87"/>
        <n v="1145.67"/>
        <n v="1234.1"/>
        <n v="1228.01"/>
        <n v="605.23"/>
        <n v="1880.15"/>
        <n v="1269.4"/>
        <n v="620.93"/>
        <n v="1455.91"/>
        <n v="546.43"/>
        <n v="1347.92"/>
        <n v="1108.43"/>
        <n v="3144.1"/>
        <n v="2095.73"/>
        <n v="703.62"/>
        <n v="1997.19"/>
        <n v="2763.95"/>
        <n v="1503.53"/>
        <n v="388.04"/>
        <n v="44.57"/>
        <n v="1808.26"/>
        <n v="1285.09"/>
        <n v="1678.14"/>
        <n v="679.35"/>
        <n v="1109.92"/>
        <n v="83.57"/>
        <n v="1284.3"/>
        <n v="911.72"/>
        <n v="1405.07"/>
        <n v="968.94"/>
        <n v="1088.81"/>
        <n v="2484.99"/>
        <n v="28.69"/>
        <n v="1896.62"/>
        <n v="419.17"/>
        <n v="2001.17"/>
        <n v="3104.71"/>
        <n v="334.28"/>
        <n v="1952.83"/>
        <n v="242.29"/>
        <n v="2968.87"/>
        <n v="1394.3"/>
        <n v="15.41"/>
        <n v="2250.81"/>
        <n v="166.04"/>
        <n v="356.55"/>
        <n v="1025.05"/>
        <n v="1795.17"/>
        <n v="4.37"/>
        <n v="218.5"/>
        <n v="249.87"/>
        <n v="3436.52"/>
        <n v="53.45"/>
        <n v="3469.7"/>
        <n v="621.02"/>
        <n v="88.51"/>
        <n v="1959.09"/>
        <n v="2742.97"/>
        <n v="1679.42"/>
        <n v="1433.9"/>
        <n v="284.43"/>
        <n v="694.78"/>
        <n v="1848.39"/>
        <n v="45.19"/>
        <n v="361.1"/>
        <n v="1004.34"/>
        <n v="1027.73"/>
        <n v="468.09"/>
        <n v="668.02"/>
        <n v="537.27"/>
        <n v="572.71"/>
        <n v="2323.87"/>
        <n v="1631.04"/>
        <n v="393.31"/>
        <n v="1856.16"/>
        <n v="84.9"/>
        <n v="2252.24"/>
        <n v="921.62"/>
        <n v="1643.18"/>
        <n v="1467.17"/>
        <n v="998.76"/>
        <n v="630.72"/>
        <n v="728.61"/>
        <n v="951.51"/>
        <n v="732.88"/>
        <n v="2411.52"/>
        <n v="568.29"/>
        <n v="1254.95"/>
        <n v="845.55"/>
        <n v="2145.17"/>
        <n v="1349.94"/>
        <n v="527.48"/>
        <n v="1651.14"/>
        <n v="1982.18"/>
        <n v="2552.22"/>
        <n v="523.01"/>
        <n v="1217.71"/>
        <n v="1343.64"/>
        <n v="301.7"/>
        <n v="1511.71"/>
        <n v="2055.24"/>
        <n v="391.15"/>
        <n v="1848.97"/>
        <n v="1395.56"/>
        <n v="538.04"/>
        <n v="1218.92"/>
        <n v="2062.12"/>
        <n v="10.18"/>
        <n v="2281.72"/>
        <n v="249.57"/>
        <n v="3275"/>
        <n v="1913.76"/>
        <n v="30.09"/>
        <n v="501.31"/>
        <n v="411.18"/>
        <n v="5.92"/>
        <n v="2206.63"/>
        <n v="1912.8"/>
        <n v="1382.31"/>
        <n v="1355.61"/>
        <n v="887.9"/>
        <n v="1020.69"/>
        <n v="1395.53"/>
        <n v="2273.42"/>
        <n v="1242.15"/>
        <n v="1310.29"/>
        <n v="967.25"/>
        <n v="886.22"/>
        <n v="790.61"/>
        <n v="361.33"/>
        <n v="1952.04"/>
        <n v="1564.76"/>
        <n v="852.54"/>
        <n v="1465.29"/>
        <n v="2645.23"/>
        <n v="881.57"/>
        <n v="625.04"/>
        <n v="973.04"/>
        <n v="1545.34"/>
        <n v="2253.42"/>
        <n v="2446.56"/>
        <n v="188.3"/>
        <n v="2562.84"/>
        <n v="1805.11"/>
        <n v="2065.73"/>
        <n v="2366.51"/>
        <n v="131.76"/>
        <n v="1335.02"/>
        <n v="2691.45"/>
        <n v="776.46"/>
        <n v="318.17"/>
        <n v="1246.41"/>
        <n v="346.96"/>
        <n v="504.76"/>
        <n v="937.46"/>
        <n v="1300.58"/>
        <n v="228.15"/>
        <n v="496.52"/>
        <n v="2941.2"/>
        <n v="1088.2"/>
        <n v="2529.15"/>
        <n v="2698.01"/>
        <n v="1482.75"/>
        <n v="1456.81"/>
        <n v="918.19"/>
        <n v="48.94"/>
        <n v="932.29"/>
        <n v="325.79"/>
        <n v="405.97"/>
        <n v="1589.07"/>
        <n v="1432.8"/>
        <n v="1765.76"/>
        <n v="2757.54"/>
        <n v="873.75"/>
        <n v="258.52"/>
        <n v="606.76"/>
        <n v="1337.69"/>
        <n v="1793.08"/>
        <n v="122.74"/>
        <n v="927.93"/>
        <n v="151.88"/>
        <n v="2210.4"/>
        <n v="39.74"/>
        <n v="1009"/>
        <n v="1653.64"/>
        <n v="1015.7"/>
        <n v="912.45"/>
        <n v="815.19"/>
        <n v="1814.06"/>
        <n v="758.92"/>
        <n v="1667.44"/>
        <n v="2562.55"/>
        <n v="745.38"/>
        <n v="687.95"/>
        <n v="550.07"/>
        <n v="2068.21"/>
        <n v="2576.65"/>
        <n v="1044.14"/>
        <n v="99.04"/>
        <n v="1996.81"/>
        <n v="921.68"/>
        <n v="2503.79"/>
        <n v="2462.77"/>
        <n v="496.2"/>
        <n v="907.59"/>
        <n v="334.19"/>
        <n v="538.79"/>
        <n v="1436.54"/>
        <n v="1766.55"/>
        <n v="628.54"/>
        <n v="1650.75"/>
        <n v="2247.14"/>
        <n v="893.19"/>
        <n v="2328.9"/>
        <n v="2066.75"/>
        <n v="2182.31"/>
        <n v="2726.62"/>
        <n v="111.29"/>
        <n v="1100.09"/>
        <n v="1529.14"/>
        <n v="728.69"/>
        <n v="6.28"/>
        <n v="2569.77"/>
        <n v="1592.02"/>
        <n v="995.47"/>
        <n v="1240.31"/>
        <n v="118.37"/>
        <n v="2105.53"/>
        <n v="523"/>
        <n v="1075.3"/>
        <n v="3294.57"/>
        <n v="464.05"/>
        <n v="511.03"/>
        <n v="4.22"/>
        <n v="577.24"/>
        <n v="1426.03"/>
        <n v="1360.12"/>
        <n v="2071.1"/>
        <n v="979.84"/>
        <n v="537.39"/>
        <n v="213.32"/>
        <n v="1994.67"/>
        <n v="552.84"/>
        <n v="224.95"/>
        <n v="772.09"/>
        <n v="3149.21"/>
        <n v="57.53"/>
        <n v="824.81"/>
        <n v="1493.53"/>
        <n v="741.92"/>
        <n v="742.23"/>
        <n v="479.54"/>
        <n v="1175.25"/>
        <n v="227.45"/>
        <n v="1178.62"/>
        <n v="2422.1"/>
        <n v="433.88"/>
        <n v="3149.13"/>
        <n v="65.65"/>
        <n v="2492.14"/>
        <n v="931.84"/>
        <n v="619.51"/>
        <n v="1421.55"/>
        <n v="952.56"/>
        <n v="3154.14"/>
        <n v="226.14"/>
        <n v="885.92"/>
        <n v="2433.34"/>
        <n v="1154.34"/>
        <n v="1135.99"/>
        <n v="2751.84"/>
        <n v="1374.72"/>
        <n v="1318.37"/>
        <n v="441.74"/>
        <n v="1330.07"/>
        <n v="1634.86"/>
        <n v="70.6"/>
        <n v="1823.04"/>
        <n v="2015.99"/>
        <n v="244.13"/>
        <n v="2783.12"/>
        <n v="2050.31"/>
        <n v="147.12"/>
        <n v="1982.98"/>
        <n v="2299.3"/>
        <n v="462.61"/>
        <n v="1093.39"/>
        <n v="1454.22"/>
        <n v="2120.4"/>
        <n v="128.68"/>
        <n v="1325.96"/>
        <n v="2439.33"/>
        <n v="2201.54"/>
        <n v="814.36"/>
        <n v="1382.91"/>
        <n v="1646.43"/>
        <n v="400.84"/>
        <n v="1780.56"/>
        <n v="1118.43"/>
        <n v="771.12"/>
        <n v="1210.04"/>
        <n v="3024.03"/>
        <n v="2303.46"/>
        <n v="3083.8"/>
        <n v="322.71"/>
        <n v="731.29"/>
        <n v="1533.95"/>
        <n v="1571.66"/>
        <n v="250.73"/>
        <n v="3472.81"/>
        <n v="1206.04"/>
        <n v="2197.23"/>
        <n v="1620.6"/>
        <n v="1034.66"/>
        <n v="1905.42"/>
        <n v="541.56"/>
        <n v="1116.6"/>
        <n v="1455"/>
        <n v="1278.3"/>
        <n v="899.83"/>
        <n v="878.73"/>
        <n v="594.42"/>
        <n v="1617.85"/>
        <n v="972.91"/>
        <n v="42.56"/>
        <n v="1480.83"/>
        <n v="564.26"/>
        <n v="2137.21"/>
        <n v="1680.93"/>
        <n v="2905.06"/>
        <n v="842.09"/>
        <n v="3131.37"/>
        <n v="1444.72"/>
        <n v="2875.8"/>
        <n v="1641.61"/>
        <n v="1299.02"/>
        <n v="1118.56"/>
        <n v="1184.71"/>
        <n v="1201.47"/>
        <n v="880.99"/>
        <n v="2050.87"/>
        <n v="1737.9"/>
        <n v="1388.31"/>
        <n v="529.14"/>
        <n v="1972.38"/>
        <n v="876.81"/>
        <n v="824.26"/>
        <n v="1159.35"/>
        <n v="2513.51"/>
        <n v="3087.13"/>
        <n v="2717.15"/>
        <n v="901.79"/>
        <n v="796.15"/>
        <n v="157.82"/>
        <n v="819.06"/>
        <n v="1711.16"/>
        <n v="1696.35"/>
        <n v="2884.34"/>
        <n v="1483.74"/>
        <n v="3197.47"/>
        <n v="2322.7"/>
        <n v="1932.42"/>
        <n v="1590.36"/>
        <n v="395.61"/>
        <n v="2077.69"/>
        <n v="1330.85"/>
        <n v="2764.65"/>
        <n v="278.35"/>
        <n v="984.36"/>
        <n v="190.84"/>
        <n v="908.3"/>
        <n v="284.23"/>
        <n v="1229.34"/>
        <n v="1224.72"/>
        <n v="485.86"/>
        <n v="2210.94"/>
        <n v="571.89"/>
        <n v="3398.37"/>
        <n v="194.62"/>
        <n v="1031.64"/>
        <n v="495.19"/>
        <n v="1319.04"/>
        <n v="314.87"/>
        <n v="2210.17"/>
        <n v="1045"/>
        <n v="2132.19"/>
        <n v="2101.55"/>
        <n v="2125.44"/>
        <n v="712.75"/>
        <n v="1568.83"/>
        <n v="2074.34"/>
        <n v="757.59"/>
        <n v="415.96"/>
        <n v="1870.89"/>
        <n v="206.88"/>
        <n v="62.82"/>
        <n v="956.49"/>
        <n v="165.7"/>
        <n v="608.36"/>
        <n v="2665.91"/>
        <n v="587.95"/>
        <n v="2193.13"/>
        <n v="2187.8"/>
        <n v="1002.11"/>
        <n v="913.78"/>
        <n v="1843.51"/>
        <n v="1383.6"/>
        <n v="1588.53"/>
        <n v="1344.05"/>
        <n v="1290.29"/>
        <n v="221.58"/>
        <n v="360.34"/>
        <n v="2545.81"/>
        <n v="699.47"/>
        <n v="2738.69"/>
        <n v="94.78"/>
        <n v="2777.35"/>
        <n v="492.18"/>
        <n v="1921.65"/>
        <n v="290.33"/>
        <n v="602.92"/>
        <n v="2077.5"/>
        <n v="172.88"/>
        <n v="2778.74"/>
        <n v="309.47"/>
        <n v="666.41"/>
        <n v="744.27"/>
        <n v="12.69"/>
        <n v="651.56"/>
        <n v="754.22"/>
        <n v="2981.01"/>
        <n v="976.17"/>
        <n v="1145.9"/>
        <n v="1630.39"/>
        <n v="963.73"/>
        <n v="891.73"/>
        <n v="1667.82"/>
        <n v="1921.51"/>
        <n v="1217.43"/>
        <n v="970.27"/>
        <n v="1624.67"/>
        <n v="2606.11"/>
        <n v="434.72"/>
        <n v="1860.41"/>
        <n v="833.69"/>
        <n v="333.48"/>
        <n v="1784.7"/>
        <n v="1072.29"/>
        <n v="3028.05"/>
        <n v="987.24"/>
        <n v="975.43"/>
        <n v="141.43"/>
        <n v="1625.42"/>
        <n v="299.94"/>
        <n v="1503.96"/>
        <n v="3101.11"/>
        <n v="979.42"/>
        <n v="1186.26"/>
        <n v="1938.33"/>
        <n v="826.47"/>
        <n v="118.17"/>
        <n v="1425.87"/>
        <n v="1594.78"/>
        <n v="3342.11"/>
        <n v="1069.77"/>
        <n v="140.82"/>
        <n v="67.04"/>
        <n v="1276.67"/>
        <n v="2821.36"/>
        <n v="1559.19"/>
        <n v="656.66"/>
        <n v="2657.84"/>
        <n v="1424.74"/>
        <n v="2318.74"/>
        <n v="366.7"/>
        <n v="2797.41"/>
        <n v="2209.66"/>
        <n v="839.04"/>
        <n v="1139.15"/>
        <n v="1712.03"/>
        <n v="1054.29"/>
        <n v="2451.22"/>
        <n v="1251.21"/>
        <n v="1104.8"/>
        <n v="2383.41"/>
        <n v="213.06"/>
        <n v="2030.64"/>
        <n v="956.7"/>
        <n v="1447.68"/>
        <n v="2949.62"/>
        <n v="2580.57"/>
        <n v="1978.91"/>
        <n v="1481.45"/>
        <n v="1658.92"/>
        <n v="602.34"/>
        <n v="527.64"/>
        <n v="1841.9"/>
        <n v="1645.48"/>
        <n v="727.22"/>
        <n v="1233.79"/>
        <n v="1543.76"/>
        <n v="2115.19"/>
        <n v="1837.19"/>
        <n v="2858.93"/>
        <n v="289.92"/>
        <n v="997.2"/>
        <n v="47.29"/>
        <n v="754.24"/>
        <n v="901.48"/>
        <n v="113.08"/>
        <n v="868.62"/>
        <n v="347.9"/>
        <n v="1111.88"/>
        <n v="327.72"/>
        <n v="486.13"/>
        <n v="2066.6"/>
        <n v="86.2"/>
        <n v="2307.75"/>
        <n v="1112.81"/>
        <n v="1125.99"/>
        <n v="123.62"/>
        <n v="1731.75"/>
        <n v="3062.01"/>
        <n v="2200.41"/>
        <n v="601.49"/>
        <n v="947.77"/>
        <n v="2331.48"/>
        <n v="1417.24"/>
        <n v="699.5"/>
        <n v="1787.2"/>
        <n v="1698.75"/>
        <n v="724.7"/>
        <n v="1355.94"/>
        <n v="275.07"/>
        <n v="1802.44"/>
        <n v="1269.78"/>
        <n v="571.9"/>
        <n v="2755.04"/>
        <n v="962.51"/>
        <n v="668.27"/>
        <n v="1404.33"/>
        <n v="3589.89"/>
        <n v="233.51"/>
        <n v="124.25"/>
        <n v="1431.37"/>
        <n v="1595.52"/>
        <n v="1028.46"/>
        <n v="3230.35"/>
        <n v="2789.61"/>
        <n v="1897.74"/>
        <n v="902.47"/>
        <n v="-33.66"/>
        <n v="1086.68"/>
        <n v="1010.75"/>
        <n v="411.48"/>
        <n v="413.34"/>
        <n v="1558.89"/>
        <n v="861.16"/>
        <n v="2296.25"/>
        <n v="2636.6"/>
        <n v="978.09"/>
        <n v="545.72"/>
        <n v="1435.54"/>
        <n v="2397.3"/>
        <n v="1853.86"/>
        <n v="45.98"/>
      </sharedItems>
    </cacheField>
    <cacheField name="Corrected Unit price" numFmtId="44">
      <sharedItems containsSemiMixedTypes="0" containsString="0" containsNumber="1" minValue="4.22" maxValue="3661.07" count="630">
        <n v="608.9"/>
        <n v="759.33"/>
        <n v="1460.76"/>
        <n v="255.94"/>
        <n v="813.51"/>
        <n v="591.68"/>
        <n v="845.97"/>
        <n v="47.22"/>
        <n v="2530.81"/>
        <n v="2309.56"/>
        <n v="700.12"/>
        <n v="691.37"/>
        <n v="548.4"/>
        <n v="1439.01"/>
        <n v="631.57"/>
        <n v="850.8"/>
        <n v="1040.1"/>
        <n v="2705.57"/>
        <n v="2375.37"/>
        <n v="2148.14"/>
        <n v="3661.07"/>
        <n v="2903.09"/>
        <n v="1242.84"/>
        <n v="2553.69"/>
        <n v="2089.16"/>
        <n v="2583.02"/>
        <n v="175.67"/>
        <n v="758.23"/>
        <n v="434.8"/>
        <n v="1666.18"/>
        <n v="631.78"/>
        <n v="1794.07"/>
        <n v="2633.02"/>
        <n v="1321.85"/>
        <n v="3036.87"/>
        <n v="199.37"/>
        <n v="927.51"/>
        <n v="1735.41"/>
        <n v="1395.64"/>
        <n v="454.42"/>
        <n v="1580.97"/>
        <n v="1759.79"/>
        <n v="3204.5"/>
        <n v="1135.43"/>
        <n v="996.36"/>
        <n v="1397.05"/>
        <n v="548.89"/>
        <n v="3524"/>
        <n v="1825.61"/>
        <n v="1791.37"/>
        <n v="2629.75"/>
        <n v="106.3"/>
        <n v="385.72"/>
        <n v="236.87"/>
        <n v="41.9"/>
        <n v="977.38"/>
        <n v="2794.13"/>
        <n v="701.95"/>
        <n v="1225.5"/>
        <n v="1437.06"/>
        <n v="1911.89"/>
        <n v="2593.78"/>
        <n v="1244.08"/>
        <n v="1912.51"/>
        <n v="755.87"/>
        <n v="1145.67"/>
        <n v="1234.1"/>
        <n v="1228.01"/>
        <n v="605.23"/>
        <n v="1880.15"/>
        <n v="1269.4"/>
        <n v="620.93"/>
        <n v="1455.91"/>
        <n v="546.43"/>
        <n v="1347.92"/>
        <n v="1108.43"/>
        <n v="3144.1"/>
        <n v="2095.73"/>
        <n v="703.62"/>
        <n v="1997.19"/>
        <n v="2763.95"/>
        <n v="1503.53"/>
        <n v="388.04"/>
        <n v="44.57"/>
        <n v="1808.26"/>
        <n v="1285.09"/>
        <n v="1678.14"/>
        <n v="679.35"/>
        <n v="1109.92"/>
        <n v="83.57"/>
        <n v="1284.3"/>
        <n v="911.72"/>
        <n v="1405.07"/>
        <n v="968.94"/>
        <n v="1088.81"/>
        <n v="2484.99"/>
        <n v="28.69"/>
        <n v="1896.62"/>
        <n v="419.17"/>
        <n v="2001.17"/>
        <n v="3104.71"/>
        <n v="334.28"/>
        <n v="1952.83"/>
        <n v="242.29"/>
        <n v="2968.87"/>
        <n v="1394.3"/>
        <n v="15.41"/>
        <n v="2250.81"/>
        <n v="166.04"/>
        <n v="356.55"/>
        <n v="1025.05"/>
        <n v="1795.17"/>
        <n v="4.37"/>
        <n v="218.5"/>
        <n v="249.87"/>
        <n v="3436.52"/>
        <n v="53.45"/>
        <n v="3469.7"/>
        <n v="621.02"/>
        <n v="88.51"/>
        <n v="1959.09"/>
        <n v="2742.97"/>
        <n v="1679.42"/>
        <n v="1433.9"/>
        <n v="284.43"/>
        <n v="694.78"/>
        <n v="1848.39"/>
        <n v="45.19"/>
        <n v="361.1"/>
        <n v="1004.34"/>
        <n v="1027.73"/>
        <n v="468.09"/>
        <n v="668.02"/>
        <n v="537.27"/>
        <n v="572.71"/>
        <n v="2323.87"/>
        <n v="1631.04"/>
        <n v="393.31"/>
        <n v="1856.16"/>
        <n v="84.9"/>
        <n v="2252.24"/>
        <n v="921.62"/>
        <n v="1643.18"/>
        <n v="1467.17"/>
        <n v="998.76"/>
        <n v="630.72"/>
        <n v="728.61"/>
        <n v="951.51"/>
        <n v="732.88"/>
        <n v="2411.52"/>
        <n v="568.29"/>
        <n v="1254.95"/>
        <n v="845.55"/>
        <n v="2145.17"/>
        <n v="1349.94"/>
        <n v="527.48"/>
        <n v="1651.14"/>
        <n v="1982.18"/>
        <n v="2552.22"/>
        <n v="523.01"/>
        <n v="1217.71"/>
        <n v="1343.64"/>
        <n v="301.7"/>
        <n v="1511.71"/>
        <n v="2055.24"/>
        <n v="391.15"/>
        <n v="1848.97"/>
        <n v="1395.56"/>
        <n v="538.04"/>
        <n v="1218.92"/>
        <n v="2062.12"/>
        <n v="10.18"/>
        <n v="2281.72"/>
        <n v="249.57"/>
        <n v="3275"/>
        <n v="1913.76"/>
        <n v="30.09"/>
        <n v="501.31"/>
        <n v="411.18"/>
        <n v="5.92"/>
        <n v="2206.63"/>
        <n v="1912.8"/>
        <n v="1382.31"/>
        <n v="1355.61"/>
        <n v="887.9"/>
        <n v="1020.69"/>
        <n v="1395.53"/>
        <n v="2273.42"/>
        <n v="1242.15"/>
        <n v="1310.29"/>
        <n v="967.25"/>
        <n v="886.22"/>
        <n v="790.61"/>
        <n v="361.33"/>
        <n v="1952.04"/>
        <n v="1564.76"/>
        <n v="852.54"/>
        <n v="1465.29"/>
        <n v="2645.23"/>
        <n v="881.57"/>
        <n v="625.04"/>
        <n v="973.04"/>
        <n v="1545.34"/>
        <n v="2253.42"/>
        <n v="2446.56"/>
        <n v="188.3"/>
        <n v="2562.84"/>
        <n v="1805.11"/>
        <n v="2065.73"/>
        <n v="2366.51"/>
        <n v="131.76"/>
        <n v="1335.02"/>
        <n v="2691.45"/>
        <n v="776.46"/>
        <n v="318.17"/>
        <n v="1246.41"/>
        <n v="346.96"/>
        <n v="504.76"/>
        <n v="937.46"/>
        <n v="1300.58"/>
        <n v="228.15"/>
        <n v="496.52"/>
        <n v="2941.2"/>
        <n v="1088.2"/>
        <n v="2529.15"/>
        <n v="2698.01"/>
        <n v="1482.75"/>
        <n v="1456.81"/>
        <n v="918.19"/>
        <n v="48.94"/>
        <n v="932.29"/>
        <n v="325.79"/>
        <n v="405.97"/>
        <n v="1589.07"/>
        <n v="1432.8"/>
        <n v="1765.76"/>
        <n v="2757.54"/>
        <n v="873.75"/>
        <n v="258.52"/>
        <n v="606.76"/>
        <n v="1337.69"/>
        <n v="1793.08"/>
        <n v="122.74"/>
        <n v="927.93"/>
        <n v="151.88"/>
        <n v="2210.4"/>
        <n v="39.74"/>
        <n v="1009"/>
        <n v="1653.64"/>
        <n v="1015.7"/>
        <n v="912.45"/>
        <n v="815.19"/>
        <n v="1814.06"/>
        <n v="758.92"/>
        <n v="1667.44"/>
        <n v="2562.55"/>
        <n v="745.38"/>
        <n v="687.95"/>
        <n v="550.07"/>
        <n v="2068.21"/>
        <n v="2576.65"/>
        <n v="1044.14"/>
        <n v="99.04"/>
        <n v="1996.81"/>
        <n v="921.68"/>
        <n v="2503.79"/>
        <n v="2462.77"/>
        <n v="496.2"/>
        <n v="907.59"/>
        <n v="334.19"/>
        <n v="538.79"/>
        <n v="1436.54"/>
        <n v="1766.55"/>
        <n v="628.54"/>
        <n v="1650.75"/>
        <n v="2247.14"/>
        <n v="893.19"/>
        <n v="2328.9"/>
        <n v="2066.75"/>
        <n v="2182.31"/>
        <n v="2726.62"/>
        <n v="111.29"/>
        <n v="1100.09"/>
        <n v="1529.14"/>
        <n v="728.69"/>
        <n v="6.28"/>
        <n v="2569.77"/>
        <n v="1592.02"/>
        <n v="995.47"/>
        <n v="1240.31"/>
        <n v="118.37"/>
        <n v="2105.53"/>
        <n v="523"/>
        <n v="1075.3"/>
        <n v="3294.57"/>
        <n v="464.05"/>
        <n v="511.03"/>
        <n v="4.22"/>
        <n v="577.24"/>
        <n v="1426.03"/>
        <n v="1360.12"/>
        <n v="2071.1"/>
        <n v="979.84"/>
        <n v="537.39"/>
        <n v="213.32"/>
        <n v="1994.67"/>
        <n v="552.84"/>
        <n v="224.95"/>
        <n v="772.09"/>
        <n v="3149.21"/>
        <n v="57.53"/>
        <n v="824.81"/>
        <n v="1493.53"/>
        <n v="741.92"/>
        <n v="742.23"/>
        <n v="479.54"/>
        <n v="1175.25"/>
        <n v="227.45"/>
        <n v="1178.62"/>
        <n v="2422.1"/>
        <n v="433.88"/>
        <n v="3149.13"/>
        <n v="65.65"/>
        <n v="2492.14"/>
        <n v="931.84"/>
        <n v="619.51"/>
        <n v="1421.55"/>
        <n v="952.56"/>
        <n v="3154.14"/>
        <n v="226.14"/>
        <n v="885.92"/>
        <n v="2433.34"/>
        <n v="1154.34"/>
        <n v="1135.99"/>
        <n v="2751.84"/>
        <n v="1374.72"/>
        <n v="1318.37"/>
        <n v="441.74"/>
        <n v="1330.07"/>
        <n v="1634.86"/>
        <n v="70.6"/>
        <n v="1823.04"/>
        <n v="2015.99"/>
        <n v="244.13"/>
        <n v="2783.12"/>
        <n v="2050.31"/>
        <n v="147.12"/>
        <n v="1982.98"/>
        <n v="2299.3"/>
        <n v="462.61"/>
        <n v="1093.39"/>
        <n v="1454.22"/>
        <n v="2120.4"/>
        <n v="128.68"/>
        <n v="1325.96"/>
        <n v="2439.33"/>
        <n v="2201.54"/>
        <n v="814.36"/>
        <n v="1382.91"/>
        <n v="1646.43"/>
        <n v="400.84"/>
        <n v="1780.56"/>
        <n v="1118.43"/>
        <n v="771.12"/>
        <n v="1210.04"/>
        <n v="3024.03"/>
        <n v="2303.46"/>
        <n v="3083.8"/>
        <n v="322.71"/>
        <n v="731.29"/>
        <n v="1533.95"/>
        <n v="1571.66"/>
        <n v="250.73"/>
        <n v="3472.81"/>
        <n v="1206.04"/>
        <n v="2197.23"/>
        <n v="1620.6"/>
        <n v="1034.66"/>
        <n v="1905.42"/>
        <n v="541.56"/>
        <n v="1116.6"/>
        <n v="1455"/>
        <n v="1278.3"/>
        <n v="899.83"/>
        <n v="878.73"/>
        <n v="594.42"/>
        <n v="1617.85"/>
        <n v="972.91"/>
        <n v="42.56"/>
        <n v="1480.83"/>
        <n v="564.26"/>
        <n v="2137.21"/>
        <n v="1680.93"/>
        <n v="2905.06"/>
        <n v="842.09"/>
        <n v="3131.37"/>
        <n v="1444.72"/>
        <n v="2875.8"/>
        <n v="1641.61"/>
        <n v="1299.02"/>
        <n v="1118.56"/>
        <n v="1184.71"/>
        <n v="1201.47"/>
        <n v="880.99"/>
        <n v="2050.87"/>
        <n v="1737.9"/>
        <n v="1388.31"/>
        <n v="529.14"/>
        <n v="1972.38"/>
        <n v="876.81"/>
        <n v="824.26"/>
        <n v="1159.35"/>
        <n v="2513.51"/>
        <n v="3087.13"/>
        <n v="2717.15"/>
        <n v="901.79"/>
        <n v="796.15"/>
        <n v="157.82"/>
        <n v="819.06"/>
        <n v="1711.16"/>
        <n v="1696.35"/>
        <n v="2884.34"/>
        <n v="1483.74"/>
        <n v="3197.47"/>
        <n v="2322.7"/>
        <n v="1932.42"/>
        <n v="1590.36"/>
        <n v="395.61"/>
        <n v="2077.69"/>
        <n v="1330.85"/>
        <n v="2764.65"/>
        <n v="278.35"/>
        <n v="984.36"/>
        <n v="190.84"/>
        <n v="908.3"/>
        <n v="284.23"/>
        <n v="1229.34"/>
        <n v="1224.72"/>
        <n v="485.86"/>
        <n v="2210.94"/>
        <n v="571.89"/>
        <n v="3398.37"/>
        <n v="194.62"/>
        <n v="1031.64"/>
        <n v="495.19"/>
        <n v="1319.04"/>
        <n v="314.87"/>
        <n v="2210.17"/>
        <n v="1045"/>
        <n v="2132.19"/>
        <n v="2101.55"/>
        <n v="2125.44"/>
        <n v="712.75"/>
        <n v="1568.83"/>
        <n v="2074.34"/>
        <n v="757.59"/>
        <n v="415.96"/>
        <n v="1870.89"/>
        <n v="206.88"/>
        <n v="62.82"/>
        <n v="956.49"/>
        <n v="165.7"/>
        <n v="608.36"/>
        <n v="2665.91"/>
        <n v="587.95"/>
        <n v="2193.13"/>
        <n v="2187.8"/>
        <n v="1002.11"/>
        <n v="913.78"/>
        <n v="1843.51"/>
        <n v="1383.6"/>
        <n v="1588.53"/>
        <n v="1344.05"/>
        <n v="1290.29"/>
        <n v="221.58"/>
        <n v="360.34"/>
        <n v="2545.81"/>
        <n v="699.47"/>
        <n v="2738.69"/>
        <n v="94.78"/>
        <n v="2777.35"/>
        <n v="492.18"/>
        <n v="1921.65"/>
        <n v="290.33"/>
        <n v="602.92"/>
        <n v="2077.5"/>
        <n v="172.88"/>
        <n v="2778.74"/>
        <n v="309.47"/>
        <n v="666.41"/>
        <n v="744.27"/>
        <n v="12.69"/>
        <n v="651.56"/>
        <n v="754.22"/>
        <n v="2981.01"/>
        <n v="976.17"/>
        <n v="1145.9"/>
        <n v="1630.39"/>
        <n v="963.73"/>
        <n v="891.73"/>
        <n v="1667.82"/>
        <n v="1921.51"/>
        <n v="1217.43"/>
        <n v="970.27"/>
        <n v="1624.67"/>
        <n v="2606.11"/>
        <n v="434.72"/>
        <n v="1860.41"/>
        <n v="833.69"/>
        <n v="333.48"/>
        <n v="1784.7"/>
        <n v="1072.29"/>
        <n v="3028.05"/>
        <n v="987.24"/>
        <n v="975.43"/>
        <n v="141.43"/>
        <n v="1625.42"/>
        <n v="299.94"/>
        <n v="1503.96"/>
        <n v="3101.11"/>
        <n v="979.42"/>
        <n v="1186.26"/>
        <n v="1938.33"/>
        <n v="826.47"/>
        <n v="118.17"/>
        <n v="1425.87"/>
        <n v="1594.78"/>
        <n v="3342.11"/>
        <n v="1069.77"/>
        <n v="140.82"/>
        <n v="67.04"/>
        <n v="1276.67"/>
        <n v="2821.36"/>
        <n v="1559.19"/>
        <n v="656.66"/>
        <n v="2657.84"/>
        <n v="1424.74"/>
        <n v="2318.74"/>
        <n v="366.7"/>
        <n v="2797.41"/>
        <n v="2209.66"/>
        <n v="839.04"/>
        <n v="1139.15"/>
        <n v="1712.03"/>
        <n v="1054.29"/>
        <n v="2451.22"/>
        <n v="1251.21"/>
        <n v="1104.8"/>
        <n v="2383.41"/>
        <n v="213.06"/>
        <n v="2030.64"/>
        <n v="956.7"/>
        <n v="1447.68"/>
        <n v="2949.62"/>
        <n v="2580.57"/>
        <n v="1978.91"/>
        <n v="1481.45"/>
        <n v="1658.92"/>
        <n v="602.34"/>
        <n v="527.64"/>
        <n v="1841.9"/>
        <n v="1645.48"/>
        <n v="727.22"/>
        <n v="1233.79"/>
        <n v="1543.76"/>
        <n v="2115.19"/>
        <n v="1837.19"/>
        <n v="2858.93"/>
        <n v="289.92"/>
        <n v="997.2"/>
        <n v="47.29"/>
        <n v="754.24"/>
        <n v="901.48"/>
        <n v="113.08"/>
        <n v="868.62"/>
        <n v="347.9"/>
        <n v="1111.88"/>
        <n v="327.72"/>
        <n v="486.13"/>
        <n v="2066.6"/>
        <n v="86.2"/>
        <n v="2307.75"/>
        <n v="1112.81"/>
        <n v="1125.99"/>
        <n v="123.62"/>
        <n v="1731.75"/>
        <n v="3062.01"/>
        <n v="2200.41"/>
        <n v="601.49"/>
        <n v="947.77"/>
        <n v="2331.48"/>
        <n v="1417.24"/>
        <n v="699.5"/>
        <n v="1787.2"/>
        <n v="1698.75"/>
        <n v="724.7"/>
        <n v="1355.94"/>
        <n v="275.07"/>
        <n v="1802.44"/>
        <n v="1269.78"/>
        <n v="571.9"/>
        <n v="2755.04"/>
        <n v="962.51"/>
        <n v="668.27"/>
        <n v="1404.33"/>
        <n v="3589.89"/>
        <n v="233.51"/>
        <n v="124.25"/>
        <n v="1431.37"/>
        <n v="1595.52"/>
        <n v="1028.46"/>
        <n v="3230.35"/>
        <n v="2789.61"/>
        <n v="1897.74"/>
        <n v="902.47"/>
        <n v="722.87"/>
        <n v="1086.68"/>
        <n v="1010.75"/>
        <n v="411.48"/>
        <n v="413.34"/>
        <n v="1558.89"/>
        <n v="861.16"/>
        <n v="2296.25"/>
        <n v="2636.6"/>
        <n v="978.09"/>
        <n v="545.72"/>
        <n v="1435.54"/>
        <n v="2397.3"/>
        <n v="1853.86"/>
        <n v="45.98"/>
      </sharedItems>
    </cacheField>
    <cacheField name="UnitCost Inflation Factor" numFmtId="44">
      <sharedItems containsSemiMixedTypes="0" containsString="0" containsNumber="1" minValue="4.7264" maxValue="4100.3984" count="630">
        <n v="681.968"/>
        <n v="850.4496"/>
        <n v="1636.0512"/>
        <n v="286.6528"/>
        <n v="911.1312"/>
        <n v="662.6816"/>
        <n v="947.4864"/>
        <n v="52.8864"/>
        <n v="2834.5072"/>
        <n v="2586.7072"/>
        <n v="784.1344"/>
        <n v="774.3344"/>
        <n v="614.208"/>
        <n v="1611.6912"/>
        <n v="707.3584"/>
        <n v="952.896"/>
        <n v="1164.912"/>
        <n v="3030.2384"/>
        <n v="2660.4144"/>
        <n v="2405.9168"/>
        <n v="4100.3984"/>
        <n v="3251.4608"/>
        <n v="1391.9808"/>
        <n v="2860.1328"/>
        <n v="2339.8592"/>
        <n v="2892.9824"/>
        <n v="196.7504"/>
        <n v="849.2176"/>
        <n v="486.976"/>
        <n v="1866.1216"/>
        <n v="707.5936"/>
        <n v="2009.3584"/>
        <n v="2948.9824"/>
        <n v="1480.472"/>
        <n v="3401.2944"/>
        <n v="223.2944"/>
        <n v="1038.8112"/>
        <n v="1943.6592"/>
        <n v="1563.1168"/>
        <n v="508.9504"/>
        <n v="1770.6864"/>
        <n v="1970.9648"/>
        <n v="3589.04"/>
        <n v="1271.6816"/>
        <n v="1115.9232"/>
        <n v="1564.696"/>
        <n v="614.7568"/>
        <n v="3946.88"/>
        <n v="2044.6832"/>
        <n v="2006.3344"/>
        <n v="2945.32"/>
        <n v="119.056"/>
        <n v="432.0064"/>
        <n v="265.2944"/>
        <n v="46.928"/>
        <n v="1094.6656"/>
        <n v="3129.4256"/>
        <n v="786.184"/>
        <n v="1372.56"/>
        <n v="1609.5072"/>
        <n v="2141.3168"/>
        <n v="2905.0336"/>
        <n v="1393.3696"/>
        <n v="2142.0112"/>
        <n v="846.5744"/>
        <n v="1283.1504"/>
        <n v="1382.192"/>
        <n v="1375.3712"/>
        <n v="677.8576"/>
        <n v="2105.768"/>
        <n v="1421.728"/>
        <n v="695.4416"/>
        <n v="1630.6192"/>
        <n v="612.0016"/>
        <n v="1509.6704"/>
        <n v="1241.4416"/>
        <n v="3521.392"/>
        <n v="2347.2176"/>
        <n v="788.0544"/>
        <n v="2236.8528"/>
        <n v="3095.624"/>
        <n v="1683.9536"/>
        <n v="434.6048"/>
        <n v="49.9184"/>
        <n v="2025.2512"/>
        <n v="1439.3008"/>
        <n v="1879.5168"/>
        <n v="760.872"/>
        <n v="1243.1104"/>
        <n v="93.5984"/>
        <n v="1438.416"/>
        <n v="1021.1264"/>
        <n v="1573.6784"/>
        <n v="1085.2128"/>
        <n v="1219.4672"/>
        <n v="2783.1888"/>
        <n v="32.1328"/>
        <n v="2124.2144"/>
        <n v="469.4704"/>
        <n v="2241.3104"/>
        <n v="3477.2752"/>
        <n v="374.3936"/>
        <n v="2187.1696"/>
        <n v="271.3648"/>
        <n v="3325.1344"/>
        <n v="1561.616"/>
        <n v="17.2592"/>
        <n v="2520.9072"/>
        <n v="185.9648"/>
        <n v="399.336"/>
        <n v="1148.056"/>
        <n v="2010.5904"/>
        <n v="4.8944"/>
        <n v="244.72"/>
        <n v="279.8544"/>
        <n v="3848.9024"/>
        <n v="59.864"/>
        <n v="3886.064"/>
        <n v="695.5424"/>
        <n v="99.1312"/>
        <n v="2194.1808"/>
        <n v="3072.1264"/>
        <n v="1880.9504"/>
        <n v="1605.968"/>
        <n v="318.5616"/>
        <n v="778.1536"/>
        <n v="2070.1968"/>
        <n v="50.6128"/>
        <n v="404.432"/>
        <n v="1124.8608"/>
        <n v="1151.0576"/>
        <n v="524.2608"/>
        <n v="748.1824"/>
        <n v="601.7424"/>
        <n v="641.4352"/>
        <n v="2602.7344"/>
        <n v="1826.7648"/>
        <n v="440.5072"/>
        <n v="2078.8992"/>
        <n v="95.088"/>
        <n v="2522.5088"/>
        <n v="1032.2144"/>
        <n v="1840.3616"/>
        <n v="1643.2304"/>
        <n v="1118.6112"/>
        <n v="706.4064"/>
        <n v="816.0432"/>
        <n v="1065.6912"/>
        <n v="820.8256"/>
        <n v="2700.9024"/>
        <n v="636.4848"/>
        <n v="1405.544"/>
        <n v="947.016"/>
        <n v="2402.5904"/>
        <n v="1511.9328"/>
        <n v="590.7776"/>
        <n v="1849.2768"/>
        <n v="2220.0416"/>
        <n v="2858.4864"/>
        <n v="585.7712"/>
        <n v="1363.8352"/>
        <n v="1504.8768"/>
        <n v="337.904"/>
        <n v="1693.1152"/>
        <n v="2301.8688"/>
        <n v="438.088"/>
        <n v="2070.8464"/>
        <n v="1563.0272"/>
        <n v="602.6048"/>
        <n v="1365.1904"/>
        <n v="2309.5744"/>
        <n v="11.4016"/>
        <n v="2555.5264"/>
        <n v="279.5184"/>
        <n v="3668"/>
        <n v="2143.4112"/>
        <n v="33.7008"/>
        <n v="561.4672"/>
        <n v="460.5216"/>
        <n v="6.6304"/>
        <n v="2471.4256"/>
        <n v="2142.336"/>
        <n v="1548.1872"/>
        <n v="1518.2832"/>
        <n v="994.448"/>
        <n v="1143.1728"/>
        <n v="1562.9936"/>
        <n v="2546.2304"/>
        <n v="1391.208"/>
        <n v="1467.5248"/>
        <n v="1083.32"/>
        <n v="992.5664"/>
        <n v="885.4832"/>
        <n v="404.6896"/>
        <n v="2186.2848"/>
        <n v="1752.5312"/>
        <n v="954.8448"/>
        <n v="1641.1248"/>
        <n v="2962.6576"/>
        <n v="987.3584"/>
        <n v="700.0448"/>
        <n v="1089.8048"/>
        <n v="1730.7808"/>
        <n v="2523.8304"/>
        <n v="2740.1472"/>
        <n v="210.896"/>
        <n v="2870.3808"/>
        <n v="2021.7232"/>
        <n v="2313.6176"/>
        <n v="2650.4912"/>
        <n v="147.5712"/>
        <n v="1495.2224"/>
        <n v="3014.424"/>
        <n v="869.6352"/>
        <n v="356.3504"/>
        <n v="1395.9792"/>
        <n v="388.5952"/>
        <n v="565.3312"/>
        <n v="1049.9552"/>
        <n v="1456.6496"/>
        <n v="255.528"/>
        <n v="556.1024"/>
        <n v="3294.144"/>
        <n v="1218.784"/>
        <n v="2832.648"/>
        <n v="3021.7712"/>
        <n v="1660.68"/>
        <n v="1631.6272"/>
        <n v="1028.3728"/>
        <n v="54.8128"/>
        <n v="1044.1648"/>
        <n v="364.8848"/>
        <n v="454.6864"/>
        <n v="1779.7584"/>
        <n v="1604.736"/>
        <n v="1977.6512"/>
        <n v="3088.4448"/>
        <n v="978.6"/>
        <n v="289.5424"/>
        <n v="679.5712"/>
        <n v="1498.2128"/>
        <n v="2008.2496"/>
        <n v="137.4688"/>
        <n v="1039.2816"/>
        <n v="170.1056"/>
        <n v="2475.648"/>
        <n v="44.5088"/>
        <n v="1130.08"/>
        <n v="1852.0768"/>
        <n v="1137.584"/>
        <n v="1021.944"/>
        <n v="913.0128"/>
        <n v="2031.7472"/>
        <n v="849.9904"/>
        <n v="1867.5328"/>
        <n v="2870.056"/>
        <n v="834.8256"/>
        <n v="770.504"/>
        <n v="616.0784"/>
        <n v="2316.3952"/>
        <n v="2885.848"/>
        <n v="1169.4368"/>
        <n v="110.9248"/>
        <n v="2236.4272"/>
        <n v="1032.2816"/>
        <n v="2804.2448"/>
        <n v="2758.3024"/>
        <n v="555.744"/>
        <n v="1016.5008"/>
        <n v="374.2928"/>
        <n v="603.4448"/>
        <n v="1608.9248"/>
        <n v="1978.536"/>
        <n v="703.9648"/>
        <n v="1848.84"/>
        <n v="2516.7968"/>
        <n v="1000.3728"/>
        <n v="2608.368"/>
        <n v="2314.76"/>
        <n v="2444.1872"/>
        <n v="3053.8144"/>
        <n v="124.6448"/>
        <n v="1232.1008"/>
        <n v="1712.6368"/>
        <n v="816.1328"/>
        <n v="7.0336"/>
        <n v="2878.1424"/>
        <n v="1783.0624"/>
        <n v="1114.9264"/>
        <n v="1389.1472"/>
        <n v="132.5744"/>
        <n v="2358.1936"/>
        <n v="585.76"/>
        <n v="1204.336"/>
        <n v="3689.9184"/>
        <n v="519.736"/>
        <n v="572.3536"/>
        <n v="4.7264"/>
        <n v="646.5088"/>
        <n v="1597.1536"/>
        <n v="1523.3344"/>
        <n v="2319.632"/>
        <n v="1097.4208"/>
        <n v="601.8768"/>
        <n v="238.9184"/>
        <n v="2234.0304"/>
        <n v="619.1808"/>
        <n v="251.944"/>
        <n v="864.7408"/>
        <n v="3527.1152"/>
        <n v="64.4336"/>
        <n v="923.7872"/>
        <n v="1672.7536"/>
        <n v="830.9504"/>
        <n v="831.2976"/>
        <n v="537.0848"/>
        <n v="1316.28"/>
        <n v="254.744"/>
        <n v="1320.0544"/>
        <n v="2712.752"/>
        <n v="485.9456"/>
        <n v="3527.0256"/>
        <n v="73.528"/>
        <n v="2791.1968"/>
        <n v="1043.6608"/>
        <n v="693.8512"/>
        <n v="1592.136"/>
        <n v="1066.8672"/>
        <n v="3532.6368"/>
        <n v="253.2768"/>
        <n v="992.2304"/>
        <n v="2725.3408"/>
        <n v="1292.8608"/>
        <n v="1272.3088"/>
        <n v="3082.0608"/>
        <n v="1539.6864"/>
        <n v="1476.5744"/>
        <n v="494.7488"/>
        <n v="1489.6784"/>
        <n v="1831.0432"/>
        <n v="79.072"/>
        <n v="2041.8048"/>
        <n v="2257.9088"/>
        <n v="273.4256"/>
        <n v="3117.0944"/>
        <n v="2296.3472"/>
        <n v="164.7744"/>
        <n v="2220.9376"/>
        <n v="2575.216"/>
        <n v="518.1232"/>
        <n v="1224.5968"/>
        <n v="1628.7264"/>
        <n v="2374.848"/>
        <n v="144.1216"/>
        <n v="1485.0752"/>
        <n v="2732.0496"/>
        <n v="2465.7248"/>
        <n v="912.0832"/>
        <n v="1548.8592"/>
        <n v="1844.0016"/>
        <n v="448.9408"/>
        <n v="1994.2272"/>
        <n v="1252.6416"/>
        <n v="863.6544"/>
        <n v="1355.2448"/>
        <n v="3386.9136"/>
        <n v="2579.8752"/>
        <n v="3453.856"/>
        <n v="361.4352"/>
        <n v="819.0448"/>
        <n v="1718.024"/>
        <n v="1760.2592"/>
        <n v="280.8176"/>
        <n v="3889.5472"/>
        <n v="1350.7648"/>
        <n v="2460.8976"/>
        <n v="1815.072"/>
        <n v="1158.8192"/>
        <n v="2134.0704"/>
        <n v="606.5472"/>
        <n v="1250.592"/>
        <n v="1629.6"/>
        <n v="1431.696"/>
        <n v="1007.8096"/>
        <n v="984.1776"/>
        <n v="665.7504"/>
        <n v="1811.992"/>
        <n v="1089.6592"/>
        <n v="47.6672"/>
        <n v="1658.5296"/>
        <n v="631.9712"/>
        <n v="2393.6752"/>
        <n v="1882.6416"/>
        <n v="3253.6672"/>
        <n v="943.1408"/>
        <n v="3507.1344"/>
        <n v="1618.0864"/>
        <n v="3220.896"/>
        <n v="1838.6032"/>
        <n v="1454.9024"/>
        <n v="1252.7872"/>
        <n v="1326.8752"/>
        <n v="1345.6464"/>
        <n v="986.7088"/>
        <n v="2296.9744"/>
        <n v="1946.448"/>
        <n v="1554.9072"/>
        <n v="592.6368"/>
        <n v="2209.0656"/>
        <n v="982.0272"/>
        <n v="923.1712"/>
        <n v="1298.472"/>
        <n v="2815.1312"/>
        <n v="3457.5856"/>
        <n v="3043.208"/>
        <n v="1010.0048"/>
        <n v="891.688"/>
        <n v="176.7584"/>
        <n v="917.3472"/>
        <n v="1916.4992"/>
        <n v="1899.912"/>
        <n v="3230.4608"/>
        <n v="1661.7888"/>
        <n v="3581.1664"/>
        <n v="2601.424"/>
        <n v="2164.3104"/>
        <n v="1781.2032"/>
        <n v="443.0832"/>
        <n v="2327.0128"/>
        <n v="1490.552"/>
        <n v="3096.408"/>
        <n v="311.752"/>
        <n v="1102.4832"/>
        <n v="213.7408"/>
        <n v="1017.296"/>
        <n v="318.3376"/>
        <n v="1376.8608"/>
        <n v="1371.6864"/>
        <n v="544.1632"/>
        <n v="2476.2528"/>
        <n v="640.5168"/>
        <n v="3806.1744"/>
        <n v="217.9744"/>
        <n v="1155.4368"/>
        <n v="554.6128"/>
        <n v="1477.3248"/>
        <n v="352.6544"/>
        <n v="2475.3904"/>
        <n v="1170.4"/>
        <n v="2388.0528"/>
        <n v="2353.736"/>
        <n v="2380.4928"/>
        <n v="798.28"/>
        <n v="1757.0896"/>
        <n v="2323.2608"/>
        <n v="848.5008"/>
        <n v="465.8752"/>
        <n v="2095.3968"/>
        <n v="231.7056"/>
        <n v="70.3584"/>
        <n v="1071.2688"/>
        <n v="185.584"/>
        <n v="681.3632"/>
        <n v="2985.8192"/>
        <n v="658.504"/>
        <n v="2456.3056"/>
        <n v="2450.336"/>
        <n v="1122.3632"/>
        <n v="1023.4336"/>
        <n v="2064.7312"/>
        <n v="1549.632"/>
        <n v="1779.1536"/>
        <n v="1505.336"/>
        <n v="1445.1248"/>
        <n v="248.1696"/>
        <n v="403.5808"/>
        <n v="2851.3072"/>
        <n v="783.4064"/>
        <n v="3067.3328"/>
        <n v="106.1536"/>
        <n v="3110.632"/>
        <n v="551.2416"/>
        <n v="2152.248"/>
        <n v="325.1696"/>
        <n v="675.2704"/>
        <n v="2326.8"/>
        <n v="193.6256"/>
        <n v="3112.1888"/>
        <n v="346.6064"/>
        <n v="746.3792"/>
        <n v="833.5824"/>
        <n v="14.2128"/>
        <n v="729.7472"/>
        <n v="844.7264"/>
        <n v="3338.7312"/>
        <n v="1093.3104"/>
        <n v="1283.408"/>
        <n v="1826.0368"/>
        <n v="1079.3776"/>
        <n v="998.7376"/>
        <n v="1867.9584"/>
        <n v="2152.0912"/>
        <n v="1363.5216"/>
        <n v="1086.7024"/>
        <n v="1819.6304"/>
        <n v="2918.8432"/>
        <n v="486.8864"/>
        <n v="2083.6592"/>
        <n v="933.7328"/>
        <n v="373.4976"/>
        <n v="1998.864"/>
        <n v="1200.9648"/>
        <n v="3391.416"/>
        <n v="1105.7088"/>
        <n v="1092.4816"/>
        <n v="158.4016"/>
        <n v="1820.4704"/>
        <n v="335.9328"/>
        <n v="1684.4352"/>
        <n v="3473.2432"/>
        <n v="1096.9504"/>
        <n v="1328.6112"/>
        <n v="2170.9296"/>
        <n v="925.6464"/>
        <n v="132.3504"/>
        <n v="1596.9744"/>
        <n v="1786.1536"/>
        <n v="3743.1632"/>
        <n v="1198.1424"/>
        <n v="157.7184"/>
        <n v="75.0848"/>
        <n v="1429.8704"/>
        <n v="3159.9232"/>
        <n v="1746.2928"/>
        <n v="735.4592"/>
        <n v="2976.7808"/>
        <n v="1595.7088"/>
        <n v="2596.9888"/>
        <n v="410.704"/>
        <n v="3133.0992"/>
        <n v="2474.8192"/>
        <n v="939.7248"/>
        <n v="1275.848"/>
        <n v="1917.4736"/>
        <n v="1180.8048"/>
        <n v="2745.3664"/>
        <n v="1401.3552"/>
        <n v="1237.376"/>
        <n v="2669.4192"/>
        <n v="238.6272"/>
        <n v="2274.3168"/>
        <n v="1071.504"/>
        <n v="1621.4016"/>
        <n v="3303.5744"/>
        <n v="2890.2384"/>
        <n v="2216.3792"/>
        <n v="1659.224"/>
        <n v="1857.9904"/>
        <n v="674.6208"/>
        <n v="590.9568"/>
        <n v="2062.928"/>
        <n v="1842.9376"/>
        <n v="814.4864"/>
        <n v="1381.8448"/>
        <n v="1729.0112"/>
        <n v="2369.0128"/>
        <n v="2057.6528"/>
        <n v="3202.0016"/>
        <n v="324.7104"/>
        <n v="1116.864"/>
        <n v="52.9648"/>
        <n v="844.7488"/>
        <n v="1009.6576"/>
        <n v="126.6496"/>
        <n v="972.8544"/>
        <n v="389.648"/>
        <n v="1245.3056"/>
        <n v="367.0464"/>
        <n v="544.4656"/>
        <n v="2314.592"/>
        <n v="96.544"/>
        <n v="2584.68"/>
        <n v="1246.3472"/>
        <n v="1261.1088"/>
        <n v="138.4544"/>
        <n v="1939.56"/>
        <n v="3429.4512"/>
        <n v="2464.4592"/>
        <n v="673.6688"/>
        <n v="1061.5024"/>
        <n v="2611.2576"/>
        <n v="1587.3088"/>
        <n v="783.44"/>
        <n v="2001.664"/>
        <n v="1902.6"/>
        <n v="811.664"/>
        <n v="1518.6528"/>
        <n v="308.0784"/>
        <n v="2018.7328"/>
        <n v="1422.1536"/>
        <n v="640.528"/>
        <n v="3085.6448"/>
        <n v="1078.0112"/>
        <n v="748.4624"/>
        <n v="1572.8496"/>
        <n v="4020.6768"/>
        <n v="261.5312"/>
        <n v="139.16"/>
        <n v="1603.1344"/>
        <n v="1786.9824"/>
        <n v="1151.8752"/>
        <n v="3617.992"/>
        <n v="3124.3632"/>
        <n v="2125.4688"/>
        <n v="1010.7664"/>
        <n v="809.6144"/>
        <n v="1217.0816"/>
        <n v="1132.04"/>
        <n v="460.8576"/>
        <n v="462.9408"/>
        <n v="1745.9568"/>
        <n v="964.4992"/>
        <n v="2571.8"/>
        <n v="2952.992"/>
        <n v="1095.4608"/>
        <n v="611.2064"/>
        <n v="1607.8048"/>
        <n v="2684.976"/>
        <n v="2076.3232"/>
        <n v="51.4976"/>
      </sharedItems>
    </cacheField>
    <cacheField name="Derived Price Band" numFmtId="44">
      <sharedItems count="3">
        <s v="Low"/>
        <s v="Medium"/>
        <s v="High"/>
      </sharedItems>
    </cacheField>
    <cacheField name="DiscountPct" numFmtId="184">
      <sharedItems containsSemiMixedTypes="0" containsString="0" containsNumber="1" minValue="0" maxValue="0.565" count="228">
        <n v="0.112"/>
        <n v="0.237"/>
        <n v="0.131"/>
        <n v="0.072"/>
        <n v="0.102"/>
        <n v="0"/>
        <n v="0.147"/>
        <n v="0.194"/>
        <n v="0.031"/>
        <n v="0.149"/>
        <n v="0.006"/>
        <n v="0.25"/>
        <n v="0.094"/>
        <n v="0.074"/>
        <n v="0.109"/>
        <n v="0.183"/>
        <n v="0.038"/>
        <n v="0.143"/>
        <n v="0.12"/>
        <n v="0.01"/>
        <n v="0.007"/>
        <n v="0.168"/>
        <n v="0.125"/>
        <n v="0.139"/>
        <n v="0.087"/>
        <n v="0.089"/>
        <n v="0.084"/>
        <n v="0.101"/>
        <n v="0.243"/>
        <n v="0.136"/>
        <n v="0.175"/>
        <n v="0.129"/>
        <n v="0.037"/>
        <n v="0.318"/>
        <n v="0.146"/>
        <n v="0.182"/>
        <n v="0.169"/>
        <n v="0.187"/>
        <n v="0.126"/>
        <n v="0.292"/>
        <n v="0.295"/>
        <n v="0.144"/>
        <n v="0.035"/>
        <n v="0.075"/>
        <n v="0.205"/>
        <n v="0.119"/>
        <n v="0.11"/>
        <n v="0.2"/>
        <n v="0.255"/>
        <n v="0.13"/>
        <n v="0.184"/>
        <n v="0.189"/>
        <n v="0.105"/>
        <n v="0.204"/>
        <n v="0.05"/>
        <n v="0.068"/>
        <n v="0.142"/>
        <n v="0.185"/>
        <n v="0.047"/>
        <n v="0.343"/>
        <n v="0.114"/>
        <n v="0.134"/>
        <n v="0.257"/>
        <n v="0.186"/>
        <n v="0.161"/>
        <n v="0.241"/>
        <n v="0.215"/>
        <n v="0.104"/>
        <n v="0.07"/>
        <n v="0.154"/>
        <n v="0.188"/>
        <n v="0.03"/>
        <n v="0.066"/>
        <n v="0.096"/>
        <n v="0.099"/>
        <n v="0.16"/>
        <n v="0.034"/>
        <n v="0.092"/>
        <n v="0.14"/>
        <n v="0.18"/>
        <n v="0.278"/>
        <n v="0.137"/>
        <n v="0.123"/>
        <n v="0.229"/>
        <n v="0.012"/>
        <n v="0.118"/>
        <n v="0.108"/>
        <n v="0.157"/>
        <n v="0.071"/>
        <n v="0.043"/>
        <n v="0.069"/>
        <n v="0.203"/>
        <n v="0.057"/>
        <n v="0.073"/>
        <n v="0.179"/>
        <n v="0.111"/>
        <n v="0.063"/>
        <n v="0.22"/>
        <n v="0.192"/>
        <n v="0.009"/>
        <n v="0.265"/>
        <n v="0.259"/>
        <n v="0.151"/>
        <n v="0.245"/>
        <n v="0.082"/>
        <n v="0.107"/>
        <n v="0.021"/>
        <n v="0.045"/>
        <n v="0.018"/>
        <n v="0.025"/>
        <n v="0.127"/>
        <n v="0.181"/>
        <n v="0.133"/>
        <n v="0.02"/>
        <n v="0.053"/>
        <n v="0.197"/>
        <n v="0.254"/>
        <n v="0.078"/>
        <n v="0.022"/>
        <n v="0.091"/>
        <n v="0.177"/>
        <n v="0.056"/>
        <n v="0.173"/>
        <n v="0.212"/>
        <n v="0.196"/>
        <n v="0.153"/>
        <n v="0.211"/>
        <n v="0.233"/>
        <n v="0.236"/>
        <n v="0.159"/>
        <n v="0.051"/>
        <n v="0.155"/>
        <n v="0.258"/>
        <n v="0.055"/>
        <n v="0.029"/>
        <n v="0.148"/>
        <n v="0.152"/>
        <n v="0.128"/>
        <n v="0.201"/>
        <n v="0.113"/>
        <n v="0.004"/>
        <n v="0.266"/>
        <n v="0.093"/>
        <n v="0.067"/>
        <n v="0.116"/>
        <n v="0.172"/>
        <n v="0.235"/>
        <n v="0.086"/>
        <n v="0.095"/>
        <n v="0.238"/>
        <n v="0.167"/>
        <n v="0.263"/>
        <n v="0.225"/>
        <n v="0.122"/>
        <n v="0.216"/>
        <n v="0.174"/>
        <n v="0.164"/>
        <n v="0.135"/>
        <n v="0.115"/>
        <n v="0.138"/>
        <n v="0.317"/>
        <n v="0.156"/>
        <n v="0.207"/>
        <n v="0.059"/>
        <n v="0.08"/>
        <n v="0.1"/>
        <n v="0.176"/>
        <n v="0.088"/>
        <n v="0.09"/>
        <n v="0.141"/>
        <n v="0.014"/>
        <n v="0.076"/>
        <n v="0.103"/>
        <n v="0.121"/>
        <n v="0.042"/>
        <n v="0.346"/>
        <n v="0.065"/>
        <n v="0.239"/>
        <n v="0.27"/>
        <n v="0.028"/>
        <n v="0.145"/>
        <n v="0.158"/>
        <n v="0.21"/>
        <n v="0.24"/>
        <n v="0.299"/>
        <n v="0.565"/>
        <n v="0.282"/>
        <n v="0.261"/>
        <n v="0.039"/>
        <n v="0.17"/>
        <n v="0.272"/>
        <n v="0.132"/>
        <n v="0.106"/>
        <n v="0.058"/>
        <n v="0.256"/>
        <n v="0.032"/>
        <n v="0.163"/>
        <n v="0.19"/>
        <n v="0.357"/>
        <n v="0.098"/>
        <n v="0.083"/>
        <n v="0.064"/>
        <n v="0.077"/>
        <n v="0.217"/>
        <n v="0.226"/>
        <n v="0.019"/>
        <n v="0.314"/>
        <n v="0.214"/>
        <n v="0.041"/>
        <n v="0.15"/>
        <n v="0.293"/>
        <n v="0.165"/>
        <n v="0.017"/>
        <n v="0.124"/>
        <n v="0.23"/>
        <n v="0.046"/>
        <n v="0.049"/>
        <n v="0.222"/>
        <n v="0.218"/>
        <n v="0.209"/>
        <n v="0.248"/>
        <n v="0.044"/>
        <n v="0.208"/>
        <n v="0.054"/>
        <n v="0.097"/>
        <n v="0.171"/>
        <n v="0.081"/>
        <n v="0.062"/>
      </sharedItems>
    </cacheField>
    <cacheField name="DiscountPct&gt; 20%" numFmtId="183">
      <sharedItems count="2">
        <s v="Okay"/>
        <s v="High Discount"/>
      </sharedItems>
    </cacheField>
    <cacheField name="Global DiscountCap" numFmtId="184">
      <sharedItems containsSemiMixedTypes="0" containsString="0" containsNumber="1" minValue="0" maxValue="0.25" count="203">
        <n v="0.112"/>
        <n v="0.237"/>
        <n v="0.131"/>
        <n v="0.072"/>
        <n v="0.102"/>
        <n v="0"/>
        <n v="0.147"/>
        <n v="0.194"/>
        <n v="0.031"/>
        <n v="0.149"/>
        <n v="0.006"/>
        <n v="0.25"/>
        <n v="0.094"/>
        <n v="0.074"/>
        <n v="0.109"/>
        <n v="0.183"/>
        <n v="0.038"/>
        <n v="0.143"/>
        <n v="0.12"/>
        <n v="0.01"/>
        <n v="0.007"/>
        <n v="0.168"/>
        <n v="0.125"/>
        <n v="0.139"/>
        <n v="0.087"/>
        <n v="0.089"/>
        <n v="0.084"/>
        <n v="0.101"/>
        <n v="0.243"/>
        <n v="0.136"/>
        <n v="0.175"/>
        <n v="0.129"/>
        <n v="0.037"/>
        <n v="0.23"/>
        <n v="0.146"/>
        <n v="0.182"/>
        <n v="0.169"/>
        <n v="0.187"/>
        <n v="0.126"/>
        <n v="0.144"/>
        <n v="0.035"/>
        <n v="0.075"/>
        <n v="0.205"/>
        <n v="0.119"/>
        <n v="0.11"/>
        <n v="0.2"/>
        <n v="0.13"/>
        <n v="0.184"/>
        <n v="0.189"/>
        <n v="0.105"/>
        <n v="0.204"/>
        <n v="0.05"/>
        <n v="0.068"/>
        <n v="0.142"/>
        <n v="0.185"/>
        <n v="0.047"/>
        <n v="0.114"/>
        <n v="0.134"/>
        <n v="0.186"/>
        <n v="0.161"/>
        <n v="0.241"/>
        <n v="0.215"/>
        <n v="0.104"/>
        <n v="0.07"/>
        <n v="0.154"/>
        <n v="0.188"/>
        <n v="0.03"/>
        <n v="0.066"/>
        <n v="0.096"/>
        <n v="0.099"/>
        <n v="0.16"/>
        <n v="0.034"/>
        <n v="0.092"/>
        <n v="0.14"/>
        <n v="0.18"/>
        <n v="0.137"/>
        <n v="0.123"/>
        <n v="0.229"/>
        <n v="0.012"/>
        <n v="0.118"/>
        <n v="0.108"/>
        <n v="0.157"/>
        <n v="0.071"/>
        <n v="0.043"/>
        <n v="0.069"/>
        <n v="0.203"/>
        <n v="0.057"/>
        <n v="0.073"/>
        <n v="0.179"/>
        <n v="0.111"/>
        <n v="0.063"/>
        <n v="0.22"/>
        <n v="0.192"/>
        <n v="0.009"/>
        <n v="0.151"/>
        <n v="0.245"/>
        <n v="0.082"/>
        <n v="0.107"/>
        <n v="0.021"/>
        <n v="0.045"/>
        <n v="0.018"/>
        <n v="0.025"/>
        <n v="0.127"/>
        <n v="0.181"/>
        <n v="0.133"/>
        <n v="0.02"/>
        <n v="0.053"/>
        <n v="0.197"/>
        <n v="0.078"/>
        <n v="0.022"/>
        <n v="0.091"/>
        <n v="0.177"/>
        <n v="0.056"/>
        <n v="0.173"/>
        <n v="0.212"/>
        <n v="0.196"/>
        <n v="0.153"/>
        <n v="0.211"/>
        <n v="0.233"/>
        <n v="0.236"/>
        <n v="0.159"/>
        <n v="0.051"/>
        <n v="0.155"/>
        <n v="0.055"/>
        <n v="0.029"/>
        <n v="0.148"/>
        <n v="0.152"/>
        <n v="0.128"/>
        <n v="0.201"/>
        <n v="0.113"/>
        <n v="0.004"/>
        <n v="0.093"/>
        <n v="0.067"/>
        <n v="0.116"/>
        <n v="0.172"/>
        <n v="0.235"/>
        <n v="0.086"/>
        <n v="0.095"/>
        <n v="0.238"/>
        <n v="0.167"/>
        <n v="0.225"/>
        <n v="0.122"/>
        <n v="0.216"/>
        <n v="0.174"/>
        <n v="0.164"/>
        <n v="0.135"/>
        <n v="0.115"/>
        <n v="0.138"/>
        <n v="0.156"/>
        <n v="0.207"/>
        <n v="0.059"/>
        <n v="0.08"/>
        <n v="0.1"/>
        <n v="0.176"/>
        <n v="0.088"/>
        <n v="0.09"/>
        <n v="0.141"/>
        <n v="0.014"/>
        <n v="0.076"/>
        <n v="0.103"/>
        <n v="0.121"/>
        <n v="0.042"/>
        <n v="0.065"/>
        <n v="0.239"/>
        <n v="0.028"/>
        <n v="0.145"/>
        <n v="0.158"/>
        <n v="0.21"/>
        <n v="0.24"/>
        <n v="0.039"/>
        <n v="0.17"/>
        <n v="0.132"/>
        <n v="0.106"/>
        <n v="0.058"/>
        <n v="0.032"/>
        <n v="0.163"/>
        <n v="0.19"/>
        <n v="0.098"/>
        <n v="0.083"/>
        <n v="0.064"/>
        <n v="0.077"/>
        <n v="0.217"/>
        <n v="0.226"/>
        <n v="0.019"/>
        <n v="0.214"/>
        <n v="0.041"/>
        <n v="0.15"/>
        <n v="0.165"/>
        <n v="0.017"/>
        <n v="0.124"/>
        <n v="0.046"/>
        <n v="0.049"/>
        <n v="0.222"/>
        <n v="0.218"/>
        <n v="0.209"/>
        <n v="0.248"/>
        <n v="0.044"/>
        <n v="0.208"/>
        <n v="0.054"/>
        <n v="0.097"/>
        <n v="0.171"/>
        <n v="0.081"/>
        <n v="0.062"/>
      </sharedItems>
    </cacheField>
    <cacheField name="Quantity" numFmtId="183">
      <sharedItems containsSemiMixedTypes="0" containsString="0" containsNumber="1" containsInteger="1" minValue="2" maxValue="61" count="52">
        <n v="9"/>
        <n v="31"/>
        <n v="12"/>
        <n v="22"/>
        <n v="15"/>
        <n v="7"/>
        <n v="4"/>
        <n v="18"/>
        <n v="6"/>
        <n v="23"/>
        <n v="20"/>
        <n v="10"/>
        <n v="28"/>
        <n v="16"/>
        <n v="19"/>
        <n v="8"/>
        <n v="14"/>
        <n v="17"/>
        <n v="37"/>
        <n v="27"/>
        <n v="13"/>
        <n v="11"/>
        <n v="24"/>
        <n v="38"/>
        <n v="56"/>
        <n v="51"/>
        <n v="40"/>
        <n v="5"/>
        <n v="3"/>
        <n v="26"/>
        <n v="25"/>
        <n v="30"/>
        <n v="39"/>
        <n v="2"/>
        <n v="44"/>
        <n v="50"/>
        <n v="47"/>
        <n v="46"/>
        <n v="36"/>
        <n v="41"/>
        <n v="60"/>
        <n v="61"/>
        <n v="21"/>
        <n v="53"/>
        <n v="43"/>
        <n v="34"/>
        <n v="35"/>
        <n v="42"/>
        <n v="32"/>
        <n v="33"/>
        <n v="55"/>
        <n v="29"/>
      </sharedItems>
    </cacheField>
    <cacheField name="Quantity Uplift" numFmtId="179">
      <sharedItems containsSemiMixedTypes="0" containsString="0" containsNumber="1" minValue="2.4" maxValue="73.2" count="52">
        <n v="10.8"/>
        <n v="37.2"/>
        <n v="14.4"/>
        <n v="26.4"/>
        <n v="18"/>
        <n v="8.4"/>
        <n v="4.8"/>
        <n v="21.6"/>
        <n v="7.2"/>
        <n v="27.6"/>
        <n v="24"/>
        <n v="12"/>
        <n v="33.6"/>
        <n v="19.2"/>
        <n v="22.8"/>
        <n v="9.6"/>
        <n v="16.8"/>
        <n v="20.4"/>
        <n v="44.4"/>
        <n v="32.4"/>
        <n v="15.6"/>
        <n v="13.2"/>
        <n v="28.8"/>
        <n v="45.6"/>
        <n v="67.2"/>
        <n v="61.2"/>
        <n v="48"/>
        <n v="6"/>
        <n v="3.6"/>
        <n v="31.2"/>
        <n v="30"/>
        <n v="36"/>
        <n v="46.8"/>
        <n v="2.4"/>
        <n v="52.8"/>
        <n v="60"/>
        <n v="56.4"/>
        <n v="55.2"/>
        <n v="43.2"/>
        <n v="49.2"/>
        <n v="72"/>
        <n v="73.2"/>
        <n v="25.2"/>
        <n v="63.6"/>
        <n v="51.6"/>
        <n v="40.8"/>
        <n v="42"/>
        <n v="50.4"/>
        <n v="38.4"/>
        <n v="39.6"/>
        <n v="66"/>
        <n v="34.8"/>
      </sharedItems>
    </cacheField>
    <cacheField name="GrossRevenue" numFmtId="44">
      <sharedItems containsSemiMixedTypes="0" containsString="0" containsNumber="1" minValue="18.65984" maxValue="139277.83032" count="632">
        <n v="4866.3288"/>
        <n v="17960.43249"/>
        <n v="15232.80528"/>
        <n v="5225.27104"/>
        <n v="10957.9797"/>
        <n v="4141.76"/>
        <n v="2886.44964"/>
        <n v="685.06776"/>
        <n v="14714.12934"/>
        <n v="60928.50236"/>
        <n v="16006.14344"/>
        <n v="10370.55"/>
        <n v="4968.504"/>
        <n v="21585.15"/>
        <n v="7578.84"/>
        <n v="7090.5672"/>
        <n v="25948.4148"/>
        <n v="35367.21104"/>
        <n v="38096.18406"/>
        <n v="39263.70292"/>
        <n v="23782.31072"/>
        <n v="19903.58504"/>
        <n v="10936.992"/>
        <n v="20225.2248"/>
        <n v="24894.43056"/>
        <n v="8596.29056"/>
        <n v="1756.7"/>
        <n v="3980.7075"/>
        <n v="3913.2"/>
        <n v="20084.13372"/>
        <n v="9805.85738"/>
        <n v="26150.36432"/>
        <n v="9647.38528"/>
        <n v="13218.5"/>
        <n v="27331.83"/>
        <n v="6631.64431"/>
        <n v="18957.37689"/>
        <n v="11995.15392"/>
        <n v="14968.239"/>
        <n v="3562.19838"/>
        <n v="41106.80097"/>
        <n v="10558.74"/>
        <n v="30596.566"/>
        <n v="10666.22942"/>
        <n v="17930.49456"/>
        <n v="32506.5594"/>
        <n v="7135.57"/>
        <n v="109244"/>
        <n v="35621.30232"/>
        <n v="34444.46236"/>
        <n v="14894.904"/>
        <n v="599.532"/>
        <n v="5785.8"/>
        <n v="2518.87558"/>
        <n v="215.1984"/>
        <n v="31680.79532"/>
        <n v="29659.68995"/>
        <n v="4790.1068"/>
        <n v="63480.9"/>
        <n v="4569.8508"/>
        <n v="33687.5018"/>
        <n v="27701.5704"/>
        <n v="10947.904"/>
        <n v="72665.81745"/>
        <n v="26304.276"/>
        <n v="12153.26736"/>
        <n v="16013.6816"/>
        <n v="14287.89635"/>
        <n v="8671.73544"/>
        <n v="8930.7125"/>
        <n v="10647.7272"/>
        <n v="6393.09528"/>
        <n v="20171.63305"/>
        <n v="9373.46022"/>
        <n v="4427.9172"/>
        <n v="6874.48286"/>
        <n v="35396.2778"/>
        <n v="33062.23648"/>
        <n v="10455.7932"/>
        <n v="4877.13798"/>
        <n v="60292.8053"/>
        <n v="18258.86832"/>
        <n v="5331.6696"/>
        <n v="524.81175"/>
        <n v="21062.61248"/>
        <n v="13146.4707"/>
        <n v="14197.0644"/>
        <n v="1654.8966"/>
        <n v="11842.8464"/>
        <n v="624.43504"/>
        <n v="8324.8326"/>
        <n v="19510.808"/>
        <n v="10161.46624"/>
        <n v="20079.34362"/>
        <n v="5487.6024"/>
        <n v="43209.00612"/>
        <n v="147.00756"/>
        <n v="34139.16"/>
        <n v="5328.48904"/>
        <n v="25502.91048"/>
        <n v="52780.07"/>
        <n v="6324.5776"/>
        <n v="13669.81"/>
        <n v="5960.334"/>
        <n v="12335.65485"/>
        <n v="12080.2152"/>
        <n v="518.65437"/>
        <n v="23687.52444"/>
        <n v="1660.4"/>
        <n v="549.8001"/>
        <n v="27676.35"/>
        <n v="30151.67532"/>
        <n v="34.68906"/>
        <n v="2117.4835"/>
        <n v="1499.22"/>
        <n v="24523.00672"/>
        <n v="765.99195"/>
        <n v="65119.3296"/>
        <n v="5769.2758"/>
        <n v="592.92849"/>
        <n v="39516.80439"/>
        <n v="22983.34563"/>
        <n v="16061.97288"/>
        <n v="10817.3416"/>
        <n v="2072.92584"/>
        <n v="8909.85872"/>
        <n v="65111.38614"/>
        <n v="853.32277"/>
        <n v="2642.1687"/>
        <n v="16071.44868"/>
        <n v="7703.86408"/>
        <n v="4417.83342"/>
        <n v="8336.8896"/>
        <n v="3494.40408"/>
        <n v="12031.49168"/>
        <n v="27370.54086"/>
        <n v="9698.16384"/>
        <n v="4336.24275"/>
        <n v="35567.73792"/>
        <n v="1446.9507"/>
        <n v="87404.92992"/>
        <n v="8211.6342"/>
        <n v="32086.37586"/>
        <n v="9969.42015"/>
        <n v="25672.12704"/>
        <n v="12954.35808"/>
        <n v="3562.9029"/>
        <n v="13321.14"/>
        <n v="14877.464"/>
        <n v="42495.80544"/>
        <n v="7901.50416"/>
        <n v="21572.5905"/>
        <n v="4139.8128"/>
        <n v="29654.83008"/>
        <n v="11015.5104"/>
        <n v="8909.66468"/>
        <n v="7203.8047"/>
        <n v="24147.9225"/>
        <n v="10382.65884"/>
        <n v="29263.75452"/>
        <n v="22044.8715"/>
        <n v="5650.1744"/>
        <n v="8154.55116"/>
        <n v="12194.714"/>
        <n v="11851.8064"/>
        <n v="85637.74032"/>
        <n v="14448.2987"/>
        <n v="12413.98458"/>
        <n v="6824.2884"/>
        <n v="2316.2622"/>
        <n v="14549.02912"/>
        <n v="8928.9796"/>
        <n v="97.0154"/>
        <n v="31556.1876"/>
        <n v="1952.63568"/>
        <n v="92715.25"/>
        <n v="15656.47056"/>
        <n v="321.93291"/>
        <n v="7098.5496"/>
        <n v="4420.59618"/>
        <n v="18.65984"/>
        <n v="41352.2462"/>
        <n v="7689.456"/>
        <n v="8698.87683"/>
        <n v="26408.63841"/>
        <n v="10388.43"/>
        <n v="4831.94646"/>
        <n v="26759.28775"/>
        <n v="28072.19016"/>
        <n v="8590.7094"/>
        <n v="19542.97535"/>
        <n v="8763.285"/>
        <n v="24374.59488"/>
        <n v="4402.11648"/>
        <n v="3928.37976"/>
        <n v="31191.64716"/>
        <n v="21679.7498"/>
        <n v="11326.84644"/>
        <n v="8349.22242"/>
        <n v="55880.48375"/>
        <n v="14963.76918"/>
        <n v="4637.7968"/>
        <n v="25299.04"/>
        <n v="47962.71758"/>
        <n v="25553.7828"/>
        <n v="26131.70736"/>
        <n v="6702.3502"/>
        <n v="28386.01584"/>
        <n v="15825.39937"/>
        <n v="17847.9072"/>
        <n v="18061.20432"/>
        <n v="1774.8072"/>
        <n v="6984.82464"/>
        <n v="24223.05"/>
        <n v="7854.66936"/>
        <n v="15253.0698"/>
        <n v="7738.95969"/>
        <n v="2231.64672"/>
        <n v="6535.63248"/>
        <n v="28211.92124"/>
        <n v="13519.5291"/>
        <n v="908.037"/>
        <n v="4503.4364"/>
        <n v="66988.7712"/>
        <n v="15490.527"/>
        <n v="21573.6495"/>
        <n v="30479.41897"/>
        <n v="5533.623"/>
        <n v="16609.09081"/>
        <n v="7446.5209"/>
        <n v="667.15008"/>
        <n v="5814.69273"/>
        <n v="2879.9836"/>
        <n v="5280.85776"/>
        <n v="14269.8486"/>
        <n v="17359.8048"/>
        <n v="37038.58176"/>
        <n v="139277.83032"/>
        <n v="6684.1875"/>
        <n v="3823.5108"/>
        <n v="4436.62912"/>
        <n v="9684.8756"/>
        <n v="34082.86464"/>
        <n v="748.22304"/>
        <n v="12248.676"/>
        <n v="2909.86892"/>
        <n v="9774.3888"/>
        <n v="607.30668"/>
        <n v="3592.04"/>
        <n v="11813.60416"/>
        <n v="12186.3686"/>
        <n v="17453.3436"/>
        <n v="17689.623"/>
        <n v="25483.91488"/>
        <n v="6468.27516"/>
        <n v="24161.2056"/>
        <n v="19073.05965"/>
        <n v="2394.16056"/>
        <n v="4375.362"/>
        <n v="7568.9632"/>
        <n v="22882.67544"/>
        <n v="17964.4038"/>
        <n v="8186.0576"/>
        <n v="560.36832"/>
        <n v="40139.87462"/>
        <n v="12597.52224"/>
        <n v="38818.76016"/>
        <n v="17594.02888"/>
        <n v="6946.8"/>
        <n v="7678.2114"/>
        <n v="7235.2135"/>
        <n v="7120.64864"/>
        <n v="34632.10632"/>
        <n v="29536.716"/>
        <n v="11417.4291"/>
        <n v="8567.3925"/>
        <n v="79548.756"/>
        <n v="6066.54648"/>
        <n v="34840.344"/>
        <n v="8907.6925"/>
        <n v="17441.02152"/>
        <n v="13035.97022"/>
        <n v="667.74"/>
        <n v="11696.15688"/>
        <n v="15505.4796"/>
        <n v="3978.6474"/>
        <n v="76.13872"/>
        <n v="20028.78738"/>
        <n v="26765.04024"/>
        <n v="10456.41688"/>
        <n v="19066.04532"/>
        <n v="1098.94708"/>
        <n v="23375.59406"/>
        <n v="7382.145"/>
        <n v="8903.484"/>
        <n v="20455.98513"/>
        <n v="4241.88105"/>
        <n v="3190.87132"/>
        <n v="66.92076"/>
        <n v="12699.28"/>
        <n v="25577.27408"/>
        <n v="9866.31048"/>
        <n v="39686.4182"/>
        <n v="8093.4784"/>
        <n v="5932.7856"/>
        <n v="1641.71072"/>
        <n v="43084.872"/>
        <n v="3644.32128"/>
        <n v="5334.9142"/>
        <n v="9847.23586"/>
        <n v="30799.2738"/>
        <n v="879.0584"/>
        <n v="11283.4008"/>
        <n v="40325.31"/>
        <n v="5032.44336"/>
        <n v="8780.5809"/>
        <n v="9062.34692"/>
        <n v="16306.59375"/>
        <n v="2915.4541"/>
        <n v="53034.36414"/>
        <n v="22380.204"/>
        <n v="7493.1076"/>
        <n v="39546.77454"/>
        <n v="703.2428"/>
        <n v="26015.44946"/>
        <n v="9829.04832"/>
        <n v="2373.96232"/>
        <n v="3799.80315"/>
        <n v="6229.7424"/>
        <n v="27756.432"/>
        <n v="2537.2908"/>
        <n v="8764.40656"/>
        <n v="7105.3528"/>
        <n v="5610.0924"/>
        <n v="4856.35725"/>
        <n v="16219.34496"/>
        <n v="28247.74656"/>
        <n v="38535.9551"/>
        <n v="3021.5016"/>
        <n v="26106.61396"/>
        <n v="17067.9384"/>
        <n v="1115.1976"/>
        <n v="20053.44"/>
        <n v="8938.89966"/>
        <n v="3175.15478"/>
        <n v="13637.288"/>
        <n v="79082.50701"/>
        <n v="2206.8"/>
        <n v="27158.89408"/>
        <n v="12236.8746"/>
        <n v="4132.03252"/>
        <n v="16487.22781"/>
        <n v="26552.60298"/>
        <n v="34816.968"/>
        <n v="1122.0896"/>
        <n v="23195.01828"/>
        <n v="43907.94"/>
        <n v="49336.5114"/>
        <n v="4071.8"/>
        <n v="14813.73192"/>
        <n v="35167.7448"/>
        <n v="4804.46824"/>
        <n v="82514.71152"/>
        <n v="7327.95336"/>
        <n v="12717.31104"/>
        <n v="21584.69352"/>
        <n v="19547.32992"/>
        <n v="18554.3703"/>
        <n v="13784.586"/>
        <n v="4569.5736"/>
        <n v="4133.25108"/>
        <n v="16873.45"/>
        <n v="32280.32474"/>
        <n v="4117.48806"/>
        <n v="31005.24768"/>
        <n v="38422.02232"/>
        <n v="43553.49306"/>
        <n v="15348.7026"/>
        <n v="6576.29896"/>
        <n v="33200.03808"/>
        <n v="11332.143"/>
        <n v="12881.0976"/>
        <n v="37562.28"/>
        <n v="47693.373"/>
        <n v="15257.51748"/>
        <n v="22064.9103"/>
        <n v="9586.80576"/>
        <n v="19773.3627"/>
        <n v="14108.16791"/>
        <n v="434.45248"/>
        <n v="16142.52783"/>
        <n v="2525.0635"/>
        <n v="48097.91105"/>
        <n v="11285.76402"/>
        <n v="19800.88896"/>
        <n v="14431.73842"/>
        <n v="56176.7778"/>
        <n v="18641.22216"/>
        <n v="13185.543"/>
        <n v="12972.00222"/>
        <n v="17731.623"/>
        <n v="17427.1648"/>
        <n v="16946.09184"/>
        <n v="5250.4239"/>
        <n v="7832.0011"/>
        <n v="13437.30024"/>
        <n v="22457.1438"/>
        <n v="21541.01796"/>
        <n v="4679.71416"/>
        <n v="23668.56"/>
        <n v="5323.99032"/>
        <n v="6899.88046"/>
        <n v="2059.0056"/>
        <n v="16134.22069"/>
        <n v="31513.42304"/>
        <n v="18411.4084"/>
        <n v="10893.6232"/>
        <n v="7969.4615"/>
        <n v="741.43836"/>
        <n v="9509.2866"/>
        <n v="14527.7484"/>
        <n v="9984.7161"/>
        <n v="102122.94204"/>
        <n v="29627.32032"/>
        <n v="58091.63496"/>
        <n v="15366.9832"/>
        <n v="30435.615"/>
        <n v="19637.76528"/>
        <n v="13450.74"/>
        <n v="41138.262"/>
        <n v="12955.82475"/>
        <n v="58057.65"/>
        <n v="2627.624"/>
        <n v="12967.95864"/>
        <n v="1950.00312"/>
        <n v="27249"/>
        <n v="5546.46422"/>
        <n v="7340.38914"/>
        <n v="24278.84928"/>
        <n v="2795.63844"/>
        <n v="20672.289"/>
        <n v="12668.50728"/>
        <n v="31513.08501"/>
        <n v="5960.04288"/>
        <n v="21664.44"/>
        <n v="1925.29872"/>
        <n v="9771.44832"/>
        <n v="5565.32725"/>
        <n v="45547.18336"/>
        <n v="12289.2"/>
        <n v="12462.65055"/>
        <n v="19628.477"/>
        <n v="23694.40512"/>
        <n v="11984.89125"/>
        <n v="23132.39835"/>
        <n v="14752.70608"/>
        <n v="20797.98"/>
        <n v="7854.69312"/>
        <n v="7643.265"/>
        <n v="24321.57"/>
        <n v="1662.69456"/>
        <n v="930.17574"/>
        <n v="4055.5176"/>
        <n v="1886.9916"/>
        <n v="1808.04592"/>
        <n v="84136.1196"/>
        <n v="2719.8567"/>
        <n v="14261.92439"/>
        <n v="25269.09"/>
        <n v="16252.21998"/>
        <n v="10428.05736"/>
        <n v="36549.42926"/>
        <n v="15374.5632"/>
        <n v="8330.25132"/>
        <n v="19233.3555"/>
        <n v="27194.15204"/>
        <n v="1009.2969"/>
        <n v="4212.3746"/>
        <n v="41914.21584"/>
        <n v="22620.8598"/>
        <n v="40488.79296"/>
        <n v="4738.5261"/>
        <n v="36161.097"/>
        <n v="5127.03906"/>
        <n v="21908.73165"/>
        <n v="6063.25172"/>
        <n v="5159.78936"/>
        <n v="28856.475"/>
        <n v="4025.85656"/>
        <n v="9614.4404"/>
        <n v="1547.35"/>
        <n v="6664.1"/>
        <n v="7507.45149"/>
        <n v="110.1492"/>
        <n v="11859.69512"/>
        <n v="4682.95198"/>
        <n v="30692.47896"/>
        <n v="25249.61322"/>
        <n v="8644.6696"/>
        <n v="16574.54474"/>
        <n v="20332.77554"/>
        <n v="7428.1109"/>
        <n v="10869.18294"/>
        <n v="8637.18745"/>
        <n v="10189.8891"/>
        <n v="32335.21802"/>
        <n v="34800.4314"/>
        <n v="15323.9268"/>
        <n v="3921.1744"/>
        <n v="8297.4286"/>
        <n v="9232.28306"/>
        <n v="3525.55056"/>
        <n v="50296.4154"/>
        <n v="5189.8836"/>
        <n v="33308.55"/>
        <n v="10859.64"/>
        <n v="22201.76223"/>
        <n v="1010.37592"/>
        <n v="9807.78428"/>
        <n v="855.72882"/>
        <n v="7399.4832"/>
        <n v="64192.977"/>
        <n v="22526.66"/>
        <n v="16121.2734"/>
        <n v="6435.2556"/>
        <n v="8326.68525"/>
        <n v="2146.55805"/>
        <n v="11406.96"/>
        <n v="58526.83122"/>
        <n v="33421.1"/>
        <n v="9262.06866"/>
        <n v="618.1998"/>
        <n v="534.57696"/>
        <n v="11924.0978"/>
        <n v="42433.2544"/>
        <n v="15155.3268"/>
        <n v="7823.44724"/>
        <n v="50958.76632"/>
        <n v="20430.7716"/>
        <n v="66260.31424"/>
        <n v="3340.637"/>
        <n v="19581.87"/>
        <n v="30652.40352"/>
        <n v="4737.21984"/>
        <n v="14114.0685"/>
        <n v="10792.63712"/>
        <n v="4826.53962"/>
        <n v="15530.92992"/>
        <n v="31822.02393"/>
        <n v="10937.52"/>
        <n v="29673.4545"/>
        <n v="1846.80408"/>
        <n v="18830.12472"/>
        <n v="20163.4092"/>
        <n v="15860.78208"/>
        <n v="33551.9275"/>
        <n v="46450.26"/>
        <n v="50545.31922"/>
        <n v="10519.77645"/>
        <n v="13108.78584"/>
        <n v="13251.48"/>
        <n v="6766.983"/>
        <n v="33071.3145"/>
        <n v="8520.29544"/>
        <n v="10166.5356"/>
        <n v="4229.43212"/>
        <n v="17540.20112"/>
        <n v="44173.62796"/>
        <n v="25079.48069"/>
        <n v="34307.16"/>
        <n v="3378.14784"/>
        <n v="4577.148"/>
        <n v="841.00536"/>
        <n v="19139.59424"/>
        <n v="14466.95104"/>
        <n v="496.9866"/>
        <n v="12091.1904"/>
        <n v="13882.6016"/>
        <n v="6732.4334"/>
        <n v="4280.67864"/>
        <n v="7173.33428"/>
        <n v="6137.802"/>
        <n v="1801.4076"/>
        <n v="40563.32175"/>
        <n v="3823.61516"/>
        <n v="22676.31261"/>
        <n v="370.86"/>
        <n v="25131.156"/>
        <n v="68665.57425"/>
        <n v="12040.64352"/>
        <n v="9022.35"/>
        <n v="11742.8703"/>
        <n v="51768.18192"/>
        <n v="5725.6496"/>
        <n v="8366.02"/>
        <n v="14910.6096"/>
        <n v="8128.51875"/>
        <n v="3116.21"/>
        <n v="4409.51688"/>
        <n v="5962.14225"/>
        <n v="33938.14276"/>
        <n v="7466.3064"/>
        <n v="1062.5902"/>
        <n v="39810.328"/>
        <n v="5457.4317"/>
        <n v="7071.63314"/>
        <n v="13856.52411"/>
        <n v="29175.03603"/>
        <n v="2736.27018"/>
        <n v="2077.46"/>
        <n v="10260.06016"/>
        <n v="18003.84768"/>
        <n v="9256.14"/>
        <n v="82141.3398"/>
        <n v="18500.69352"/>
        <n v="10464.13836"/>
        <n v="10786.32144"/>
        <n v="18175.84328"/>
        <n v="25174.02888"/>
        <n v="41419.52425"/>
        <n v="1030.7574"/>
        <n v="2355.21132"/>
        <n v="30229.99488"/>
        <n v="10693.88488"/>
        <n v="50090.3975"/>
        <n v="32704.3864"/>
        <n v="13983.75273"/>
        <n v="5096.47908"/>
        <n v="33017.42"/>
        <n v="40476.0132"/>
        <n v="12769.38768"/>
        <n v="266.17822"/>
      </sharedItems>
    </cacheField>
    <cacheField name="WhatIfRevenue" numFmtId="44">
      <sharedItems containsSemiMixedTypes="0" containsString="0" containsNumber="1" minValue="25.07882496" maxValue="187189.40395008" count="632">
        <n v="6540.3459072"/>
        <n v="24138.82126656"/>
        <n v="20472.89029632"/>
        <n v="7022.76427776"/>
        <n v="14727.5247168"/>
        <n v="5566.52544"/>
        <n v="3879.38831616"/>
        <n v="920.73106944"/>
        <n v="19775.78983296"/>
        <n v="81887.90717184"/>
        <n v="21512.25678336"/>
        <n v="13938.0192"/>
        <n v="6677.669376"/>
        <n v="29010.4416"/>
        <n v="10185.96096"/>
        <n v="9529.7223168"/>
        <n v="34874.6694912"/>
        <n v="47533.53163776"/>
        <n v="51201.27137664"/>
        <n v="52770.41672448"/>
        <n v="31963.42560768"/>
        <n v="26750.41829376"/>
        <n v="14699.317248"/>
        <n v="27182.7021312"/>
        <n v="33458.11467264"/>
        <n v="11553.41451264"/>
        <n v="2361.0048"/>
        <n v="5350.07088"/>
        <n v="5259.3408"/>
        <n v="26993.07571968"/>
        <n v="13179.07231872"/>
        <n v="35146.08964608"/>
        <n v="12966.08581632"/>
        <n v="17765.664"/>
        <n v="36733.97952"/>
        <n v="8912.92995264"/>
        <n v="25478.71454016"/>
        <n v="16121.48686848"/>
        <n v="20117.313216"/>
        <n v="4787.59462272"/>
        <n v="55247.54050368"/>
        <n v="14190.94656"/>
        <n v="46427.82144"/>
        <n v="14335.41234048"/>
        <n v="24098.58468864"/>
        <n v="43688.8158336"/>
        <n v="9590.20608"/>
        <n v="146823.936"/>
        <n v="47875.03031808"/>
        <n v="46293.35741184"/>
        <n v="21771.80544"/>
        <n v="880.061952"/>
        <n v="7776.1152"/>
        <n v="3385.36877952"/>
        <n v="289.2266496"/>
        <n v="42578.98891008"/>
        <n v="39862.6232928"/>
        <n v="6437.9035392"/>
        <n v="85318.3296"/>
        <n v="6141.8794752"/>
        <n v="45276.0024192"/>
        <n v="37230.9106176"/>
        <n v="14713.982976"/>
        <n v="100940.1357888"/>
        <n v="35352.946944"/>
        <n v="16333.99133184"/>
        <n v="21522.3880704"/>
        <n v="19202.9326944"/>
        <n v="11654.81243136"/>
        <n v="12002.8776"/>
        <n v="14310.5453568"/>
        <n v="8592.32005632"/>
        <n v="27110.6748192"/>
        <n v="12597.93053568"/>
        <n v="6974.677248"/>
        <n v="9239.30496384"/>
        <n v="47572.5973632"/>
        <n v="44435.64582912"/>
        <n v="14563.245312"/>
        <n v="6554.87344512"/>
        <n v="81033.5303232"/>
        <n v="24539.91902208"/>
        <n v="7165.7639424"/>
        <n v="705.346992"/>
        <n v="28308.15117312"/>
        <n v="17668.8566208"/>
        <n v="19080.8545536"/>
        <n v="2224.1810304"/>
        <n v="15916.7855616"/>
        <n v="839.24069376"/>
        <n v="11188.5750144"/>
        <n v="26222.525952"/>
        <n v="13657.01062656"/>
        <n v="26986.63782528"/>
        <n v="7375.3376256"/>
        <n v="58072.90422528"/>
        <n v="197.57816064"/>
        <n v="45883.03104"/>
        <n v="7161.48926976"/>
        <n v="37277.4745728"/>
        <n v="70936.41408"/>
        <n v="8500.2322944"/>
        <n v="18372.22464"/>
        <n v="8010.688896"/>
        <n v="16579.1201184"/>
        <n v="17315.198208"/>
        <n v="697.07147328"/>
        <n v="31836.03284736"/>
        <n v="2231.5776"/>
        <n v="738.9313344"/>
        <n v="37197.0144"/>
        <n v="40523.85163008"/>
        <n v="46.62209664"/>
        <n v="2845.897824"/>
        <n v="2014.95168"/>
        <n v="32958.92103168"/>
        <n v="1029.4931808"/>
        <n v="87520.3789824"/>
        <n v="7753.9066752"/>
        <n v="796.89589056"/>
        <n v="53110.58510016"/>
        <n v="30889.61652672"/>
        <n v="21587.29155072"/>
        <n v="14538.5071104"/>
        <n v="2786.01232896"/>
        <n v="11974.85011968"/>
        <n v="87509.70297216"/>
        <n v="1146.86580288"/>
        <n v="3551.0747328"/>
        <n v="21600.02702592"/>
        <n v="10353.99332352"/>
        <n v="5937.56811648"/>
        <n v="11204.7796224"/>
        <n v="4696.47908352"/>
        <n v="16170.32481792"/>
        <n v="36786.00691584"/>
        <n v="13034.33220096"/>
        <n v="6105.429792"/>
        <n v="47803.03976448"/>
        <n v="2020.810176"/>
        <n v="117472.22581248"/>
        <n v="11036.4363648"/>
        <n v="43124.08915584"/>
        <n v="13398.9006816"/>
        <n v="34503.33874176"/>
        <n v="17410.65725952"/>
        <n v="4788.5414976"/>
        <n v="17903.61216"/>
        <n v="19995.311616"/>
        <n v="57114.36251136"/>
        <n v="10619.62159104"/>
        <n v="28993.561632"/>
        <n v="5563.9084032"/>
        <n v="39856.09162752"/>
        <n v="14804.8459776"/>
        <n v="11974.58932992"/>
        <n v="9681.9135168"/>
        <n v="32454.80784"/>
        <n v="13954.29348096"/>
        <n v="39330.48607488"/>
        <n v="29628.307296"/>
        <n v="7593.8343936"/>
        <n v="10959.71675904"/>
        <n v="16389.695616"/>
        <n v="15928.8278016"/>
        <n v="115097.12299008"/>
        <n v="19418.5134528"/>
        <n v="17221.1586624"/>
        <n v="9171.8436096"/>
        <n v="3113.0563968"/>
        <n v="20182.9748736"/>
        <n v="12000.5485824"/>
        <n v="130.3886976"/>
        <n v="42411.5161344"/>
        <n v="2624.34235392"/>
        <n v="128790.816"/>
        <n v="21042.29643264"/>
        <n v="432.67783104"/>
        <n v="9540.4506624"/>
        <n v="5941.28126592"/>
        <n v="25.07882496"/>
        <n v="55577.4188928"/>
        <n v="10334.628864"/>
        <n v="11691.29045952"/>
        <n v="35493.21002304"/>
        <n v="13962.04992"/>
        <n v="6494.13604224"/>
        <n v="35964.482736"/>
        <n v="37729.02357504"/>
        <n v="11545.9134336"/>
        <n v="26265.7588704"/>
        <n v="11777.85504"/>
        <n v="32759.45551872"/>
        <n v="5916.44454912"/>
        <n v="5279.74239744"/>
        <n v="41921.57378304"/>
        <n v="29137.5837312"/>
        <n v="15223.28161536"/>
        <n v="11221.35493248"/>
        <n v="75103.37016"/>
        <n v="20111.30577792"/>
        <n v="6468.413952"/>
        <n v="34001.90976"/>
        <n v="64461.89242752"/>
        <n v="34344.2840832"/>
        <n v="35121.01469184"/>
        <n v="9007.9586688"/>
        <n v="38150.80528896"/>
        <n v="21269.33675328"/>
        <n v="23987.5872768"/>
        <n v="24274.25860608"/>
        <n v="2385.3408768"/>
        <n v="9387.60431616"/>
        <n v="32555.7792"/>
        <n v="10556.67561984"/>
        <n v="20500.1258112"/>
        <n v="10401.16182336"/>
        <n v="2999.33319168"/>
        <n v="8783.89005312"/>
        <n v="39776.5027968"/>
        <n v="18170.2471104"/>
        <n v="1220.401728"/>
        <n v="6052.6185216"/>
        <n v="90032.9084928"/>
        <n v="20819.268288"/>
        <n v="28994.984928"/>
        <n v="40964.33909568"/>
        <n v="7437.189312"/>
        <n v="22322.61804864"/>
        <n v="10008.1240896"/>
        <n v="896.64970752"/>
        <n v="7814.94702912"/>
        <n v="3870.6979584"/>
        <n v="7097.47282944"/>
        <n v="19178.6765184"/>
        <n v="23331.5776512"/>
        <n v="49779.85388544"/>
        <n v="187189.40395008"/>
        <n v="8983.548"/>
        <n v="5138.7985152"/>
        <n v="5962.82953728"/>
        <n v="13016.4728064"/>
        <n v="45807.37007616"/>
        <n v="1005.61176576"/>
        <n v="16462.220544"/>
        <n v="3910.86382848"/>
        <n v="13724.992512"/>
        <n v="816.22017792"/>
        <n v="4827.70176"/>
        <n v="15877.48399104"/>
        <n v="16378.4793984"/>
        <n v="23457.2937984"/>
        <n v="23774.853312"/>
        <n v="34250.38159872"/>
        <n v="8693.36181504"/>
        <n v="32472.6603264"/>
        <n v="25634.1921696"/>
        <n v="3217.75179264"/>
        <n v="5880.486528"/>
        <n v="10172.6865408"/>
        <n v="30754.31579136"/>
        <n v="24144.1587072"/>
        <n v="11002.0614144"/>
        <n v="753.13502208"/>
        <n v="53947.99148928"/>
        <n v="16931.06989056"/>
        <n v="52172.41365504"/>
        <n v="23646.37481472"/>
        <n v="9336.4992"/>
        <n v="10319.5161216"/>
        <n v="9724.126944"/>
        <n v="9570.15177216"/>
        <n v="46545.55089408"/>
        <n v="39697.346304"/>
        <n v="15345.0247104"/>
        <n v="11514.57552"/>
        <n v="106913.528064"/>
        <n v="8153.43846912"/>
        <n v="46825.422336"/>
        <n v="11971.93872"/>
        <n v="23440.73292288"/>
        <n v="19752.0715392"/>
        <n v="897.44256"/>
        <n v="15719.63484672"/>
        <n v="20839.3645824"/>
        <n v="5347.3021056"/>
        <n v="102.33043968"/>
        <n v="26918.69023872"/>
        <n v="35972.21408256"/>
        <n v="14053.42428672"/>
        <n v="25624.76491008"/>
        <n v="1476.98487552"/>
        <n v="31416.79841664"/>
        <n v="9921.60288"/>
        <n v="11966.282496"/>
        <n v="27492.84401472"/>
        <n v="5701.0881312"/>
        <n v="4288.53105408"/>
        <n v="89.94150144"/>
        <n v="17067.83232"/>
        <n v="34375.85636352"/>
        <n v="13260.32128512"/>
        <n v="53338.5460608"/>
        <n v="10877.6349696"/>
        <n v="7973.6638464"/>
        <n v="2206.45920768"/>
        <n v="57906.067968"/>
        <n v="4897.96780032"/>
        <n v="7170.1246848"/>
        <n v="13234.68499584"/>
        <n v="41394.2239872"/>
        <n v="1181.4544896"/>
        <n v="15164.8906752"/>
        <n v="54197.21664"/>
        <n v="6763.60387584"/>
        <n v="11801.1007296"/>
        <n v="12179.79426048"/>
        <n v="21916.062"/>
        <n v="3918.3703104"/>
        <n v="71278.18540416"/>
        <n v="30078.994176"/>
        <n v="10070.7366144"/>
        <n v="53150.86498176"/>
        <n v="945.1583232"/>
        <n v="34964.76407424"/>
        <n v="13210.24094208"/>
        <n v="3190.60535808"/>
        <n v="5106.9354336"/>
        <n v="9857.852928"/>
        <n v="37304.644608"/>
        <n v="3410.1188352"/>
        <n v="11779.36241664"/>
        <n v="10072.8595968"/>
        <n v="7539.9641856"/>
        <n v="6526.944144"/>
        <n v="21798.79962624"/>
        <n v="37964.97137664"/>
        <n v="51792.3236544"/>
        <n v="4060.8981504"/>
        <n v="38540.9595648"/>
        <n v="40605.2140032"/>
        <n v="1607.375616"/>
        <n v="26951.82336"/>
        <n v="12517.8463872"/>
        <n v="4267.40802432"/>
        <n v="18328.515072"/>
        <n v="106286.88942144"/>
        <n v="2965.9392"/>
        <n v="36501.55364352"/>
        <n v="16446.3594624"/>
        <n v="5553.45170688"/>
        <n v="22158.83417664"/>
        <n v="35686.69840512"/>
        <n v="46794.004992"/>
        <n v="1508.0884224"/>
        <n v="31174.10456832"/>
        <n v="59012.27136"/>
        <n v="66308.2713216"/>
        <n v="5472.4992"/>
        <n v="19909.65570048"/>
        <n v="47265.4490112"/>
        <n v="6457.20531456"/>
        <n v="110899.77228288"/>
        <n v="10416.9675456"/>
        <n v="17092.06603776"/>
        <n v="29009.82809088"/>
        <n v="26271.61141248"/>
        <n v="24937.0736832"/>
        <n v="18526.483584"/>
        <n v="6141.5069184"/>
        <n v="5555.08945152"/>
        <n v="22677.9168"/>
        <n v="43384.75645056"/>
        <n v="5533.90395264"/>
        <n v="43127.2993536"/>
        <n v="51639.19799808"/>
        <n v="58535.89467264"/>
        <n v="20628.6562944"/>
        <n v="8838.54580224"/>
        <n v="44620.85117952"/>
        <n v="15230.400192"/>
        <n v="17312.1951744"/>
        <n v="50483.70432"/>
        <n v="64099.893312"/>
        <n v="20506.10349312"/>
        <n v="29655.2394432"/>
        <n v="12884.66694144"/>
        <n v="26575.3994688"/>
        <n v="18961.37767104"/>
        <n v="583.90413312"/>
        <n v="21695.55740352"/>
        <n v="3393.685344"/>
        <n v="77411.455968"/>
        <n v="15656.0475456"/>
        <n v="26612.39476224"/>
        <n v="19396.25643648"/>
        <n v="75501.5893632"/>
        <n v="25053.80258304"/>
        <n v="17721.369792"/>
        <n v="17434.37098368"/>
        <n v="23831.301312"/>
        <n v="23422.1094912"/>
        <n v="22775.54743296"/>
        <n v="7056.5697216"/>
        <n v="10526.2094784"/>
        <n v="18059.73152256"/>
        <n v="30182.4012672"/>
        <n v="28951.12813824"/>
        <n v="6289.53583104"/>
        <n v="31810.54464"/>
        <n v="7155.44299008"/>
        <n v="9273.43933824"/>
        <n v="2767.3035264"/>
        <n v="21684.39260736"/>
        <n v="42354.04056576"/>
        <n v="24744.9328896"/>
        <n v="14641.0295808"/>
        <n v="10710.956256"/>
        <n v="996.49315584"/>
        <n v="12780.4811904"/>
        <n v="19525.2938496"/>
        <n v="13419.4584384"/>
        <n v="137253.23410176"/>
        <n v="39819.11851008"/>
        <n v="78075.15738624"/>
        <n v="20653.2254208"/>
        <n v="40905.46656"/>
        <n v="29624.9716224"/>
        <n v="18077.79456"/>
        <n v="55289.824128"/>
        <n v="17412.628464"/>
        <n v="78029.4816"/>
        <n v="3531.526656"/>
        <n v="17428.93641216"/>
        <n v="2620.80419328"/>
        <n v="36622.656"/>
        <n v="7454.44791168"/>
        <n v="9865.48300416"/>
        <n v="32630.77343232"/>
        <n v="3757.33806336"/>
        <n v="27783.556416"/>
        <n v="17026.47378432"/>
        <n v="42353.58625344"/>
        <n v="8010.29763072"/>
        <n v="29117.00736"/>
        <n v="2587.60147968"/>
        <n v="13132.82654208"/>
        <n v="8146.31664"/>
        <n v="61215.41443584"/>
        <n v="16516.6848"/>
        <n v="16749.8023392"/>
        <n v="26380.673088"/>
        <n v="31845.28048128"/>
        <n v="16107.69384"/>
        <n v="31089.9433824"/>
        <n v="19827.63697152"/>
        <n v="27952.48512"/>
        <n v="10556.70755328"/>
        <n v="10272.54816"/>
        <n v="32688.19008"/>
        <n v="2234.66148864"/>
        <n v="1250.15619456"/>
        <n v="5450.6156544"/>
        <n v="2536.1167104"/>
        <n v="2518.3183872"/>
        <n v="113078.9447424"/>
        <n v="3655.4874048"/>
        <n v="19168.02638016"/>
        <n v="33961.65696"/>
        <n v="21842.98365312"/>
        <n v="14015.30909184"/>
        <n v="49122.43292544"/>
        <n v="20663.4129408"/>
        <n v="11195.85777408"/>
        <n v="25849.629792"/>
        <n v="36548.94034176"/>
        <n v="1356.4950336"/>
        <n v="5661.4314624"/>
        <n v="56332.70608896"/>
        <n v="30402.4355712"/>
        <n v="54416.93773824"/>
        <n v="6368.5790784"/>
        <n v="48600.514368"/>
        <n v="6890.74049664"/>
        <n v="29445.3353376"/>
        <n v="8149.01031168"/>
        <n v="6934.75689984"/>
        <n v="38783.1024"/>
        <n v="5410.75121664"/>
        <n v="12921.8078976"/>
        <n v="2079.6384"/>
        <n v="8956.5504"/>
        <n v="10090.01480256"/>
        <n v="148.0405248"/>
        <n v="15939.43024128"/>
        <n v="6293.88746112"/>
        <n v="41250.69172224"/>
        <n v="33935.48016768"/>
        <n v="11618.4359424"/>
        <n v="22276.18813056"/>
        <n v="27327.25032576"/>
        <n v="9983.3810496"/>
        <n v="14608.18187136"/>
        <n v="11608.3799328"/>
        <n v="13695.2109504"/>
        <n v="43458.53301888"/>
        <n v="46771.7798016"/>
        <n v="20595.3576192"/>
        <n v="5270.0583936"/>
        <n v="11151.7440384"/>
        <n v="12408.18843264"/>
        <n v="4738.33995264"/>
        <n v="67598.3822976"/>
        <n v="6975.2035584"/>
        <n v="44766.6912"/>
        <n v="14595.35616"/>
        <n v="29839.16843712"/>
        <n v="1357.94523648"/>
        <n v="13181.66207232"/>
        <n v="1150.09953408"/>
        <n v="9944.9054208"/>
        <n v="86275.361088"/>
        <n v="30275.83104"/>
        <n v="21666.9914496"/>
        <n v="8648.9835264"/>
        <n v="11191.064976"/>
        <n v="2884.9740192"/>
        <n v="15330.95424"/>
        <n v="78660.06115968"/>
        <n v="44917.9584"/>
        <n v="12448.22027904"/>
        <n v="830.8605312"/>
        <n v="718.47143424"/>
        <n v="16025.9874432"/>
        <n v="57030.2939136"/>
        <n v="20368.7592192"/>
        <n v="10514.71309056"/>
        <n v="68488.58193408"/>
        <n v="27458.9570304"/>
        <n v="89053.86233856"/>
        <n v="4489.816128"/>
        <n v="26318.03328"/>
        <n v="41196.83033088"/>
        <n v="6366.82346496"/>
        <n v="18969.308064"/>
        <n v="14505.30428928"/>
        <n v="6486.86924928"/>
        <n v="20873.56981248"/>
        <n v="42768.80016192"/>
        <n v="14700.02688"/>
        <n v="39881.122848"/>
        <n v="2482.10468352"/>
        <n v="25307.68762368"/>
        <n v="27099.6219648"/>
        <n v="21316.89111552"/>
        <n v="45093.79056"/>
        <n v="62429.14944"/>
        <n v="67932.90903168"/>
        <n v="14138.5795488"/>
        <n v="17618.20816896"/>
        <n v="17809.98912"/>
        <n v="9094.825152"/>
        <n v="44447.846688"/>
        <n v="11451.27707136"/>
        <n v="13663.8238464"/>
        <n v="5684.35676928"/>
        <n v="23574.03030528"/>
        <n v="59369.35597824"/>
        <n v="33706.82204736"/>
        <n v="46108.82304"/>
        <n v="4540.23069696"/>
        <n v="6151.686912"/>
        <n v="1130.31120384"/>
        <n v="25723.61465856"/>
        <n v="19443.58219776"/>
        <n v="667.9499904"/>
        <n v="16250.5598976"/>
        <n v="18658.2165504"/>
        <n v="9048.3904896"/>
        <n v="5753.23209216"/>
        <n v="9640.96127232"/>
        <n v="8249.205888"/>
        <n v="2421.0918144"/>
        <n v="54517.104432"/>
        <n v="5138.93877504"/>
        <n v="30476.96414784"/>
        <n v="498.43584"/>
        <n v="33776.273664"/>
        <n v="92286.531792"/>
        <n v="16182.62489088"/>
        <n v="12126.0384"/>
        <n v="15782.4176832"/>
        <n v="69576.43650048"/>
        <n v="7695.2730624"/>
        <n v="11243.93088"/>
        <n v="20039.8593024"/>
        <n v="10924.7292"/>
        <n v="4188.18624"/>
        <n v="5926.39068672"/>
        <n v="8013.119184"/>
        <n v="45612.86386944"/>
        <n v="10034.7158016"/>
        <n v="1428.1212288"/>
        <n v="53505.080832"/>
        <n v="7334.7882048"/>
        <n v="9504.27494016"/>
        <n v="18623.16840384"/>
        <n v="39211.24842432"/>
        <n v="3677.54712192"/>
        <n v="2792.10624"/>
        <n v="13789.52085504"/>
        <n v="24197.17128192"/>
        <n v="12440.25216"/>
        <n v="110397.9606912"/>
        <n v="24864.93209088"/>
        <n v="14063.80195584"/>
        <n v="14496.81601536"/>
        <n v="24428.33336832"/>
        <n v="33833.89481472"/>
        <n v="55667.840592"/>
        <n v="1385.3379456"/>
        <n v="3165.40401408"/>
        <n v="40629.11311872"/>
        <n v="14372.58127872"/>
        <n v="67321.49424"/>
        <n v="43954.6953216"/>
        <n v="18794.16366912"/>
        <n v="6849.66788352"/>
        <n v="44375.41248"/>
        <n v="54399.7617408"/>
        <n v="17162.05704192"/>
        <n v="357.74352768"/>
      </sharedItems>
    </cacheField>
    <cacheField name="CostOfGoods" numFmtId="44">
      <sharedItems containsSemiMixedTypes="0" containsString="0" containsNumber="1" minValue="22" maxValue="83258.29" count="632">
        <n v="2513.16"/>
        <n v="33616.09"/>
        <n v="17529.12"/>
        <n v="5718.46"/>
        <n v="9945.45"/>
        <n v="2211.09"/>
        <n v="2344.28"/>
        <n v="510.84"/>
        <n v="7772.04"/>
        <n v="41272.78"/>
        <n v="14815.91"/>
        <n v="18172"/>
        <n v="3315.7"/>
        <n v="9652.95"/>
        <n v="9367.08"/>
        <n v="6808.59"/>
        <n v="24950.24"/>
        <n v="19609.12"/>
        <n v="19227.06"/>
        <n v="19288.04"/>
        <n v="10460.8"/>
        <n v="10649.52"/>
        <n v="7309.9"/>
        <n v="10196.72"/>
        <n v="11382.6"/>
        <n v="5967.4"/>
        <n v="1176.4"/>
        <n v="5143.44"/>
        <n v="1883.25"/>
        <n v="10566.78"/>
        <n v="8425.03"/>
        <n v="19882.56"/>
        <n v="5855.6"/>
        <n v="6453.3"/>
        <n v="12892.68"/>
        <n v="6605.61"/>
        <n v="19246.68"/>
        <n v="6057.52"/>
        <n v="11249.29"/>
        <n v="2825.91"/>
        <n v="27648.27"/>
        <n v="7237.2"/>
        <n v="19550.72"/>
        <n v="5318.17"/>
        <n v="14859.46"/>
        <n v="23143.4"/>
        <n v="4390.75"/>
        <n v="44055.34"/>
        <n v="20624.4"/>
        <n v="28678.32"/>
        <n v="11632.88"/>
        <n v="583.52"/>
        <n v="7998.9"/>
        <n v="2653.43"/>
        <n v="266.52"/>
        <n v="32519.64"/>
        <n v="12701.04"/>
        <n v="2774.56"/>
        <n v="68628"/>
        <n v="4230.4"/>
        <n v="23531.2"/>
        <n v="17641.8"/>
        <n v="6637.95"/>
        <n v="62912.58"/>
        <n v="19940"/>
        <n v="16940.43"/>
        <n v="17314.72"/>
        <n v="8760.44"/>
        <n v="8902.98"/>
        <n v="4411.65"/>
        <n v="8195.67"/>
        <n v="3170.28"/>
        <n v="23400.67"/>
        <n v="12915.9"/>
        <n v="4589.4"/>
        <n v="5779.48"/>
        <n v="18130.45"/>
        <n v="18920.66"/>
        <n v="7147.2"/>
        <n v="3368.04"/>
        <n v="36661.3"/>
        <n v="18943.2"/>
        <n v="2555.85"/>
        <n v="348.6"/>
        <n v="18475.47"/>
        <n v="13047.98"/>
        <n v="13664.8"/>
        <n v="1804.53"/>
        <n v="5760.7"/>
        <n v="445.2"/>
        <n v="4838.33"/>
        <n v="13183.25"/>
        <n v="6432.08"/>
        <n v="9478.07"/>
        <n v="6056.88"/>
        <n v="19526.22"/>
        <n v="146.64"/>
        <n v="22087.44"/>
        <n v="7662.48"/>
        <n v="21614.04"/>
        <n v="21304.74"/>
        <n v="6899.2"/>
        <n v="6034.56"/>
        <n v="3210.9"/>
        <n v="7027.8"/>
        <n v="13890.12"/>
        <n v="501.15"/>
        <n v="13665.6"/>
        <n v="821.4"/>
        <n v="585.88"/>
        <n v="14855.94"/>
        <n v="20181.21"/>
        <n v="48.24"/>
        <n v="1562.99"/>
        <n v="2125.44"/>
        <n v="11788.64"/>
        <n v="1278.06"/>
        <n v="32015.77"/>
        <n v="3396.1"/>
        <n v="405.72"/>
        <n v="18428.52"/>
        <n v="11676.78"/>
        <n v="16745.88"/>
        <n v="10908.08"/>
        <n v="1425.52"/>
        <n v="13310.78"/>
        <n v="40444.16"/>
        <n v="960.48"/>
        <n v="1420.02"/>
        <n v="7443.36"/>
        <n v="3319.6"/>
        <n v="6115.45"/>
        <n v="15059.2"/>
        <n v="2438.24"/>
        <n v="18188.82"/>
        <n v="14141.53"/>
        <n v="8472.9"/>
        <n v="4563.3"/>
        <n v="26478.76"/>
        <n v="1516.39"/>
        <n v="64412.48"/>
        <n v="4516.29"/>
        <n v="29014.04"/>
        <n v="7355.07"/>
        <n v="16207.8"/>
        <n v="6337.88"/>
        <n v="5348.76"/>
        <n v="9567.88"/>
        <n v="9420.75"/>
        <n v="23346"/>
        <n v="12213.12"/>
        <n v="18035.28"/>
        <n v="6585.54"/>
        <n v="14858.88"/>
        <n v="8678.9"/>
        <n v="8295.02"/>
        <n v="3281"/>
        <n v="13451.25"/>
        <n v="4894.98"/>
        <n v="17085.74"/>
        <n v="14987.5"/>
        <n v="4055.25"/>
        <n v="7162.89"/>
        <n v="6350.64"/>
        <n v="7347.36"/>
        <n v="54331.64"/>
        <n v="15135.38"/>
        <n v="13335.66"/>
        <n v="5440.86"/>
        <n v="1719.25"/>
        <n v="12828.32"/>
        <n v="4228.15"/>
        <n v="68.5"/>
        <n v="18957.6"/>
        <n v="1447.12"/>
        <n v="53727.06"/>
        <n v="8494.11"/>
        <n v="509.99"/>
        <n v="3196.5"/>
        <n v="4584.58"/>
        <n v="22"/>
        <n v="22652.2"/>
        <n v="3832.95"/>
        <n v="5534.41"/>
        <n v="23530.38"/>
        <n v="8812.08"/>
        <n v="3568.44"/>
        <n v="31552.5"/>
        <n v="18684.96"/>
        <n v="7531.3"/>
        <n v="18881.25"/>
        <n v="4466.9"/>
        <n v="28720.8"/>
        <n v="5918.64"/>
        <n v="2996.52"/>
        <n v="26197.2"/>
        <n v="23908.8"/>
        <n v="7236.04"/>
        <n v="8000.16"/>
        <n v="33008.25"/>
        <n v="15004.26"/>
        <n v="4937.6"/>
        <n v="15348.58"/>
        <n v="36258.76"/>
        <n v="12195.84"/>
        <n v="12962.62"/>
        <n v="5086.02"/>
        <n v="13395.72"/>
        <n v="13732.29"/>
        <n v="12049.5"/>
        <n v="9860.49"/>
        <n v="1354.5"/>
        <n v="6997.08"/>
        <n v="13007.43"/>
        <n v="4662.12"/>
        <n v="13866.6"/>
        <n v="7599.27"/>
        <n v="1206.88"/>
        <n v="5091.32"/>
        <n v="15865.36"/>
        <n v="6480.54"/>
        <n v="727.9"/>
        <n v="2411.4"/>
        <n v="28773.6"/>
        <n v="16337.25"/>
        <n v="10804.3"/>
        <n v="17581.72"/>
        <n v="4959.36"/>
        <n v="12132.77"/>
        <n v="10241"/>
        <n v="873.92"/>
        <n v="2758.91"/>
        <n v="1976.3"/>
        <n v="3128.64"/>
        <n v="13097.7"/>
        <n v="16089.84"/>
        <n v="32135.76"/>
        <n v="83258.29"/>
        <n v="6993.3"/>
        <n v="2733.94"/>
        <n v="3082.56"/>
        <n v="7344.96"/>
        <n v="26970.68"/>
        <n v="576.48"/>
        <n v="16216.64"/>
        <n v="1509.72"/>
        <n v="8105.88"/>
        <n v="362.7"/>
        <n v="3213.12"/>
        <n v="9703.92"/>
        <n v="6481.16"/>
        <n v="11561.04"/>
        <n v="18161.92"/>
        <n v="12783.52"/>
        <n v="2855.25"/>
        <n v="10034.55"/>
        <n v="13232.34"/>
        <n v="2067.84"/>
        <n v="2519.44"/>
        <n v="11455.04"/>
        <n v="13440.72"/>
        <n v="10301.06"/>
        <n v="5828.8"/>
        <n v="563.46"/>
        <n v="33521.12"/>
        <n v="20529.71"/>
        <n v="21054.09"/>
        <n v="10157.2"/>
        <n v="7370.86"/>
        <n v="7200"/>
        <n v="5818.25"/>
        <n v="5213.92"/>
        <n v="28714.28"/>
        <n v="21647.6"/>
        <n v="6039.81"/>
        <n v="8465.82"/>
        <n v="53534"/>
        <n v="3080.64"/>
        <n v="19955.11"/>
        <n v="4767.3"/>
        <n v="9873.81"/>
        <n v="7748.72"/>
        <n v="551.1"/>
        <n v="7480.8"/>
        <n v="12215.16"/>
        <n v="3883.32"/>
        <n v="98.28"/>
        <n v="9599.85"/>
        <n v="14372.1"/>
        <n v="16530.28"/>
        <n v="9379.08"/>
        <n v="787.82"/>
        <n v="15994.72"/>
        <n v="3147.15"/>
        <n v="7075.8"/>
        <n v="9536.17"/>
        <n v="2730.64"/>
        <n v="2359"/>
        <n v="101.88"/>
        <n v="13017.84"/>
        <n v="16394.91"/>
        <n v="5849.19"/>
        <n v="27930.1"/>
        <n v="8927.3"/>
        <n v="2779.56"/>
        <n v="693.44"/>
        <n v="34810.32"/>
        <n v="3063.68"/>
        <n v="3424.12"/>
        <n v="5623.24"/>
        <n v="16796.64"/>
        <n v="818.08"/>
        <n v="7071.3"/>
        <n v="22698.36"/>
        <n v="4184.95"/>
        <n v="4932.85"/>
        <n v="6405.96"/>
        <n v="15268.8"/>
        <n v="2035.15"/>
        <n v="46394.08"/>
        <n v="9868.5"/>
        <n v="8904.94"/>
        <n v="18197.34"/>
        <n v="1046.24"/>
        <n v="11113.63"/>
        <n v="7846.32"/>
        <n v="1240.08"/>
        <n v="2682.69"/>
        <n v="3837.7"/>
        <n v="15106.41"/>
        <n v="1208.28"/>
        <n v="5526.95"/>
        <n v="4329"/>
        <n v="5924.95"/>
        <n v="2406.6"/>
        <n v="9021.95"/>
        <n v="14239.72"/>
        <n v="23096.51"/>
        <n v="4561.47"/>
        <n v="17380.72"/>
        <n v="15874.8"/>
        <n v="706.2"/>
        <n v="8863.91"/>
        <n v="7390.8"/>
        <n v="1471.82"/>
        <n v="7478.95"/>
        <n v="42432.83"/>
        <n v="1166.1"/>
        <n v="14921.76"/>
        <n v="5897.58"/>
        <n v="3381.07"/>
        <n v="14944.36"/>
        <n v="18171.22"/>
        <n v="24667.2"/>
        <n v="553.5"/>
        <n v="13806.45"/>
        <n v="21654.36"/>
        <n v="31770.63"/>
        <n v="3849.5"/>
        <n v="8660.99"/>
        <n v="22834.56"/>
        <n v="7108.79"/>
        <n v="39210.22"/>
        <n v="9267.03"/>
        <n v="11510.58"/>
        <n v="18998.1"/>
        <n v="10361.44"/>
        <n v="8422.47"/>
        <n v="6397.8"/>
        <n v="4086.4"/>
        <n v="2956.5"/>
        <n v="13359.39"/>
        <n v="16568.05"/>
        <n v="4932.38"/>
        <n v="17810.76"/>
        <n v="33620.22"/>
        <n v="27009.4"/>
        <n v="12250.7"/>
        <n v="3024.91"/>
        <n v="15073.02"/>
        <n v="9456.5"/>
        <n v="11672.22"/>
        <n v="31977.68"/>
        <n v="46966.73"/>
        <n v="16944.3"/>
        <n v="35997.2"/>
        <n v="5762.16"/>
        <n v="16295.86"/>
        <n v="17329.12"/>
        <n v="224.18"/>
        <n v="16363.49"/>
        <n v="1149.8"/>
        <n v="39621.05"/>
        <n v="10236.69"/>
        <n v="10363.12"/>
        <n v="12418.4"/>
        <n v="27953.4"/>
        <n v="20441.99"/>
        <n v="6551.5"/>
        <n v="10567.53"/>
        <n v="15666.56"/>
        <n v="16163.3"/>
        <n v="16326.4"/>
        <n v="2507.5"/>
        <n v="9741.1"/>
        <n v="7884.03"/>
        <n v="19058.76"/>
        <n v="25873.02"/>
        <n v="5232.26"/>
        <n v="16980.6"/>
        <n v="3729.28"/>
        <n v="7300.26"/>
        <n v="1384.36"/>
        <n v="8377.81"/>
        <n v="13785.75"/>
        <n v="9013.48"/>
        <n v="13623.84"/>
        <n v="6805.59"/>
        <n v="483.54"/>
        <n v="7573.95"/>
        <n v="11021.9"/>
        <n v="7231.56"/>
        <n v="55158.6"/>
        <n v="35733.84"/>
        <n v="35468.16"/>
        <n v="8281.52"/>
        <n v="26693.1"/>
        <n v="20772.54"/>
        <n v="10962.96"/>
        <n v="22463.52"/>
        <n v="6598.24"/>
        <n v="25227.51"/>
        <n v="3841.9"/>
        <n v="6841.52"/>
        <n v="2362.62"/>
        <n v="23223.6"/>
        <n v="2775.3"/>
        <n v="4249.28"/>
        <n v="20666.4"/>
        <n v="2115.9"/>
        <n v="10775.49"/>
        <n v="9937.46"/>
        <n v="14982.66"/>
        <n v="2881.28"/>
        <n v="11721.99"/>
        <n v="988.28"/>
        <n v="5002.96"/>
        <n v="4865"/>
        <n v="27726.5"/>
        <n v="13433.1"/>
        <n v="6628.93"/>
        <n v="8730.6"/>
        <n v="10814.28"/>
        <n v="7607.41"/>
        <n v="12209.55"/>
        <n v="9173.76"/>
        <n v="12912.06"/>
        <n v="8571.36"/>
        <n v="3669.54"/>
        <n v="16432.52"/>
        <n v="1271.34"/>
        <n v="695.13"/>
        <n v="3690.8"/>
        <n v="1478.62"/>
        <n v="1101.72"/>
        <n v="53430.4"/>
        <n v="1453.86"/>
        <n v="9858.1"/>
        <n v="17571.3"/>
        <n v="11281.37"/>
        <n v="5184.12"/>
        <n v="18042.58"/>
        <n v="7768.32"/>
        <n v="5009.58"/>
        <n v="10862.46"/>
        <n v="15190.78"/>
        <n v="1053.8"/>
        <n v="6612.62"/>
        <n v="21819.63"/>
        <n v="18269.13"/>
        <n v="19504.96"/>
        <n v="2377.65"/>
        <n v="19298.4"/>
        <n v="3858.36"/>
        <n v="16997.76"/>
        <n v="5921.12"/>
        <n v="3166.35"/>
        <n v="15122.4"/>
        <n v="3219.58"/>
        <n v="5866"/>
        <n v="936.1"/>
        <n v="2975.9"/>
        <n v="9856.99"/>
        <n v="53.4"/>
        <n v="8835.38"/>
        <n v="2469.53"/>
        <n v="15514.32"/>
        <n v="30593.16"/>
        <n v="4074.48"/>
        <n v="8590.14"/>
        <n v="10458.14"/>
        <n v="12327.7"/>
        <n v="5390.77"/>
        <n v="5665.15"/>
        <n v="8970.57"/>
        <n v="15012.66"/>
        <n v="26103.28"/>
        <n v="7990.62"/>
        <n v="2270.2"/>
        <n v="4517.05"/>
        <n v="8716.4"/>
        <n v="2700.12"/>
        <n v="45852.18"/>
        <n v="4020.85"/>
        <n v="15711.63"/>
        <n v="7023.94"/>
        <n v="17526.51"/>
        <n v="531.2"/>
        <n v="6514.97"/>
        <n v="983.91"/>
        <n v="6374.28"/>
        <n v="29581.68"/>
        <n v="17212.97"/>
        <n v="7699.65"/>
        <n v="4245.48"/>
        <n v="5216.9"/>
        <n v="1904.28"/>
        <n v="8664.72"/>
        <n v="47140.86"/>
        <n v="13996.4"/>
        <n v="8434.44"/>
        <n v="584.85"/>
        <n v="535.59"/>
        <n v="6763.7"/>
        <n v="23021.2"/>
        <n v="8707.44"/>
        <n v="6713"/>
        <n v="27125.7"/>
        <n v="9188.85"/>
        <n v="36537.6"/>
        <n v="4926.2"/>
        <n v="8811.04"/>
        <n v="21924.48"/>
        <n v="5667.66"/>
        <n v="6442.94"/>
        <n v="10439.6"/>
        <n v="2646.48"/>
        <n v="10392.24"/>
        <n v="25520.58"/>
        <n v="8435.76"/>
        <n v="15528.6"/>
        <n v="953.04"/>
        <n v="12882.87"/>
        <n v="16069.24"/>
        <n v="13954.32"/>
        <n v="15457.39"/>
        <n v="25979.04"/>
        <n v="23854.5"/>
        <n v="6398.82"/>
        <n v="7716.78"/>
        <n v="20058"/>
        <n v="6699.9"/>
        <n v="22723.62"/>
        <n v="4026.3"/>
        <n v="8793.15"/>
        <n v="2101.36"/>
        <n v="16035.76"/>
        <n v="26913.45"/>
        <n v="12591.56"/>
        <n v="16884.6"/>
        <n v="1666.8"/>
        <n v="3346.85"/>
        <n v="452.77"/>
        <n v="14221.12"/>
        <n v="14553.7"/>
        <n v="407.45"/>
        <n v="10479.9"/>
        <n v="7541.34"/>
        <n v="5258.96"/>
        <n v="2303.42"/>
        <n v="6628.81"/>
        <n v="2581.2"/>
        <n v="1129.68"/>
        <n v="28731.57"/>
        <n v="2572.84"/>
        <n v="15107.61"/>
        <n v="193.5"/>
        <n v="19724.48"/>
        <n v="34178.25"/>
        <n v="6163.56"/>
        <n v="11858.1"/>
        <n v="9958.5"/>
        <n v="26413.66"/>
        <n v="6262.6"/>
        <n v="4144.79"/>
        <n v="6780.87"/>
        <n v="5667.35"/>
        <n v="1495.1"/>
        <n v="3134.88"/>
        <n v="4132.5"/>
        <n v="18723.55"/>
        <n v="9359.07"/>
        <n v="832.32"/>
        <n v="19454.46"/>
        <n v="2839.62"/>
        <n v="8961.29"/>
        <n v="13301.42"/>
        <n v="13196.43"/>
        <n v="2006.62"/>
        <n v="2085.25"/>
        <n v="8793.2"/>
        <n v="10002.02"/>
        <n v="8478.18"/>
        <n v="34412.3"/>
        <n v="11348.08"/>
        <n v="7905.48"/>
        <n v="4693.92"/>
        <n v="20240.36"/>
        <n v="24180.78"/>
        <n v="35118.1"/>
        <n v="753.09"/>
        <n v="1180.76"/>
        <n v="32141.76"/>
        <n v="8674.96"/>
        <n v="26571.22"/>
        <n v="18886.56"/>
        <n v="22895.77"/>
        <n v="2486.44"/>
        <n v="18561.46"/>
        <n v="19295.82"/>
        <n v="6456.88"/>
        <n v="363.02"/>
      </sharedItems>
    </cacheField>
    <cacheField name="GrossProfit" numFmtId="44">
      <sharedItems containsSemiMixedTypes="0" containsString="0" containsNumber="1" minValue="-15655.65751" maxValue="65188.66" count="632">
        <n v="2353.1688"/>
        <n v="-15655.65751"/>
        <n v="-2296.31472"/>
        <n v="-493.188959999999"/>
        <n v="1012.5297"/>
        <n v="1930.67"/>
        <n v="542.16964"/>
        <n v="174.22776"/>
        <n v="6942.08934"/>
        <n v="19655.72236"/>
        <n v="1190.23344"/>
        <n v="-7801.45"/>
        <n v="1652.804"/>
        <n v="11932.2"/>
        <n v="-1788.24"/>
        <n v="281.9772"/>
        <n v="998.174799999993"/>
        <n v="15758.09104"/>
        <n v="18869.12406"/>
        <n v="19975.66292"/>
        <n v="13321.51072"/>
        <n v="9254.06504"/>
        <n v="3627.092"/>
        <n v="10028.5048"/>
        <n v="13511.83056"/>
        <n v="2628.89056"/>
        <n v="580.3"/>
        <n v="-1162.7325"/>
        <n v="2029.95"/>
        <n v="9517.35372"/>
        <n v="1380.82738"/>
        <n v="6267.80432"/>
        <n v="3791.78528"/>
        <n v="6765.2"/>
        <n v="14439.15"/>
        <n v="26.0343100000009"/>
        <n v="-289.303110000001"/>
        <n v="5937.63392"/>
        <n v="3718.949"/>
        <n v="736.28838"/>
        <n v="13458.53097"/>
        <n v="3321.54"/>
        <n v="11045.846"/>
        <n v="5348.05942"/>
        <n v="3071.03456"/>
        <n v="9363.1594"/>
        <n v="2744.82"/>
        <n v="65188.66"/>
        <n v="14996.90232"/>
        <n v="5766.14236"/>
        <n v="3262.024"/>
        <n v="16.0120000000001"/>
        <n v="-2213.1"/>
        <n v="-134.55442"/>
        <n v="-51.3216"/>
        <n v="-838.844679999998"/>
        <n v="16958.64995"/>
        <n v="2015.5468"/>
        <n v="-5147.1"/>
        <n v="339.450800000001"/>
        <n v="10156.3018"/>
        <n v="10059.7704"/>
        <n v="4309.954"/>
        <n v="9753.23745000001"/>
        <n v="6364.276"/>
        <n v="-4787.16264"/>
        <n v="-1301.0384"/>
        <n v="5527.45635"/>
        <n v="-231.244559999999"/>
        <n v="4519.0625"/>
        <n v="2452.0572"/>
        <n v="3222.81528"/>
        <n v="-3229.03695"/>
        <n v="-3542.43978"/>
        <n v="-161.482799999999"/>
        <n v="1095.00286"/>
        <n v="17265.8278"/>
        <n v="14141.57648"/>
        <n v="3308.5932"/>
        <n v="1509.09798"/>
        <n v="23631.5053"/>
        <n v="-684.331679999999"/>
        <n v="2775.8196"/>
        <n v="176.21175"/>
        <n v="2587.14248"/>
        <n v="98.4906999999967"/>
        <n v="532.264400000002"/>
        <n v="-149.6334"/>
        <n v="6082.1464"/>
        <n v="179.23504"/>
        <n v="3486.5026"/>
        <n v="6327.558"/>
        <n v="3729.38624"/>
        <n v="10601.27362"/>
        <n v="-569.2776"/>
        <n v="23682.78612"/>
        <n v="0.367559999999997"/>
        <n v="12051.72"/>
        <n v="-2333.99096"/>
        <n v="3888.87048"/>
        <n v="31475.33"/>
        <n v="-574.622400000001"/>
        <n v="7635.25"/>
        <n v="2749.434"/>
        <n v="5307.85485"/>
        <n v="-1809.9048"/>
        <n v="17.50437"/>
        <n v="10021.92444"/>
        <n v="839"/>
        <n v="-36.0799"/>
        <n v="12820.41"/>
        <n v="9970.46532"/>
        <n v="-13.55094"/>
        <n v="554.4935"/>
        <n v="-626.22"/>
        <n v="12734.36672"/>
        <n v="-512.06805"/>
        <n v="33103.5596"/>
        <n v="2373.1758"/>
        <n v="187.20849"/>
        <n v="21088.28439"/>
        <n v="11306.56563"/>
        <n v="-683.907120000002"/>
        <n v="-90.7384000000002"/>
        <n v="647.40584"/>
        <n v="-4400.92128"/>
        <n v="24667.22614"/>
        <n v="-107.15723"/>
        <n v="1222.1487"/>
        <n v="8628.08868"/>
        <n v="4384.26408"/>
        <n v="-1697.61658"/>
        <n v="-6722.3104"/>
        <n v="1056.16408"/>
        <n v="-6157.32832"/>
        <n v="13229.01086"/>
        <n v="1225.26384"/>
        <n v="-227.057250000001"/>
        <n v="9088.97792000001"/>
        <n v="-69.4393"/>
        <n v="22992.44992"/>
        <n v="3695.3442"/>
        <n v="3072.33586"/>
        <n v="2614.35015"/>
        <n v="9464.32704"/>
        <n v="6616.47808"/>
        <n v="-1785.8571"/>
        <n v="3753.26"/>
        <n v="5456.714"/>
        <n v="19149.80544"/>
        <n v="-4311.61584"/>
        <n v="3537.3105"/>
        <n v="-2445.7272"/>
        <n v="14795.95008"/>
        <n v="2336.6104"/>
        <n v="614.644680000001"/>
        <n v="3922.8047"/>
        <n v="10696.6725"/>
        <n v="5487.67884"/>
        <n v="12178.01452"/>
        <n v="7057.3715"/>
        <n v="1594.9244"/>
        <n v="991.661160000001"/>
        <n v="5844.074"/>
        <n v="4504.4464"/>
        <n v="31306.10032"/>
        <n v="-687.081300000002"/>
        <n v="-921.67542"/>
        <n v="1383.4284"/>
        <n v="597.0122"/>
        <n v="1720.70912"/>
        <n v="4700.8296"/>
        <n v="28.5154"/>
        <n v="12598.5876"/>
        <n v="505.51568"/>
        <n v="38988.19"/>
        <n v="7162.36056"/>
        <n v="-188.05709"/>
        <n v="3902.0496"/>
        <n v="-163.98382"/>
        <n v="-3.34016"/>
        <n v="18700.0462"/>
        <n v="3856.506"/>
        <n v="3164.46683"/>
        <n v="2878.25841"/>
        <n v="1576.35"/>
        <n v="1263.50646"/>
        <n v="-4793.21225"/>
        <n v="9387.23016"/>
        <n v="1059.4094"/>
        <n v="661.725350000001"/>
        <n v="4296.385"/>
        <n v="-4346.20512"/>
        <n v="-1516.52352"/>
        <n v="931.85976"/>
        <n v="4994.44716"/>
        <n v="-2229.05020000001"/>
        <n v="4090.80644"/>
        <n v="349.062419999999"/>
        <n v="22872.23375"/>
        <n v="-40.4908200000009"/>
        <n v="-299.8032"/>
        <n v="9950.46"/>
        <n v="11703.95758"/>
        <n v="13357.9428"/>
        <n v="13169.08736"/>
        <n v="1616.3302"/>
        <n v="14990.29584"/>
        <n v="2093.10937"/>
        <n v="5798.4072"/>
        <n v="8200.71432"/>
        <n v="420.3072"/>
        <n v="-12.2553600000001"/>
        <n v="11215.62"/>
        <n v="3192.54936"/>
        <n v="1386.4698"/>
        <n v="139.689690000001"/>
        <n v="1024.76672"/>
        <n v="1444.31248"/>
        <n v="12346.56124"/>
        <n v="7038.9891"/>
        <n v="180.137"/>
        <n v="2092.0364"/>
        <n v="38215.1712"/>
        <n v="-846.723000000002"/>
        <n v="10769.3495"/>
        <n v="12897.69897"/>
        <n v="574.263000000001"/>
        <n v="4476.32081"/>
        <n v="-2794.4791"/>
        <n v="-206.76992"/>
        <n v="3055.78273"/>
        <n v="903.6836"/>
        <n v="2152.21776"/>
        <n v="1172.1486"/>
        <n v="1269.9648"/>
        <n v="4902.82176"/>
        <n v="56019.54032"/>
        <n v="-309.1125"/>
        <n v="1089.5708"/>
        <n v="1354.06912"/>
        <n v="2339.9156"/>
        <n v="7112.18463999999"/>
        <n v="171.74304"/>
        <n v="-3967.964"/>
        <n v="1400.14892"/>
        <n v="1668.5088"/>
        <n v="244.60668"/>
        <n v="378.92"/>
        <n v="2109.68416"/>
        <n v="5705.2086"/>
        <n v="5892.3036"/>
        <n v="-472.296999999999"/>
        <n v="12700.39488"/>
        <n v="3613.02516"/>
        <n v="14126.6556"/>
        <n v="5840.71965"/>
        <n v="326.32056"/>
        <n v="1855.922"/>
        <n v="-3886.0768"/>
        <n v="9441.95544"/>
        <n v="7663.3438"/>
        <n v="2357.2576"/>
        <n v="-3.09168000000011"/>
        <n v="6618.75461999999"/>
        <n v="-7932.18776"/>
        <n v="17764.67016"/>
        <n v="7436.82888"/>
        <n v="-424.06"/>
        <n v="478.211399999999"/>
        <n v="1416.9635"/>
        <n v="1906.72864"/>
        <n v="5917.82632"/>
        <n v="7889.116"/>
        <n v="5377.6191"/>
        <n v="101.5725"/>
        <n v="26014.756"/>
        <n v="2985.90648"/>
        <n v="14885.234"/>
        <n v="4140.3925"/>
        <n v="7567.21152"/>
        <n v="5287.25022"/>
        <n v="116.64"/>
        <n v="4215.35688"/>
        <n v="3290.3196"/>
        <n v="95.3274000000006"/>
        <n v="-22.14128"/>
        <n v="10428.93738"/>
        <n v="12392.94024"/>
        <n v="-6073.86312"/>
        <n v="9686.96532"/>
        <n v="311.12708"/>
        <n v="7380.87406"/>
        <n v="4234.995"/>
        <n v="1827.684"/>
        <n v="10919.81513"/>
        <n v="1511.24105"/>
        <n v="831.87132"/>
        <n v="-34.95924"/>
        <n v="-318.559999999999"/>
        <n v="9182.36408"/>
        <n v="4017.12048"/>
        <n v="11756.3182"/>
        <n v="-833.821599999999"/>
        <n v="3153.2256"/>
        <n v="948.27072"/>
        <n v="8274.552"/>
        <n v="580.641280000001"/>
        <n v="1910.7942"/>
        <n v="4223.99586"/>
        <n v="14002.6338"/>
        <n v="60.9784"/>
        <n v="4212.1008"/>
        <n v="17626.95"/>
        <n v="847.493359999999"/>
        <n v="3847.7309"/>
        <n v="2656.38692"/>
        <n v="1037.79375"/>
        <n v="880.3041"/>
        <n v="6640.28413999999"/>
        <n v="12511.704"/>
        <n v="-1411.8324"/>
        <n v="21349.43454"/>
        <n v="-342.9972"/>
        <n v="14901.81946"/>
        <n v="1982.72832"/>
        <n v="1133.88232"/>
        <n v="1117.11315"/>
        <n v="2392.0424"/>
        <n v="12650.022"/>
        <n v="1329.0108"/>
        <n v="3237.45656"/>
        <n v="2776.3528"/>
        <n v="-314.8576"/>
        <n v="2449.75725"/>
        <n v="7197.39496"/>
        <n v="14008.02656"/>
        <n v="15439.4451"/>
        <n v="-1539.9684"/>
        <n v="8725.89396"/>
        <n v="1193.1384"/>
        <n v="408.9976"/>
        <n v="11189.53"/>
        <n v="1548.09966"/>
        <n v="1703.33478"/>
        <n v="6158.338"/>
        <n v="36649.67701"/>
        <n v="1040.7"/>
        <n v="12237.13408"/>
        <n v="6339.2946"/>
        <n v="750.96252"/>
        <n v="1542.86781"/>
        <n v="8381.38298"/>
        <n v="10149.768"/>
        <n v="568.5896"/>
        <n v="9388.56828"/>
        <n v="22253.58"/>
        <n v="17565.8814"/>
        <n v="222.3"/>
        <n v="6152.74192"/>
        <n v="12333.1848"/>
        <n v="-2304.32176"/>
        <n v="43304.49152"/>
        <n v="-1939.07664"/>
        <n v="1206.73104"/>
        <n v="2586.59352"/>
        <n v="9185.88992"/>
        <n v="10131.9003"/>
        <n v="7386.786"/>
        <n v="483.1736"/>
        <n v="1176.75108"/>
        <n v="3514.06"/>
        <n v="15712.27474"/>
        <n v="-814.89194"/>
        <n v="13194.48768"/>
        <n v="4801.80232"/>
        <n v="16544.09306"/>
        <n v="3098.0026"/>
        <n v="3551.38896"/>
        <n v="18127.01808"/>
        <n v="1875.643"/>
        <n v="1208.8776"/>
        <n v="5584.6"/>
        <n v="726.643000000004"/>
        <n v="-1686.78252"/>
        <n v="-13932.2897"/>
        <n v="3824.64576"/>
        <n v="3477.5027"/>
        <n v="-3220.95209"/>
        <n v="210.27248"/>
        <n v="-220.962170000001"/>
        <n v="1375.2635"/>
        <n v="8476.86105000001"/>
        <n v="1049.07402"/>
        <n v="9437.76896"/>
        <n v="2013.33842"/>
        <n v="28223.3778"/>
        <n v="-1800.76784"/>
        <n v="6634.043"/>
        <n v="2404.47222"/>
        <n v="2065.063"/>
        <n v="1263.8648"/>
        <n v="619.691840000001"/>
        <n v="2742.9239"/>
        <n v="-1909.0989"/>
        <n v="5553.27024"/>
        <n v="3398.3838"/>
        <n v="-4332.00204"/>
        <n v="-552.54584"/>
        <n v="6687.96"/>
        <n v="1594.71032"/>
        <n v="-400.379539999999"/>
        <n v="674.6456"/>
        <n v="7756.41069"/>
        <n v="17727.67304"/>
        <n v="9397.9284"/>
        <n v="-2730.2168"/>
        <n v="1163.8715"/>
        <n v="257.89836"/>
        <n v="1935.3366"/>
        <n v="3505.8484"/>
        <n v="2753.1561"/>
        <n v="46964.34204"/>
        <n v="-6106.51968"/>
        <n v="22623.47496"/>
        <n v="7085.4632"/>
        <n v="3742.515"/>
        <n v="-1134.77472"/>
        <n v="2487.78"/>
        <n v="18674.742"/>
        <n v="6357.58475"/>
        <n v="32830.14"/>
        <n v="-1214.276"/>
        <n v="6126.43864"/>
        <n v="-412.61688"/>
        <n v="4025.4"/>
        <n v="2771.16422"/>
        <n v="3091.10914"/>
        <n v="3612.44928"/>
        <n v="679.73844"/>
        <n v="9896.799"/>
        <n v="2731.04728"/>
        <n v="16530.42501"/>
        <n v="3078.76288"/>
        <n v="9942.45"/>
        <n v="937.01872"/>
        <n v="4768.48832"/>
        <n v="700.32725"/>
        <n v="17820.68336"/>
        <n v="-1143.9"/>
        <n v="5833.72055"/>
        <n v="10897.877"/>
        <n v="12880.12512"/>
        <n v="4377.48125"/>
        <n v="10922.84835"/>
        <n v="5578.94608"/>
        <n v="7885.92"/>
        <n v="-716.666880000001"/>
        <n v="3973.725"/>
        <n v="7889.05"/>
        <n v="391.35456"/>
        <n v="235.04574"/>
        <n v="364.7176"/>
        <n v="408.3716"/>
        <n v="706.32592"/>
        <n v="30705.7196"/>
        <n v="1265.9967"/>
        <n v="4403.82439"/>
        <n v="7697.79"/>
        <n v="4970.84998"/>
        <n v="5243.93736"/>
        <n v="18506.84926"/>
        <n v="7606.2432"/>
        <n v="3320.67132"/>
        <n v="8370.8955"/>
        <n v="12003.37204"/>
        <n v="-44.5030999999998"/>
        <n v="-2400.2454"/>
        <n v="20094.58584"/>
        <n v="4351.7298"/>
        <n v="20983.83296"/>
        <n v="2360.8761"/>
        <n v="16862.697"/>
        <n v="1268.67906"/>
        <n v="4910.97165"/>
        <n v="142.131719999999"/>
        <n v="1993.43936"/>
        <n v="13734.075"/>
        <n v="806.276559999999"/>
        <n v="3748.4404"/>
        <n v="611.25"/>
        <n v="3688.2"/>
        <n v="-2349.53851"/>
        <n v="56.7492"/>
        <n v="3024.31512"/>
        <n v="2213.42198"/>
        <n v="15178.15896"/>
        <n v="-5343.54678"/>
        <n v="4570.1896"/>
        <n v="7984.40474"/>
        <n v="9874.63554"/>
        <n v="-4899.5891"/>
        <n v="5478.41294"/>
        <n v="2972.03745"/>
        <n v="1219.3191"/>
        <n v="17322.55802"/>
        <n v="8697.1514"/>
        <n v="7333.3068"/>
        <n v="1650.9744"/>
        <n v="3780.3786"/>
        <n v="515.88306"/>
        <n v="825.43056"/>
        <n v="4444.2354"/>
        <n v="1169.0336"/>
        <n v="17596.92"/>
        <n v="3835.7"/>
        <n v="4675.25223"/>
        <n v="479.17592"/>
        <n v="3292.81428"/>
        <n v="-128.18118"/>
        <n v="1025.2032"/>
        <n v="34611.297"/>
        <n v="5313.69"/>
        <n v="8421.6234"/>
        <n v="2189.7756"/>
        <n v="3109.78525"/>
        <n v="242.27805"/>
        <n v="2742.24"/>
        <n v="11385.97122"/>
        <n v="19424.7"/>
        <n v="827.62866"/>
        <n v="33.3497999999998"/>
        <n v="-1.01304000000005"/>
        <n v="5160.3978"/>
        <n v="19412.0544"/>
        <n v="6447.8868"/>
        <n v="1110.44724"/>
        <n v="23833.06632"/>
        <n v="11241.9216"/>
        <n v="29722.71424"/>
        <n v="-1585.563"/>
        <n v="10770.83"/>
        <n v="8727.92352"/>
        <n v="-930.44016"/>
        <n v="7671.1285"/>
        <n v="353.037119999999"/>
        <n v="2180.05962"/>
        <n v="5138.68992"/>
        <n v="6301.44393"/>
        <n v="2501.76"/>
        <n v="14144.8545"/>
        <n v="893.76408"/>
        <n v="5947.25472"/>
        <n v="4094.1692"/>
        <n v="1906.46208"/>
        <n v="18094.5375"/>
        <n v="20471.22"/>
        <n v="26690.81922"/>
        <n v="4120.95645"/>
        <n v="5392.00584"/>
        <n v="-6806.52"/>
        <n v="67.0829999999987"/>
        <n v="10347.6945"/>
        <n v="4493.99544"/>
        <n v="1373.3856"/>
        <n v="2128.07212"/>
        <n v="1504.44112"/>
        <n v="17260.17796"/>
        <n v="12487.92069"/>
        <n v="17422.56"/>
        <n v="1711.34784"/>
        <n v="1230.298"/>
        <n v="388.23536"/>
        <n v="4918.47424"/>
        <n v="-86.7489600000008"/>
        <n v="89.5366"/>
        <n v="1611.2904"/>
        <n v="6341.2616"/>
        <n v="1473.4734"/>
        <n v="1977.25864"/>
        <n v="544.524279999999"/>
        <n v="3556.602"/>
        <n v="671.7276"/>
        <n v="11831.75175"/>
        <n v="1250.77516"/>
        <n v="7568.70261"/>
        <n v="177.36"/>
        <n v="5406.676"/>
        <n v="34487.32425"/>
        <n v="5877.08352"/>
        <n v="-2835.75"/>
        <n v="1784.3703"/>
        <n v="25354.52192"/>
        <n v="-536.9504"/>
        <n v="4221.23"/>
        <n v="8129.7396"/>
        <n v="2461.16875"/>
        <n v="1621.11"/>
        <n v="1274.63688"/>
        <n v="1829.64225"/>
        <n v="15214.59276"/>
        <n v="-1892.7636"/>
        <n v="230.2702"/>
        <n v="20355.868"/>
        <n v="2617.8117"/>
        <n v="-1889.65686"/>
        <n v="555.10411"/>
        <n v="15978.60603"/>
        <n v="729.65018"/>
        <n v="-7.78999999999996"/>
        <n v="1466.86016"/>
        <n v="8001.82768"/>
        <n v="777.959999999999"/>
        <n v="47729.0398"/>
        <n v="7152.61352"/>
        <n v="2558.65836"/>
        <n v="6092.40144"/>
        <n v="-2064.51672"/>
        <n v="993.248880000003"/>
        <n v="6301.42425"/>
        <n v="277.6674"/>
        <n v="1174.45132"/>
        <n v="-1911.76512"/>
        <n v="2018.92488"/>
        <n v="23519.1775"/>
        <n v="13817.8264"/>
        <n v="-8912.01727"/>
        <n v="2610.03908"/>
        <n v="14455.96"/>
        <n v="21180.1932"/>
        <n v="6312.50768"/>
        <n v="-96.84178"/>
      </sharedItems>
    </cacheField>
    <cacheField name="WhatIfProfit" numFmtId="44">
      <sharedItems containsSemiMixedTypes="0" containsString="0" containsNumber="1" minValue="-9477.26873343999" maxValue="103931.11395008" count="632">
        <n v="4027.1859072"/>
        <n v="-9477.26873343999"/>
        <n v="2943.77029632"/>
        <n v="1304.30427776"/>
        <n v="4782.0747168"/>
        <n v="3355.43544"/>
        <n v="1535.10831616"/>
        <n v="409.89106944"/>
        <n v="12003.74983296"/>
        <n v="40615.12717184"/>
        <n v="6696.34678336"/>
        <n v="-4233.9808"/>
        <n v="3361.969376"/>
        <n v="19357.4916"/>
        <n v="818.88096"/>
        <n v="2721.1323168"/>
        <n v="9924.4294912"/>
        <n v="27924.41163776"/>
        <n v="31974.21137664"/>
        <n v="33482.37672448"/>
        <n v="21502.62560768"/>
        <n v="16100.89829376"/>
        <n v="7389.417248"/>
        <n v="16985.9821312"/>
        <n v="22075.51467264"/>
        <n v="5586.01451264"/>
        <n v="1184.6048"/>
        <n v="206.630880000001"/>
        <n v="3376.0908"/>
        <n v="16426.29571968"/>
        <n v="4754.04231872"/>
        <n v="15263.52964608"/>
        <n v="7110.48581632"/>
        <n v="11312.364"/>
        <n v="23841.29952"/>
        <n v="2307.31995264"/>
        <n v="6232.03454016"/>
        <n v="10063.96686848"/>
        <n v="8868.023216"/>
        <n v="1961.68462272"/>
        <n v="27599.27050368"/>
        <n v="6953.74656"/>
        <n v="26877.10144"/>
        <n v="9017.24234048"/>
        <n v="9239.12468864"/>
        <n v="20545.4158336"/>
        <n v="5199.45608"/>
        <n v="102768.596"/>
        <n v="27250.63031808"/>
        <n v="17615.03741184"/>
        <n v="10138.92544"/>
        <n v="296.541952"/>
        <n v="-222.784799999998"/>
        <n v="731.938779520001"/>
        <n v="22.7066496"/>
        <n v="10059.34891008"/>
        <n v="27161.5832928"/>
        <n v="3663.3435392"/>
        <n v="16690.3296"/>
        <n v="1911.4794752"/>
        <n v="21744.8024192"/>
        <n v="19589.1106176"/>
        <n v="8076.032976"/>
        <n v="38027.5557888"/>
        <n v="15412.946944"/>
        <n v="-606.438668159997"/>
        <n v="4207.6680704"/>
        <n v="10442.4926944"/>
        <n v="2751.83243136"/>
        <n v="7591.2276"/>
        <n v="6114.8753568"/>
        <n v="5422.04005632"/>
        <n v="3710.0048192"/>
        <n v="-317.969464320002"/>
        <n v="2385.277248"/>
        <n v="3459.82496384"/>
        <n v="29442.1473632"/>
        <n v="25514.98582912"/>
        <n v="7416.045312"/>
        <n v="3186.83344512"/>
        <n v="44372.2303232"/>
        <n v="5596.71902208"/>
        <n v="4609.9139424"/>
        <n v="356.746992"/>
        <n v="9832.68117312"/>
        <n v="4620.8766208"/>
        <n v="5416.0545536"/>
        <n v="419.6510304"/>
        <n v="10156.0855616"/>
        <n v="394.04069376"/>
        <n v="6350.2450144"/>
        <n v="13039.275952"/>
        <n v="7224.93062656"/>
        <n v="17508.56782528"/>
        <n v="1318.4576256"/>
        <n v="38546.68422528"/>
        <n v="50.93816064"/>
        <n v="23795.59104"/>
        <n v="-500.990730239999"/>
        <n v="15663.4345728"/>
        <n v="49631.67408"/>
        <n v="1601.0322944"/>
        <n v="12337.66464"/>
        <n v="4799.788896"/>
        <n v="9551.3201184"/>
        <n v="3425.078208"/>
        <n v="195.92147328"/>
        <n v="18170.43284736"/>
        <n v="1410.1776"/>
        <n v="153.0513344"/>
        <n v="22341.0744"/>
        <n v="20342.64163008"/>
        <n v="-1.61790336"/>
        <n v="1282.907824"/>
        <n v="-110.48832"/>
        <n v="21170.28103168"/>
        <n v="-248.5668192"/>
        <n v="55504.6089824"/>
        <n v="4357.8066752"/>
        <n v="391.17589056"/>
        <n v="34682.06510016"/>
        <n v="19212.83652672"/>
        <n v="4841.41155072"/>
        <n v="3630.4271104"/>
        <n v="1360.49232896"/>
        <n v="-1335.92988032"/>
        <n v="47065.54297216"/>
        <n v="186.38580288"/>
        <n v="2131.0547328"/>
        <n v="14156.66702592"/>
        <n v="7034.39332352"/>
        <n v="-177.88188352"/>
        <n v="-3854.4203776"/>
        <n v="2258.23908352"/>
        <n v="-2018.49518208"/>
        <n v="22644.47691584"/>
        <n v="4561.43220096"/>
        <n v="1542.129792"/>
        <n v="21324.27976448"/>
        <n v="504.420176"/>
        <n v="53059.74581248"/>
        <n v="6520.1463648"/>
        <n v="14110.04915584"/>
        <n v="6043.8306816"/>
        <n v="18295.53874176"/>
        <n v="11072.77725952"/>
        <n v="-560.2185024"/>
        <n v="8335.73216"/>
        <n v="10574.561616"/>
        <n v="33768.36251136"/>
        <n v="-1593.49840896"/>
        <n v="10958.281632"/>
        <n v="-1021.6315968"/>
        <n v="24997.21162752"/>
        <n v="6125.9459776"/>
        <n v="3679.56932992"/>
        <n v="6400.9135168"/>
        <n v="19003.55784"/>
        <n v="9059.31348096"/>
        <n v="22244.74607488"/>
        <n v="14640.807296"/>
        <n v="3538.5843936"/>
        <n v="3796.82675904"/>
        <n v="10039.055616"/>
        <n v="8581.4678016"/>
        <n v="60765.48299008"/>
        <n v="4283.1334528"/>
        <n v="3885.4986624"/>
        <n v="3730.9836096"/>
        <n v="1393.8063968"/>
        <n v="7354.6548736"/>
        <n v="7772.3985824"/>
        <n v="61.8886976"/>
        <n v="23453.9161344"/>
        <n v="1177.22235392"/>
        <n v="75063.756"/>
        <n v="12548.18643264"/>
        <n v="-77.31216896"/>
        <n v="6343.9506624"/>
        <n v="1356.70126592"/>
        <n v="3.07882496"/>
        <n v="32925.2188928"/>
        <n v="6501.678864"/>
        <n v="6156.88045952"/>
        <n v="11962.83002304"/>
        <n v="5149.96992"/>
        <n v="2925.69604224"/>
        <n v="4411.982736"/>
        <n v="19044.06357504"/>
        <n v="4014.6134336"/>
        <n v="7384.50887040001"/>
        <n v="7310.95504"/>
        <n v="4038.65551872001"/>
        <n v="-2.19545087999995"/>
        <n v="2283.22239744"/>
        <n v="15724.37378304"/>
        <n v="5228.7837312"/>
        <n v="7987.24161536"/>
        <n v="3221.19493248"/>
        <n v="42095.12016"/>
        <n v="5107.04577792"/>
        <n v="1530.813952"/>
        <n v="18653.32976"/>
        <n v="28203.13242752"/>
        <n v="22148.4440832"/>
        <n v="22158.39469184"/>
        <n v="3921.9386688"/>
        <n v="24755.08528896"/>
        <n v="7537.04675328"/>
        <n v="11938.0872768"/>
        <n v="14413.76860608"/>
        <n v="1030.8408768"/>
        <n v="2390.52431616"/>
        <n v="19548.3492"/>
        <n v="5894.55561984"/>
        <n v="6633.5258112"/>
        <n v="2801.89182336"/>
        <n v="1792.45319168"/>
        <n v="3692.57005312"/>
        <n v="23911.1427968"/>
        <n v="11689.7071104"/>
        <n v="492.501728"/>
        <n v="3641.2185216"/>
        <n v="61259.3084928"/>
        <n v="4482.018288"/>
        <n v="18190.684928"/>
        <n v="23382.61909568"/>
        <n v="2477.829312"/>
        <n v="10189.84804864"/>
        <n v="-232.8759104"/>
        <n v="22.7297075200001"/>
        <n v="5056.03702912"/>
        <n v="1894.3979584"/>
        <n v="3968.83282944"/>
        <n v="6080.9765184"/>
        <n v="7241.7376512"/>
        <n v="17644.09388544"/>
        <n v="103931.11395008"/>
        <n v="1990.248"/>
        <n v="2404.8585152"/>
        <n v="2880.26953728"/>
        <n v="5671.5128064"/>
        <n v="18836.69007616"/>
        <n v="429.13176576"/>
        <n v="245.580543999997"/>
        <n v="2401.14382848"/>
        <n v="5619.112512"/>
        <n v="453.52017792"/>
        <n v="1614.58176"/>
        <n v="6173.56399104"/>
        <n v="9897.3193984"/>
        <n v="11896.2537984"/>
        <n v="5612.93331200001"/>
        <n v="21466.86159872"/>
        <n v="5838.11181504"/>
        <n v="22438.1103264"/>
        <n v="12401.8521696"/>
        <n v="1149.91179264"/>
        <n v="3361.046528"/>
        <n v="-1282.3534592"/>
        <n v="17313.59579136"/>
        <n v="13843.0987072"/>
        <n v="5173.2614144"/>
        <n v="189.67502208"/>
        <n v="20426.87148928"/>
        <n v="-3598.64010944"/>
        <n v="31118.32365504"/>
        <n v="13489.17481472"/>
        <n v="1965.6392"/>
        <n v="3119.5161216"/>
        <n v="3905.876944"/>
        <n v="4356.23177216"/>
        <n v="17831.27089408"/>
        <n v="18049.746304"/>
        <n v="9305.2147104"/>
        <n v="3048.75552"/>
        <n v="53379.528064"/>
        <n v="5072.79846912"/>
        <n v="26870.312336"/>
        <n v="7204.63872"/>
        <n v="13566.92292288"/>
        <n v="12003.3515392"/>
        <n v="346.34256"/>
        <n v="8238.83484672"/>
        <n v="8624.2045824"/>
        <n v="1463.9821056"/>
        <n v="4.05043968000001"/>
        <n v="17318.84023872"/>
        <n v="21600.11408256"/>
        <n v="-2476.85571328"/>
        <n v="16245.68491008"/>
        <n v="689.16487552"/>
        <n v="15422.07841664"/>
        <n v="6774.45288"/>
        <n v="4890.482496"/>
        <n v="17956.67401472"/>
        <n v="2970.4481312"/>
        <n v="1929.53105408"/>
        <n v="-11.93849856"/>
        <n v="4049.99232"/>
        <n v="17980.94636352"/>
        <n v="7411.13128512"/>
        <n v="25408.4460608"/>
        <n v="1950.3349696"/>
        <n v="5194.1038464"/>
        <n v="1513.01920768"/>
        <n v="23095.747968"/>
        <n v="1834.28780032"/>
        <n v="3746.0046848"/>
        <n v="7611.44499584"/>
        <n v="24597.5839872"/>
        <n v="363.3744896"/>
        <n v="8093.5906752"/>
        <n v="31498.85664"/>
        <n v="2578.65387584"/>
        <n v="6868.2507296"/>
        <n v="5773.83426048"/>
        <n v="6647.26200000001"/>
        <n v="1883.2203104"/>
        <n v="24884.10540416"/>
        <n v="20210.494176"/>
        <n v="1165.7966144"/>
        <n v="34953.52498176"/>
        <n v="-101.0816768"/>
        <n v="23851.13407424"/>
        <n v="5363.92094208"/>
        <n v="1950.52535808"/>
        <n v="2424.2454336"/>
        <n v="6020.152928"/>
        <n v="22198.234608"/>
        <n v="2201.8388352"/>
        <n v="6252.41241664"/>
        <n v="5743.8595968"/>
        <n v="1615.0141856"/>
        <n v="4120.344144"/>
        <n v="12776.84962624"/>
        <n v="23725.25137664"/>
        <n v="28695.8136544"/>
        <n v="-500.5718496"/>
        <n v="21160.2395648"/>
        <n v="24730.4140032"/>
        <n v="901.175616"/>
        <n v="18087.91336"/>
        <n v="5127.0463872"/>
        <n v="2795.58802432"/>
        <n v="10849.565072"/>
        <n v="63854.05942144"/>
        <n v="1799.8392"/>
        <n v="21579.79364352"/>
        <n v="10548.7794624"/>
        <n v="2172.38170688"/>
        <n v="7214.47417664"/>
        <n v="17515.47840512"/>
        <n v="22126.804992"/>
        <n v="954.5884224"/>
        <n v="17367.65456832"/>
        <n v="37357.91136"/>
        <n v="34537.6413216"/>
        <n v="1622.9992"/>
        <n v="11248.66570048"/>
        <n v="24430.8890112"/>
        <n v="-651.58468544"/>
        <n v="71689.55228288"/>
        <n v="1149.9375456"/>
        <n v="5581.48603776"/>
        <n v="10011.72809088"/>
        <n v="15910.17141248"/>
        <n v="16514.6036832"/>
        <n v="12128.683584"/>
        <n v="2055.1069184"/>
        <n v="2598.58945152"/>
        <n v="9318.5268"/>
        <n v="26816.70645056"/>
        <n v="601.52395264"/>
        <n v="25316.5393536"/>
        <n v="18018.97799808"/>
        <n v="31526.49467264"/>
        <n v="8377.9562944"/>
        <n v="5813.63580224"/>
        <n v="29547.83117952"/>
        <n v="5773.900192"/>
        <n v="5639.9751744"/>
        <n v="18506.02432"/>
        <n v="17133.163312"/>
        <n v="3561.80349312"/>
        <n v="-6341.9605568"/>
        <n v="7122.50694144"/>
        <n v="10279.5394688"/>
        <n v="1632.25767104"/>
        <n v="359.72413312"/>
        <n v="5332.06740352"/>
        <n v="2243.885344"/>
        <n v="37790.405968"/>
        <n v="5419.3575456"/>
        <n v="16249.27476224"/>
        <n v="6977.85643648"/>
        <n v="47548.1893632"/>
        <n v="4611.81258304"/>
        <n v="11169.869792"/>
        <n v="6866.84098368"/>
        <n v="8164.741312"/>
        <n v="7258.80949120001"/>
        <n v="6449.14743296"/>
        <n v="4549.0697216"/>
        <n v="785.1094784"/>
        <n v="10175.70152256"/>
        <n v="11123.6412672"/>
        <n v="3078.10813824"/>
        <n v="1057.27583104"/>
        <n v="14829.94464"/>
        <n v="3426.16299008"/>
        <n v="1973.17933824"/>
        <n v="1382.9435264"/>
        <n v="13306.58260736"/>
        <n v="28568.29056576"/>
        <n v="15731.4528896"/>
        <n v="1017.1895808"/>
        <n v="3905.366256"/>
        <n v="512.95315584"/>
        <n v="5206.5311904"/>
        <n v="8503.3938496"/>
        <n v="6187.8984384"/>
        <n v="82094.63410176"/>
        <n v="4085.27851008"/>
        <n v="42606.99738624"/>
        <n v="12371.7054208"/>
        <n v="14212.36656"/>
        <n v="8852.4316224"/>
        <n v="7114.83456"/>
        <n v="32826.304128"/>
        <n v="10814.388464"/>
        <n v="52801.9716"/>
        <n v="-310.373344"/>
        <n v="10587.41641216"/>
        <n v="258.184193280001"/>
        <n v="13399.056"/>
        <n v="4679.14791168"/>
        <n v="5616.20300416"/>
        <n v="11964.37343232"/>
        <n v="1641.43806336"/>
        <n v="17008.066416"/>
        <n v="7089.01378432"/>
        <n v="27370.92625344"/>
        <n v="5129.01763072"/>
        <n v="17395.01736"/>
        <n v="1599.32147968"/>
        <n v="8129.86654208"/>
        <n v="3281.31664"/>
        <n v="33488.91443584"/>
        <n v="3083.5848"/>
        <n v="10120.8723392"/>
        <n v="17650.073088"/>
        <n v="21031.00048128"/>
        <n v="8500.28384"/>
        <n v="18880.3933824"/>
        <n v="10653.87697152"/>
        <n v="15040.42512"/>
        <n v="1985.34755328"/>
        <n v="6603.00816"/>
        <n v="16255.67008"/>
        <n v="963.32148864"/>
        <n v="555.02619456"/>
        <n v="1759.8156544"/>
        <n v="1057.4967104"/>
        <n v="1416.5983872"/>
        <n v="59648.5447424"/>
        <n v="2201.6274048"/>
        <n v="9309.92638016001"/>
        <n v="16390.35696"/>
        <n v="10561.61365312"/>
        <n v="8831.18909184"/>
        <n v="31079.85292544"/>
        <n v="12895.0929408"/>
        <n v="6186.27777408"/>
        <n v="14987.169792"/>
        <n v="21358.16034176"/>
        <n v="302.6950336"/>
        <n v="-951.188537599999"/>
        <n v="34513.07608896"/>
        <n v="12133.3055712"/>
        <n v="34911.97773824"/>
        <n v="3990.9290784"/>
        <n v="29302.114368"/>
        <n v="3032.38049664"/>
        <n v="12447.5753376"/>
        <n v="2227.89031168"/>
        <n v="3768.40689984"/>
        <n v="23660.7024"/>
        <n v="2191.17121664"/>
        <n v="7055.8078976"/>
        <n v="1143.5384"/>
        <n v="5980.6504"/>
        <n v="233.024802559999"/>
        <n v="94.6405248"/>
        <n v="7104.05024128"/>
        <n v="3824.35746112"/>
        <n v="25736.37172224"/>
        <n v="3342.32016768"/>
        <n v="7543.9559424"/>
        <n v="13686.04813056"/>
        <n v="16869.11032576"/>
        <n v="-2344.3189504"/>
        <n v="9217.41187136"/>
        <n v="5943.2299328"/>
        <n v="4724.6409504"/>
        <n v="28445.87301888"/>
        <n v="20668.4998016"/>
        <n v="12604.7376192"/>
        <n v="2999.8583936"/>
        <n v="6634.6940384"/>
        <n v="3691.78843264"/>
        <n v="2038.21995264"/>
        <n v="21746.2022976"/>
        <n v="2954.3535584"/>
        <n v="29055.0612"/>
        <n v="7571.41616"/>
        <n v="12312.65843712"/>
        <n v="826.74523648"/>
        <n v="6666.69207232"/>
        <n v="166.18953408"/>
        <n v="3570.6254208"/>
        <n v="56693.681088"/>
        <n v="13062.86104"/>
        <n v="13967.3414496"/>
        <n v="4403.5035264"/>
        <n v="5974.164976"/>
        <n v="980.6940192"/>
        <n v="6666.23424"/>
        <n v="31519.20115968"/>
        <n v="30921.5584"/>
        <n v="4013.78027904"/>
        <n v="246.0105312"/>
        <n v="182.88143424"/>
        <n v="9262.2874432"/>
        <n v="34009.0939136"/>
        <n v="11661.3192192"/>
        <n v="3801.71309056"/>
        <n v="41362.88193408"/>
        <n v="18270.1070304"/>
        <n v="52516.26233856"/>
        <n v="-436.383871999999"/>
        <n v="17506.99328"/>
        <n v="19272.35033088"/>
        <n v="699.16346496"/>
        <n v="12526.368064"/>
        <n v="4065.70428928"/>
        <n v="3840.38924928"/>
        <n v="10481.32981248"/>
        <n v="17248.22016192"/>
        <n v="6264.26688"/>
        <n v="24352.522848"/>
        <n v="1529.06468352"/>
        <n v="12424.81762368"/>
        <n v="11030.3819648"/>
        <n v="7362.57111552"/>
        <n v="29636.40056"/>
        <n v="36450.10944"/>
        <n v="44078.40903168"/>
        <n v="7739.7595488"/>
        <n v="9901.42816896"/>
        <n v="-2248.01088"/>
        <n v="2394.925152"/>
        <n v="21724.226688"/>
        <n v="7424.97707136"/>
        <n v="4870.6738464"/>
        <n v="3582.99676928"/>
        <n v="7538.27030528"/>
        <n v="32455.90597824"/>
        <n v="21115.26204736"/>
        <n v="29224.22304"/>
        <n v="2873.43069696"/>
        <n v="2804.836912"/>
        <n v="677.54120384"/>
        <n v="11502.49465856"/>
        <n v="4889.88219776"/>
        <n v="260.4999904"/>
        <n v="5770.6598976"/>
        <n v="11116.8765504"/>
        <n v="3789.4304896"/>
        <n v="3449.81209216"/>
        <n v="3012.15127232"/>
        <n v="5668.005888"/>
        <n v="1291.4118144"/>
        <n v="25785.534432"/>
        <n v="2566.09877504"/>
        <n v="15369.35414784"/>
        <n v="304.93584"/>
        <n v="14051.793664"/>
        <n v="58108.281792"/>
        <n v="10019.06489088"/>
        <n v="267.938400000001"/>
        <n v="5823.9176832"/>
        <n v="43162.77650048"/>
        <n v="1432.6730624"/>
        <n v="7099.14088"/>
        <n v="13258.9893024"/>
        <n v="5257.3792"/>
        <n v="2693.08624"/>
        <n v="2791.51068672"/>
        <n v="3880.619184"/>
        <n v="26889.31386944"/>
        <n v="675.645801600002"/>
        <n v="595.8012288"/>
        <n v="34050.620832"/>
        <n v="4495.1682048"/>
        <n v="542.98494016"/>
        <n v="5321.74840384"/>
        <n v="26014.81842432"/>
        <n v="1670.92712192"/>
        <n v="706.856240000001"/>
        <n v="4996.32085504"/>
        <n v="14195.15128192"/>
        <n v="3962.07216"/>
        <n v="75985.6606912"/>
        <n v="13516.85209088"/>
        <n v="6158.32195584"/>
        <n v="9802.89601536"/>
        <n v="4187.97336832"/>
        <n v="9653.11481472001"/>
        <n v="20549.740592"/>
        <n v="632.2479456"/>
        <n v="1984.64401408"/>
        <n v="8487.35311872001"/>
        <n v="5697.62127872"/>
        <n v="40750.27424"/>
        <n v="25068.1353216"/>
        <n v="-4101.60633088"/>
        <n v="4363.22788352"/>
        <n v="25813.95248"/>
        <n v="35103.9417408"/>
        <n v="10705.17704192"/>
        <n v="-5.27647231999998"/>
      </sharedItems>
    </cacheField>
    <cacheField name="MarginPct" numFmtId="0">
      <sharedItems containsSemiMixedTypes="0" containsString="0" containsNumber="1" minValue="-0.871674861878563" maxValue="0.596725312145289" count="632">
        <n v="0.483561406701495"/>
        <n v="-0.871674861878563"/>
        <n v="-0.150747986191024"/>
        <n v="-0.0943853354638613"/>
        <n v="0.092401129379716"/>
        <n v="0.466147241752298"/>
        <n v="0.187832703708629"/>
        <n v="0.254321937438714"/>
        <n v="0.47179749338808"/>
        <n v="0.322603077355535"/>
        <n v="0.0743610379640581"/>
        <n v="-0.752269648186451"/>
        <n v="0.332656268365689"/>
        <n v="0.552796714407822"/>
        <n v="-0.235951675982076"/>
        <n v="0.0397679328107913"/>
        <n v="0.0384676600745566"/>
        <n v="0.445556507754534"/>
        <n v="0.495302207441088"/>
        <n v="0.508756470593222"/>
        <n v="0.560143666308973"/>
        <n v="0.464944632909208"/>
        <n v="0.331635243035745"/>
        <n v="0.495841450424818"/>
        <n v="0.542765199124924"/>
        <n v="0.305816856893213"/>
        <n v="0.33033528775545"/>
        <n v="-0.292091920845729"/>
        <n v="0.518744250229991"/>
        <n v="0.473874245844247"/>
        <n v="0.140816588136019"/>
        <n v="0.239683250424406"/>
        <n v="0.393037612777915"/>
        <n v="0.511797859061164"/>
        <n v="0.528290641351128"/>
        <n v="0.00392576995734575"/>
        <n v="-0.0152607141630764"/>
        <n v="0.495002728568572"/>
        <n v="0.248456014097583"/>
        <n v="0.206694939881479"/>
        <n v="0.327403997694253"/>
        <n v="0.314577307519647"/>
        <n v="0.361015873480704"/>
        <n v="0.5014011239972"/>
        <n v="0.171274392333326"/>
        <n v="0.288039078045276"/>
        <n v="0.384667237515714"/>
        <n v="0.596725312145289"/>
        <n v="0.42100937762682"/>
        <n v="0.167404045960554"/>
        <n v="0.219002687093519"/>
        <n v="0.0267074985155089"/>
        <n v="-0.382505444363787"/>
        <n v="-0.0534184463370755"/>
        <n v="-0.238485044498472"/>
        <n v="-0.0264780183555063"/>
        <n v="0.571774350257495"/>
        <n v="0.420772831202845"/>
        <n v="-0.0810810810810811"/>
        <n v="0.0742804994858914"/>
        <n v="0.301485751608925"/>
        <n v="0.363148018496453"/>
        <n v="0.393678461192206"/>
        <n v="0.134220432553601"/>
        <n v="0.241948343303575"/>
        <n v="-0.393899228758512"/>
        <n v="-0.0812454270353423"/>
        <n v="0.3868628533269"/>
        <n v="-0.0266664685056396"/>
        <n v="0.50601365792483"/>
        <n v="0.230289258349895"/>
        <n v="0.504108751527945"/>
        <n v="-0.160078112763408"/>
        <n v="-0.377922314370264"/>
        <n v="-0.0364692456308801"/>
        <n v="0.159285124757733"/>
        <n v="0.487786537826302"/>
        <n v="0.427725949167248"/>
        <n v="0.316436365631256"/>
        <n v="0.309422859510733"/>
        <n v="0.391945692067508"/>
        <n v="-0.0374794137296237"/>
        <n v="0.520628585087118"/>
        <n v="0.335761823168022"/>
        <n v="0.122831034490931"/>
        <n v="0.00749179777961219"/>
        <n v="0.0374911590877901"/>
        <n v="-0.0904185796260622"/>
        <n v="0.51357133197303"/>
        <n v="0.287035525745"/>
        <n v="0.418807532538252"/>
        <n v="0.32431040272653"/>
        <n v="0.367012609392874"/>
        <n v="0.527969131891374"/>
        <n v="-0.103738856882197"/>
        <n v="0.548098376857551"/>
        <n v="0.00250027957745845"/>
        <n v="0.353017473189147"/>
        <n v="-0.438021161811379"/>
        <n v="0.152487320341329"/>
        <n v="0.596348773315382"/>
        <n v="-0.0908554588689055"/>
        <n v="0.558548363144769"/>
        <n v="0.46128857879441"/>
        <n v="0.430285616332723"/>
        <n v="-0.149823887243333"/>
        <n v="0.0337495854898514"/>
        <n v="0.423088721887563"/>
        <n v="0.505299927728258"/>
        <n v="-0.0656236694027519"/>
        <n v="0.463226184088581"/>
        <n v="0.330676992710467"/>
        <n v="-0.390640161480305"/>
        <n v="0.261864378163986"/>
        <n v="-0.417697202545324"/>
        <n v="0.519282438136526"/>
        <n v="-0.668503174217431"/>
        <n v="0.50835227886007"/>
        <n v="0.41134726129751"/>
        <n v="0.315735359587798"/>
        <n v="0.533653586506518"/>
        <n v="0.491946029617273"/>
        <n v="-0.0425792724909645"/>
        <n v="-0.00838823468420376"/>
        <n v="0.312315003029727"/>
        <n v="-0.493938390978213"/>
        <n v="0.378846582792163"/>
        <n v="-0.125576433405146"/>
        <n v="0.462555135105491"/>
        <n v="0.536858179483046"/>
        <n v="0.569099355138156"/>
        <n v="-0.384264506740954"/>
        <n v="-0.806333143718252"/>
        <n v="0.302244404430755"/>
        <n v="-0.511767658056511"/>
        <n v="0.483330268395727"/>
        <n v="0.126339775262035"/>
        <n v="-0.052362670424759"/>
        <n v="0.25553994860295"/>
        <n v="-0.0479900939264897"/>
        <n v="0.263056671300401"/>
        <n v="0.45001325071202"/>
        <n v="0.095752037357079"/>
        <n v="0.262236931603289"/>
        <n v="0.368661584809608"/>
        <n v="0.510753063883193"/>
        <n v="-0.501236533838742"/>
        <n v="0.281752162352471"/>
        <n v="0.366777160408521"/>
        <n v="0.450628132393859"/>
        <n v="-0.545670261344266"/>
        <n v="0.163972449205857"/>
        <n v="-0.590782075943144"/>
        <n v="0.498938960030622"/>
        <n v="0.212120030316526"/>
        <n v="0.0689862864738026"/>
        <n v="0.544546231243609"/>
        <n v="0.442964503468156"/>
        <n v="0.528542729234085"/>
        <n v="0.416146687933603"/>
        <n v="0.320136658542101"/>
        <n v="0.282278791252886"/>
        <n v="0.121608306888101"/>
        <n v="0.479230099205279"/>
        <n v="0.38006412254591"/>
        <n v="0.365564296804416"/>
        <n v="-0.0475544778154401"/>
        <n v="-0.0742449303090724"/>
        <n v="0.20272126834499"/>
        <n v="0.257748108137326"/>
        <n v="0.118269686987883"/>
        <n v="0.526468847571339"/>
        <n v="0.293926531251739"/>
        <n v="0.399243018823985"/>
        <n v="0.258888888069484"/>
        <n v="0.420515395255905"/>
        <n v="0.457469678913381"/>
        <n v="-0.584149939811994"/>
        <n v="0.54969674368409"/>
        <n v="-0.0370954082487581"/>
        <n v="-0.179002606667581"/>
        <n v="0.452213553516713"/>
        <n v="0.501531707834728"/>
        <n v="0.363778783381164"/>
        <n v="0.108989277118888"/>
        <n v="0.151740927166088"/>
        <n v="0.261490161461764"/>
        <n v="-0.179123312054522"/>
        <n v="0.334396073355753"/>
        <n v="0.123320362809619"/>
        <n v="0.0338600104717422"/>
        <n v="0.490271057029413"/>
        <n v="-0.178308814624286"/>
        <n v="-0.344498726212715"/>
        <n v="0.237212239378812"/>
        <n v="0.160121302167231"/>
        <n v="-0.102817155205362"/>
        <n v="0.36116022775356"/>
        <n v="0.0418077759150174"/>
        <n v="0.409306294704365"/>
        <n v="-0.00270592385601078"/>
        <n v="-0.0646434531154966"/>
        <n v="0.393313738386911"/>
        <n v="0.24402198562828"/>
        <n v="0.522738371244198"/>
        <n v="0.503950514161888"/>
        <n v="0.241158720712624"/>
        <n v="0.52808734852027"/>
        <n v="0.132262657078208"/>
        <n v="0.324878829491"/>
        <n v="0.454051356415861"/>
        <n v="0.236818511892447"/>
        <n v="-0.00175456946045822"/>
        <n v="0.463014360289064"/>
        <n v="0.406452418768649"/>
        <n v="0.0908977548899697"/>
        <n v="0.0180501896373104"/>
        <n v="0.459197556143653"/>
        <n v="0.220990467934023"/>
        <n v="0.437636314626263"/>
        <n v="0.520653422758637"/>
        <n v="0.198380682725484"/>
        <n v="0.46454223268258"/>
        <n v="0.57047129713584"/>
        <n v="-0.054660696824582"/>
        <n v="0.499189972470814"/>
        <n v="0.423160919920909"/>
        <n v="0.103777037214136"/>
        <n v="0.2695102857349"/>
        <n v="-0.375273115798278"/>
        <n v="-0.309930143454378"/>
        <n v="0.525527808930327"/>
        <n v="0.313780814585194"/>
        <n v="0.407550791521414"/>
        <n v="0.0821416283281379"/>
        <n v="0.0731554769555933"/>
        <n v="0.132370666667773"/>
        <n v="0.402214337998312"/>
        <n v="-0.0462453364750765"/>
        <n v="0.284966057896319"/>
        <n v="0.305202234258427"/>
        <n v="0.241605127070502"/>
        <n v="0.208673323534345"/>
        <n v="0.229534551622468"/>
        <n v="-0.323950441664062"/>
        <n v="0.481172505873564"/>
        <n v="0.170702110806151"/>
        <n v="0.402772912031858"/>
        <n v="0.105488803020011"/>
        <n v="0.178580908199315"/>
        <n v="0.46816314090483"/>
        <n v="0.337603139836197"/>
        <n v="-0.026699099240272"/>
        <n v="0.498369066911591"/>
        <n v="0.558576292848989"/>
        <n v="0.58468339013679"/>
        <n v="0.306228772791575"/>
        <n v="0.136298527948351"/>
        <n v="0.424175645352316"/>
        <n v="-0.513422604564916"/>
        <n v="0.412624627953033"/>
        <n v="0.426584922345155"/>
        <n v="0.287960055399561"/>
        <n v="-0.00551722838293234"/>
        <n v="0.164892259446724"/>
        <n v="-0.62966253274898"/>
        <n v="0.457631054850259"/>
        <n v="0.422690500892255"/>
        <n v="-0.061043933897622"/>
        <n v="0.0622816141790521"/>
        <n v="0.195842665872956"/>
        <n v="0.26777457172778"/>
        <n v="0.170876881276565"/>
        <n v="0.267095231575508"/>
        <n v="0.471000875319646"/>
        <n v="0.0118557075562956"/>
        <n v="0.327029073842462"/>
        <n v="0.492192137626217"/>
        <n v="0.427241303932016"/>
        <n v="0.464810892383184"/>
        <n v="0.433874329626995"/>
        <n v="0.405589314087893"/>
        <n v="0.174678767184833"/>
        <n v="0.360405295794904"/>
        <n v="0.212203665083665"/>
        <n v="0.0239597507434312"/>
        <n v="-0.290801841691061"/>
        <n v="0.520697393313683"/>
        <n v="0.463027147684946"/>
        <n v="-0.580874231556078"/>
        <n v="0.50807417885651"/>
        <n v="0.283113796526035"/>
        <n v="0.315751293466807"/>
        <n v="0.573680820411954"/>
        <n v="0.205277394781638"/>
        <n v="0.533820056115772"/>
        <n v="0.356266720397546"/>
        <n v="0.260703499632195"/>
        <n v="-0.522397534038765"/>
        <n v="-0.0250848867022382"/>
        <n v="0.359004796651888"/>
        <n v="0.407155287495068"/>
        <n v="0.296230265496724"/>
        <n v="-0.103023886491128"/>
        <n v="0.531491581290246"/>
        <n v="0.577611334596146"/>
        <n v="0.192052375135291"/>
        <n v="0.159327686937635"/>
        <n v="0.358167747102662"/>
        <n v="0.42895244107619"/>
        <n v="0.454641687038738"/>
        <n v="0.0693678599738083"/>
        <n v="0.373300645316082"/>
        <n v="0.43711877230454"/>
        <n v="0.168405941085445"/>
        <n v="0.438209150831923"/>
        <n v="0.29312350801066"/>
        <n v="0.0636425832341595"/>
        <n v="0.301944077939694"/>
        <n v="0.125207198156859"/>
        <n v="0.559052276735279"/>
        <n v="-0.188417473145587"/>
        <n v="0.539852738645117"/>
        <n v="-0.487736525706342"/>
        <n v="0.572806534936568"/>
        <n v="0.201721291365063"/>
        <n v="0.477632821063478"/>
        <n v="0.293992374315496"/>
        <n v="0.383971317979376"/>
        <n v="0.455751012954403"/>
        <n v="0.523791281629997"/>
        <n v="0.369386853272585"/>
        <n v="0.390741019925147"/>
        <n v="-0.0561234249902908"/>
        <n v="0.504443376771756"/>
        <n v="0.443753738375388"/>
        <n v="0.495898904015089"/>
        <n v="0.400650381181288"/>
        <n v="-0.509669893936181"/>
        <n v="0.334240739659675"/>
        <n v="0.0699052440920458"/>
        <n v="0.366748995873018"/>
        <n v="0.557985562576795"/>
        <n v="0.173186825994644"/>
        <n v="0.536457243196188"/>
        <n v="0.451580842173312"/>
        <n v="0.463435953103581"/>
        <n v="0.471587819467102"/>
        <n v="0.450575566293456"/>
        <n v="0.518048505620872"/>
        <n v="0.181741677095997"/>
        <n v="0.0935795773419352"/>
        <n v="0.315652028025766"/>
        <n v="0.291517859912443"/>
        <n v="0.506723883725506"/>
        <n v="0.404766582490488"/>
        <n v="0.506823595003546"/>
        <n v="0.356042227177011"/>
        <n v="0.0545950194017388"/>
        <n v="0.41534043907553"/>
        <n v="0.350695925204735"/>
        <n v="-0.479620562545336"/>
        <n v="0.524809342749793"/>
        <n v="-0.264613671067361"/>
        <n v="0.0948888515979868"/>
        <n v="0.119834618805373"/>
        <n v="0.469930673784832"/>
        <n v="0.546065435591743"/>
        <n v="0.535872894550478"/>
        <n v="0.105737130484122"/>
        <n v="0.284703507535284"/>
        <n v="0.208259721633691"/>
        <n v="0.486744630562226"/>
        <n v="-0.197909970381311"/>
        <n v="0.425556596618034"/>
        <n v="0.124975262364066"/>
        <n v="0.379856858718739"/>
        <n v="0.201841333481828"/>
        <n v="0.540028514762048"/>
        <n v="0.545993894233509"/>
        <n v="0.165515295738855"/>
        <n v="0.0938489589582799"/>
        <n v="0.14867574598773"/>
        <n v="0.0152357225814162"/>
        <n v="-0.110554192201391"/>
        <n v="-0.63142290227212"/>
        <n v="0.398948915389311"/>
        <n v="0.175868047977494"/>
        <n v="-0.228304065456788"/>
        <n v="0.483994198859217"/>
        <n v="-0.0136882012734929"/>
        <n v="0.544645114865428"/>
        <n v="0.176241771522841"/>
        <n v="0.0929555161831215"/>
        <n v="0.476633598575566"/>
        <n v="0.139507685173246"/>
        <n v="0.502402930628748"/>
        <n v="-0.0966013829213438"/>
        <n v="0.503130056911574"/>
        <n v="0.185358603800794"/>
        <n v="0.116462153520859"/>
        <n v="0.0725226859620907"/>
        <n v="0.0365684221383283"/>
        <n v="0.522419513593941"/>
        <n v="-0.243756209380512"/>
        <n v="0.413272766166904"/>
        <n v="0.151327516547318"/>
        <n v="-0.201104796813419"/>
        <n v="-0.118072561936133"/>
        <n v="0.282567253774628"/>
        <n v="0.299532911246916"/>
        <n v="-0.0580270255870489"/>
        <n v="0.32765602968734"/>
        <n v="0.480742816094454"/>
        <n v="0.562543555408064"/>
        <n v="0.510440494058021"/>
        <n v="-0.250625228161003"/>
        <n v="0.146041423250492"/>
        <n v="0.347835199678635"/>
        <n v="0.203520693129598"/>
        <n v="0.241320836751275"/>
        <n v="0.275737043740282"/>
        <n v="0.459880425513053"/>
        <n v="-0.206111103334505"/>
        <n v="0.389444624438231"/>
        <n v="0.461083552170474"/>
        <n v="0.122964986907608"/>
        <n v="-0.0577853286165767"/>
        <n v="0.184954879805869"/>
        <n v="0.453950679783215"/>
        <n v="0.490712468922521"/>
        <n v="0.565474834065795"/>
        <n v="-0.462119389988827"/>
        <n v="0.472428915766499"/>
        <n v="-0.211598061443102"/>
        <n v="0.147726522074205"/>
        <n v="0.499627169685411"/>
        <n v="0.421109709723101"/>
        <n v="0.148789970988279"/>
        <n v="0.243142471599439"/>
        <n v="0.478747128583584"/>
        <n v="0.215577669857881"/>
        <n v="0.524557497457149"/>
        <n v="0.516567236509547"/>
        <n v="0.458929471521073"/>
        <n v="0.486687447649682"/>
        <n v="0.488002204365135"/>
        <n v="0.125837568671276"/>
        <n v="0.391257637583147"/>
        <n v="-0.0930817302997752"/>
        <n v="0.468096295133622"/>
        <n v="0.555207467191673"/>
        <n v="0.543593521541004"/>
        <n v="0.365249976715475"/>
        <n v="0.472188321536491"/>
        <n v="0.378164253374727"/>
        <n v="0.379167592237323"/>
        <n v="-0.0912405957879104"/>
        <n v="0.519898891376918"/>
        <n v="0.32436433996654"/>
        <n v="0.235373693650625"/>
        <n v="0.252689604654708"/>
        <n v="0.0899312087808471"/>
        <n v="0.216414105923948"/>
        <n v="0.390657069152314"/>
        <n v="0.364952885229093"/>
        <n v="0.465464485684117"/>
        <n v="0.308781919576563"/>
        <n v="0.304632655944476"/>
        <n v="0.305856675956708"/>
        <n v="0.502868096997119"/>
        <n v="0.506351251844418"/>
        <n v="0.494729060009978"/>
        <n v="0.398627987612743"/>
        <n v="0.43522803392263"/>
        <n v="0.441395341996477"/>
        <n v="-0.0440931702059124"/>
        <n v="-0.569808155238616"/>
        <n v="0.479421729293648"/>
        <n v="0.19237685209472"/>
        <n v="0.518262744476737"/>
        <n v="0.498230050901271"/>
        <n v="0.466321500146967"/>
        <n v="0.247448682397984"/>
        <n v="0.224155908632894"/>
        <n v="0.0234415007925812"/>
        <n v="0.386341228472164"/>
        <n v="0.47594430712691"/>
        <n v="0.200274537352121"/>
        <n v="0.389876086807923"/>
        <n v="0.395030212944712"/>
        <n v="0.5534430755841"/>
        <n v="-0.312960864699507"/>
        <n v="0.515203015546186"/>
        <n v="0.255007830251879"/>
        <n v="0.472655280142334"/>
        <n v="0.494523722889277"/>
        <n v="-0.211628856784524"/>
        <n v="0.5286714023171"/>
        <n v="0.481726941237241"/>
        <n v="0.485651136047509"/>
        <n v="-0.659600962608138"/>
        <n v="0.504031717033553"/>
        <n v="0.344097828975565"/>
        <n v="0.119659702675273"/>
        <n v="0.535717990498337"/>
        <n v="0.249915045593372"/>
        <n v="0.478552716657456"/>
        <n v="0.421040798389381"/>
        <n v="0.455608451996803"/>
        <n v="0.0558781675829597"/>
        <n v="0.234128130047297"/>
        <n v="0.0883608775030118"/>
        <n v="0.225252373675587"/>
        <n v="0.528300391340962"/>
        <n v="0.353206920303067"/>
        <n v="0.210580231495435"/>
        <n v="0.474255087156076"/>
        <n v="0.335734778212312"/>
        <n v="-0.149791823068434"/>
        <n v="0.138550649050734"/>
        <n v="0.539175757497584"/>
        <n v="0.235884503073247"/>
        <n v="0.522391947028204"/>
        <n v="0.340277952596009"/>
        <n v="0.373472174896968"/>
        <n v="0.112868156535529"/>
        <n v="0.240400597529929"/>
        <n v="0.194542758981784"/>
        <n v="0.581210672299834"/>
        <n v="0.089356783066646"/>
        <n v="0.0539466366698919"/>
        <n v="-0.00189503116632645"/>
        <n v="0.432770502771287"/>
        <n v="0.457472675015942"/>
        <n v="0.425453497974059"/>
        <n v="0.141938356064123"/>
        <n v="0.467693157450834"/>
        <n v="0.550244592818022"/>
        <n v="0.448574906124683"/>
        <n v="-0.474628940528408"/>
        <n v="0.550040930718057"/>
        <n v="0.284738634420796"/>
        <n v="-0.196410593433637"/>
        <n v="0.543509371518213"/>
        <n v="0.0327109228332879"/>
        <n v="0.451681699859329"/>
        <n v="0.330868141603204"/>
        <n v="0.198021469151727"/>
        <n v="0.228731924604481"/>
        <n v="0.47668378145861"/>
        <n v="0.483951757351543"/>
        <n v="0.315837245288304"/>
        <n v="0.203049452569757"/>
        <n v="0.120199752470214"/>
        <n v="0.539299493300348"/>
        <n v="0.440712710757701"/>
        <n v="0.528057189703905"/>
        <n v="0.391734222641205"/>
        <n v="0.411327632155443"/>
        <n v="-0.513642249771346"/>
        <n v="0.00991328040871371"/>
        <n v="0.312890329775068"/>
        <n v="0.527445963775172"/>
        <n v="0.135088849735597"/>
        <n v="0.503157884940827"/>
        <n v="0.0857710302012775"/>
        <n v="0.390734896749468"/>
        <n v="0.49793378277483"/>
        <n v="0.507840345863662"/>
        <n v="0.506593530258285"/>
        <n v="0.268791395864849"/>
        <n v="0.461632444292626"/>
        <n v="0.256979023605466"/>
        <n v="-0.00599635401821342"/>
        <n v="0.180158982153644"/>
        <n v="0.133261519064326"/>
        <n v="0.456777611481698"/>
        <n v="0.218861934824339"/>
        <n v="0.461903078059604"/>
        <n v="0.0759095085695628"/>
        <n v="0.579458574910041"/>
        <n v="0.372890399707429"/>
        <n v="0.291685967508319"/>
        <n v="0.327118474967026"/>
        <n v="0.333771311948764"/>
        <n v="0.478239767027989"/>
        <n v="0.21513837246484"/>
        <n v="0.502250576459717"/>
        <n v="0.488103772048224"/>
        <n v="-0.314302814676886"/>
        <n v="0.151953504928007"/>
        <n v="0.489770375926696"/>
        <n v="-0.093779821943697"/>
        <n v="0.504568480591727"/>
        <n v="0.545231873014769"/>
        <n v="0.30278194904822"/>
        <n v="0.520218470513861"/>
        <n v="0.289064973485259"/>
        <n v="0.306876651592806"/>
        <n v="0.448303634868675"/>
        <n v="-0.253507356729962"/>
        <n v="0.216706497010795"/>
        <n v="0.511321283260967"/>
        <n v="0.479678325612394"/>
        <n v="-0.26721647214861"/>
        <n v="0.0400608482757513"/>
        <n v="0.547680764252341"/>
        <n v="0.266658674765808"/>
        <n v="-0.00374977135540514"/>
        <n v="0.142967988211094"/>
        <n v="0.444450976381511"/>
        <n v="0.0840479940882484"/>
        <n v="0.581059913512635"/>
        <n v="0.386613264646957"/>
        <n v="0.244516870092303"/>
        <n v="0.564826616181392"/>
        <n v="-0.11358574610245"/>
        <n v="0.0394553007281687"/>
        <n v="0.152136567575375"/>
        <n v="0.269381912756581"/>
        <n v="0.498660697673617"/>
        <n v="-0.0632406696590218"/>
        <n v="0.188792464352768"/>
        <n v="0.469534654820817"/>
        <n v="0.422506823121439"/>
        <n v="-0.6373122753294"/>
        <n v="0.51212592831834"/>
        <n v="0.437828273680984"/>
        <n v="0.523277653244762"/>
        <n v="0.494346936453886"/>
        <n v="-0.363823080641234"/>
      </sharedItems>
    </cacheField>
    <cacheField name="Years" numFmtId="0" databaseField="0">
      <fieldGroup base="1">
        <rangePr groupBy="years" startDate="2023-01-02T00:00:00" endDate="2025-09-15T00:00:00" groupInterval="1"/>
        <groupItems count="5">
          <s v="&lt;1/2/2023"/>
          <s v="2023"/>
          <s v="2024"/>
          <s v="2025"/>
          <s v="&gt;9/15/2025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3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0"/>
    <x v="1"/>
    <x v="1"/>
    <x v="1"/>
    <x v="1"/>
    <x v="1"/>
    <x v="1"/>
    <x v="1"/>
    <x v="1"/>
    <x v="1"/>
    <x v="1"/>
    <x v="1"/>
    <x v="0"/>
    <x v="1"/>
    <x v="1"/>
    <x v="1"/>
    <x v="1"/>
    <x v="1"/>
    <x v="1"/>
    <x v="1"/>
    <x v="1"/>
    <x v="1"/>
    <x v="1"/>
    <x v="1"/>
  </r>
  <r>
    <x v="2"/>
    <x v="2"/>
    <x v="2"/>
    <x v="2"/>
    <x v="0"/>
    <x v="2"/>
    <x v="2"/>
    <x v="2"/>
    <x v="0"/>
    <x v="0"/>
    <x v="0"/>
    <x v="2"/>
    <x v="0"/>
    <x v="0"/>
    <x v="2"/>
    <x v="2"/>
    <x v="2"/>
    <x v="2"/>
    <x v="2"/>
    <x v="2"/>
    <x v="2"/>
    <x v="1"/>
    <x v="2"/>
    <x v="0"/>
    <x v="2"/>
    <x v="2"/>
    <x v="2"/>
    <x v="2"/>
    <x v="2"/>
    <x v="2"/>
    <x v="2"/>
    <x v="2"/>
    <x v="2"/>
  </r>
  <r>
    <x v="3"/>
    <x v="3"/>
    <x v="0"/>
    <x v="3"/>
    <x v="0"/>
    <x v="3"/>
    <x v="3"/>
    <x v="3"/>
    <x v="1"/>
    <x v="0"/>
    <x v="1"/>
    <x v="3"/>
    <x v="2"/>
    <x v="2"/>
    <x v="3"/>
    <x v="3"/>
    <x v="3"/>
    <x v="3"/>
    <x v="3"/>
    <x v="3"/>
    <x v="3"/>
    <x v="0"/>
    <x v="3"/>
    <x v="0"/>
    <x v="3"/>
    <x v="3"/>
    <x v="3"/>
    <x v="3"/>
    <x v="3"/>
    <x v="3"/>
    <x v="3"/>
    <x v="3"/>
    <x v="3"/>
  </r>
  <r>
    <x v="4"/>
    <x v="4"/>
    <x v="3"/>
    <x v="4"/>
    <x v="1"/>
    <x v="4"/>
    <x v="4"/>
    <x v="2"/>
    <x v="0"/>
    <x v="1"/>
    <x v="2"/>
    <x v="4"/>
    <x v="3"/>
    <x v="0"/>
    <x v="4"/>
    <x v="1"/>
    <x v="4"/>
    <x v="4"/>
    <x v="4"/>
    <x v="4"/>
    <x v="4"/>
    <x v="0"/>
    <x v="4"/>
    <x v="0"/>
    <x v="4"/>
    <x v="4"/>
    <x v="4"/>
    <x v="4"/>
    <x v="4"/>
    <x v="4"/>
    <x v="4"/>
    <x v="4"/>
    <x v="4"/>
  </r>
  <r>
    <x v="5"/>
    <x v="5"/>
    <x v="4"/>
    <x v="5"/>
    <x v="0"/>
    <x v="5"/>
    <x v="5"/>
    <x v="4"/>
    <x v="1"/>
    <x v="2"/>
    <x v="3"/>
    <x v="5"/>
    <x v="0"/>
    <x v="3"/>
    <x v="5"/>
    <x v="4"/>
    <x v="5"/>
    <x v="5"/>
    <x v="5"/>
    <x v="5"/>
    <x v="5"/>
    <x v="0"/>
    <x v="5"/>
    <x v="0"/>
    <x v="5"/>
    <x v="5"/>
    <x v="5"/>
    <x v="5"/>
    <x v="5"/>
    <x v="5"/>
    <x v="5"/>
    <x v="5"/>
    <x v="5"/>
  </r>
  <r>
    <x v="6"/>
    <x v="6"/>
    <x v="3"/>
    <x v="6"/>
    <x v="1"/>
    <x v="6"/>
    <x v="6"/>
    <x v="5"/>
    <x v="0"/>
    <x v="1"/>
    <x v="4"/>
    <x v="6"/>
    <x v="4"/>
    <x v="2"/>
    <x v="6"/>
    <x v="5"/>
    <x v="6"/>
    <x v="6"/>
    <x v="6"/>
    <x v="6"/>
    <x v="6"/>
    <x v="1"/>
    <x v="6"/>
    <x v="0"/>
    <x v="6"/>
    <x v="6"/>
    <x v="6"/>
    <x v="6"/>
    <x v="6"/>
    <x v="6"/>
    <x v="6"/>
    <x v="6"/>
    <x v="6"/>
  </r>
  <r>
    <x v="7"/>
    <x v="7"/>
    <x v="4"/>
    <x v="7"/>
    <x v="0"/>
    <x v="7"/>
    <x v="7"/>
    <x v="1"/>
    <x v="1"/>
    <x v="0"/>
    <x v="1"/>
    <x v="7"/>
    <x v="1"/>
    <x v="1"/>
    <x v="7"/>
    <x v="1"/>
    <x v="7"/>
    <x v="7"/>
    <x v="7"/>
    <x v="7"/>
    <x v="7"/>
    <x v="0"/>
    <x v="7"/>
    <x v="0"/>
    <x v="7"/>
    <x v="7"/>
    <x v="7"/>
    <x v="7"/>
    <x v="7"/>
    <x v="7"/>
    <x v="7"/>
    <x v="7"/>
    <x v="7"/>
  </r>
  <r>
    <x v="8"/>
    <x v="8"/>
    <x v="5"/>
    <x v="8"/>
    <x v="2"/>
    <x v="8"/>
    <x v="8"/>
    <x v="2"/>
    <x v="0"/>
    <x v="0"/>
    <x v="1"/>
    <x v="7"/>
    <x v="2"/>
    <x v="2"/>
    <x v="7"/>
    <x v="5"/>
    <x v="8"/>
    <x v="8"/>
    <x v="8"/>
    <x v="8"/>
    <x v="8"/>
    <x v="2"/>
    <x v="8"/>
    <x v="0"/>
    <x v="8"/>
    <x v="8"/>
    <x v="8"/>
    <x v="8"/>
    <x v="8"/>
    <x v="8"/>
    <x v="8"/>
    <x v="8"/>
    <x v="8"/>
  </r>
  <r>
    <x v="9"/>
    <x v="9"/>
    <x v="5"/>
    <x v="9"/>
    <x v="2"/>
    <x v="9"/>
    <x v="9"/>
    <x v="6"/>
    <x v="0"/>
    <x v="2"/>
    <x v="5"/>
    <x v="8"/>
    <x v="2"/>
    <x v="1"/>
    <x v="8"/>
    <x v="0"/>
    <x v="9"/>
    <x v="9"/>
    <x v="9"/>
    <x v="9"/>
    <x v="9"/>
    <x v="2"/>
    <x v="9"/>
    <x v="0"/>
    <x v="9"/>
    <x v="1"/>
    <x v="1"/>
    <x v="9"/>
    <x v="9"/>
    <x v="9"/>
    <x v="9"/>
    <x v="9"/>
    <x v="9"/>
  </r>
  <r>
    <x v="10"/>
    <x v="10"/>
    <x v="4"/>
    <x v="10"/>
    <x v="0"/>
    <x v="10"/>
    <x v="10"/>
    <x v="7"/>
    <x v="0"/>
    <x v="3"/>
    <x v="6"/>
    <x v="9"/>
    <x v="0"/>
    <x v="1"/>
    <x v="3"/>
    <x v="6"/>
    <x v="10"/>
    <x v="10"/>
    <x v="10"/>
    <x v="10"/>
    <x v="10"/>
    <x v="0"/>
    <x v="10"/>
    <x v="0"/>
    <x v="10"/>
    <x v="9"/>
    <x v="9"/>
    <x v="10"/>
    <x v="10"/>
    <x v="10"/>
    <x v="10"/>
    <x v="10"/>
    <x v="10"/>
  </r>
  <r>
    <x v="11"/>
    <x v="11"/>
    <x v="4"/>
    <x v="11"/>
    <x v="0"/>
    <x v="11"/>
    <x v="11"/>
    <x v="8"/>
    <x v="0"/>
    <x v="1"/>
    <x v="2"/>
    <x v="4"/>
    <x v="0"/>
    <x v="3"/>
    <x v="9"/>
    <x v="3"/>
    <x v="11"/>
    <x v="11"/>
    <x v="11"/>
    <x v="11"/>
    <x v="11"/>
    <x v="0"/>
    <x v="11"/>
    <x v="1"/>
    <x v="11"/>
    <x v="10"/>
    <x v="10"/>
    <x v="11"/>
    <x v="11"/>
    <x v="11"/>
    <x v="11"/>
    <x v="11"/>
    <x v="11"/>
  </r>
  <r>
    <x v="12"/>
    <x v="12"/>
    <x v="0"/>
    <x v="12"/>
    <x v="0"/>
    <x v="12"/>
    <x v="12"/>
    <x v="2"/>
    <x v="0"/>
    <x v="2"/>
    <x v="5"/>
    <x v="10"/>
    <x v="2"/>
    <x v="1"/>
    <x v="1"/>
    <x v="0"/>
    <x v="12"/>
    <x v="12"/>
    <x v="12"/>
    <x v="12"/>
    <x v="12"/>
    <x v="0"/>
    <x v="12"/>
    <x v="0"/>
    <x v="12"/>
    <x v="11"/>
    <x v="11"/>
    <x v="12"/>
    <x v="12"/>
    <x v="12"/>
    <x v="12"/>
    <x v="12"/>
    <x v="12"/>
  </r>
  <r>
    <x v="13"/>
    <x v="13"/>
    <x v="4"/>
    <x v="13"/>
    <x v="0"/>
    <x v="13"/>
    <x v="13"/>
    <x v="9"/>
    <x v="0"/>
    <x v="3"/>
    <x v="7"/>
    <x v="11"/>
    <x v="0"/>
    <x v="0"/>
    <x v="10"/>
    <x v="1"/>
    <x v="13"/>
    <x v="13"/>
    <x v="13"/>
    <x v="13"/>
    <x v="13"/>
    <x v="1"/>
    <x v="5"/>
    <x v="0"/>
    <x v="5"/>
    <x v="4"/>
    <x v="4"/>
    <x v="13"/>
    <x v="13"/>
    <x v="13"/>
    <x v="13"/>
    <x v="13"/>
    <x v="13"/>
  </r>
  <r>
    <x v="14"/>
    <x v="14"/>
    <x v="6"/>
    <x v="14"/>
    <x v="3"/>
    <x v="14"/>
    <x v="14"/>
    <x v="10"/>
    <x v="0"/>
    <x v="2"/>
    <x v="5"/>
    <x v="10"/>
    <x v="1"/>
    <x v="0"/>
    <x v="11"/>
    <x v="6"/>
    <x v="14"/>
    <x v="14"/>
    <x v="14"/>
    <x v="14"/>
    <x v="14"/>
    <x v="0"/>
    <x v="5"/>
    <x v="0"/>
    <x v="5"/>
    <x v="2"/>
    <x v="2"/>
    <x v="14"/>
    <x v="14"/>
    <x v="14"/>
    <x v="14"/>
    <x v="14"/>
    <x v="14"/>
  </r>
  <r>
    <x v="15"/>
    <x v="15"/>
    <x v="7"/>
    <x v="15"/>
    <x v="2"/>
    <x v="15"/>
    <x v="15"/>
    <x v="1"/>
    <x v="1"/>
    <x v="0"/>
    <x v="0"/>
    <x v="2"/>
    <x v="4"/>
    <x v="4"/>
    <x v="6"/>
    <x v="4"/>
    <x v="15"/>
    <x v="15"/>
    <x v="15"/>
    <x v="15"/>
    <x v="15"/>
    <x v="1"/>
    <x v="13"/>
    <x v="0"/>
    <x v="13"/>
    <x v="0"/>
    <x v="0"/>
    <x v="15"/>
    <x v="15"/>
    <x v="15"/>
    <x v="15"/>
    <x v="15"/>
    <x v="15"/>
  </r>
  <r>
    <x v="16"/>
    <x v="16"/>
    <x v="3"/>
    <x v="16"/>
    <x v="1"/>
    <x v="16"/>
    <x v="16"/>
    <x v="10"/>
    <x v="0"/>
    <x v="3"/>
    <x v="7"/>
    <x v="11"/>
    <x v="4"/>
    <x v="0"/>
    <x v="11"/>
    <x v="1"/>
    <x v="16"/>
    <x v="16"/>
    <x v="16"/>
    <x v="16"/>
    <x v="16"/>
    <x v="1"/>
    <x v="14"/>
    <x v="0"/>
    <x v="14"/>
    <x v="12"/>
    <x v="12"/>
    <x v="16"/>
    <x v="16"/>
    <x v="16"/>
    <x v="16"/>
    <x v="16"/>
    <x v="16"/>
  </r>
  <r>
    <x v="17"/>
    <x v="17"/>
    <x v="6"/>
    <x v="17"/>
    <x v="3"/>
    <x v="17"/>
    <x v="17"/>
    <x v="11"/>
    <x v="0"/>
    <x v="1"/>
    <x v="2"/>
    <x v="4"/>
    <x v="0"/>
    <x v="3"/>
    <x v="0"/>
    <x v="3"/>
    <x v="17"/>
    <x v="17"/>
    <x v="17"/>
    <x v="17"/>
    <x v="17"/>
    <x v="2"/>
    <x v="15"/>
    <x v="0"/>
    <x v="15"/>
    <x v="13"/>
    <x v="13"/>
    <x v="17"/>
    <x v="17"/>
    <x v="17"/>
    <x v="17"/>
    <x v="17"/>
    <x v="17"/>
  </r>
  <r>
    <x v="18"/>
    <x v="18"/>
    <x v="8"/>
    <x v="18"/>
    <x v="3"/>
    <x v="18"/>
    <x v="18"/>
    <x v="12"/>
    <x v="0"/>
    <x v="2"/>
    <x v="5"/>
    <x v="10"/>
    <x v="5"/>
    <x v="2"/>
    <x v="3"/>
    <x v="6"/>
    <x v="18"/>
    <x v="18"/>
    <x v="18"/>
    <x v="18"/>
    <x v="18"/>
    <x v="2"/>
    <x v="14"/>
    <x v="0"/>
    <x v="14"/>
    <x v="7"/>
    <x v="7"/>
    <x v="18"/>
    <x v="18"/>
    <x v="18"/>
    <x v="18"/>
    <x v="18"/>
    <x v="18"/>
  </r>
  <r>
    <x v="19"/>
    <x v="9"/>
    <x v="5"/>
    <x v="9"/>
    <x v="2"/>
    <x v="19"/>
    <x v="19"/>
    <x v="1"/>
    <x v="1"/>
    <x v="3"/>
    <x v="8"/>
    <x v="12"/>
    <x v="5"/>
    <x v="1"/>
    <x v="12"/>
    <x v="4"/>
    <x v="19"/>
    <x v="19"/>
    <x v="19"/>
    <x v="19"/>
    <x v="19"/>
    <x v="2"/>
    <x v="16"/>
    <x v="0"/>
    <x v="16"/>
    <x v="14"/>
    <x v="14"/>
    <x v="19"/>
    <x v="19"/>
    <x v="19"/>
    <x v="19"/>
    <x v="19"/>
    <x v="19"/>
  </r>
  <r>
    <x v="20"/>
    <x v="19"/>
    <x v="8"/>
    <x v="19"/>
    <x v="3"/>
    <x v="20"/>
    <x v="20"/>
    <x v="1"/>
    <x v="1"/>
    <x v="0"/>
    <x v="0"/>
    <x v="13"/>
    <x v="2"/>
    <x v="4"/>
    <x v="1"/>
    <x v="4"/>
    <x v="20"/>
    <x v="20"/>
    <x v="20"/>
    <x v="20"/>
    <x v="20"/>
    <x v="2"/>
    <x v="3"/>
    <x v="0"/>
    <x v="3"/>
    <x v="5"/>
    <x v="5"/>
    <x v="20"/>
    <x v="20"/>
    <x v="20"/>
    <x v="20"/>
    <x v="20"/>
    <x v="20"/>
  </r>
  <r>
    <x v="21"/>
    <x v="20"/>
    <x v="5"/>
    <x v="20"/>
    <x v="2"/>
    <x v="21"/>
    <x v="21"/>
    <x v="13"/>
    <x v="0"/>
    <x v="1"/>
    <x v="9"/>
    <x v="14"/>
    <x v="5"/>
    <x v="2"/>
    <x v="6"/>
    <x v="2"/>
    <x v="21"/>
    <x v="21"/>
    <x v="21"/>
    <x v="21"/>
    <x v="21"/>
    <x v="2"/>
    <x v="17"/>
    <x v="0"/>
    <x v="17"/>
    <x v="15"/>
    <x v="15"/>
    <x v="21"/>
    <x v="21"/>
    <x v="21"/>
    <x v="21"/>
    <x v="21"/>
    <x v="21"/>
  </r>
  <r>
    <x v="22"/>
    <x v="21"/>
    <x v="9"/>
    <x v="21"/>
    <x v="2"/>
    <x v="22"/>
    <x v="22"/>
    <x v="14"/>
    <x v="0"/>
    <x v="0"/>
    <x v="1"/>
    <x v="1"/>
    <x v="3"/>
    <x v="2"/>
    <x v="12"/>
    <x v="6"/>
    <x v="22"/>
    <x v="22"/>
    <x v="22"/>
    <x v="22"/>
    <x v="22"/>
    <x v="1"/>
    <x v="18"/>
    <x v="0"/>
    <x v="18"/>
    <x v="11"/>
    <x v="11"/>
    <x v="22"/>
    <x v="22"/>
    <x v="22"/>
    <x v="22"/>
    <x v="22"/>
    <x v="22"/>
  </r>
  <r>
    <x v="23"/>
    <x v="22"/>
    <x v="5"/>
    <x v="22"/>
    <x v="2"/>
    <x v="23"/>
    <x v="23"/>
    <x v="15"/>
    <x v="1"/>
    <x v="2"/>
    <x v="10"/>
    <x v="15"/>
    <x v="5"/>
    <x v="0"/>
    <x v="10"/>
    <x v="4"/>
    <x v="23"/>
    <x v="23"/>
    <x v="23"/>
    <x v="23"/>
    <x v="23"/>
    <x v="2"/>
    <x v="19"/>
    <x v="0"/>
    <x v="19"/>
    <x v="15"/>
    <x v="15"/>
    <x v="23"/>
    <x v="23"/>
    <x v="23"/>
    <x v="23"/>
    <x v="23"/>
    <x v="23"/>
  </r>
  <r>
    <x v="24"/>
    <x v="23"/>
    <x v="2"/>
    <x v="23"/>
    <x v="0"/>
    <x v="24"/>
    <x v="24"/>
    <x v="15"/>
    <x v="1"/>
    <x v="2"/>
    <x v="5"/>
    <x v="8"/>
    <x v="1"/>
    <x v="1"/>
    <x v="13"/>
    <x v="0"/>
    <x v="24"/>
    <x v="24"/>
    <x v="24"/>
    <x v="24"/>
    <x v="24"/>
    <x v="2"/>
    <x v="20"/>
    <x v="0"/>
    <x v="20"/>
    <x v="2"/>
    <x v="2"/>
    <x v="24"/>
    <x v="24"/>
    <x v="24"/>
    <x v="24"/>
    <x v="24"/>
    <x v="24"/>
  </r>
  <r>
    <x v="25"/>
    <x v="24"/>
    <x v="9"/>
    <x v="24"/>
    <x v="2"/>
    <x v="25"/>
    <x v="25"/>
    <x v="16"/>
    <x v="0"/>
    <x v="2"/>
    <x v="5"/>
    <x v="10"/>
    <x v="1"/>
    <x v="0"/>
    <x v="0"/>
    <x v="6"/>
    <x v="25"/>
    <x v="25"/>
    <x v="25"/>
    <x v="25"/>
    <x v="25"/>
    <x v="2"/>
    <x v="21"/>
    <x v="0"/>
    <x v="21"/>
    <x v="6"/>
    <x v="6"/>
    <x v="25"/>
    <x v="25"/>
    <x v="25"/>
    <x v="25"/>
    <x v="25"/>
    <x v="25"/>
  </r>
  <r>
    <x v="26"/>
    <x v="25"/>
    <x v="10"/>
    <x v="25"/>
    <x v="1"/>
    <x v="26"/>
    <x v="26"/>
    <x v="17"/>
    <x v="0"/>
    <x v="3"/>
    <x v="7"/>
    <x v="11"/>
    <x v="3"/>
    <x v="2"/>
    <x v="9"/>
    <x v="1"/>
    <x v="26"/>
    <x v="26"/>
    <x v="26"/>
    <x v="26"/>
    <x v="26"/>
    <x v="0"/>
    <x v="5"/>
    <x v="0"/>
    <x v="5"/>
    <x v="11"/>
    <x v="11"/>
    <x v="26"/>
    <x v="26"/>
    <x v="26"/>
    <x v="26"/>
    <x v="26"/>
    <x v="26"/>
  </r>
  <r>
    <x v="27"/>
    <x v="26"/>
    <x v="8"/>
    <x v="26"/>
    <x v="3"/>
    <x v="27"/>
    <x v="27"/>
    <x v="18"/>
    <x v="1"/>
    <x v="0"/>
    <x v="0"/>
    <x v="0"/>
    <x v="4"/>
    <x v="0"/>
    <x v="8"/>
    <x v="3"/>
    <x v="27"/>
    <x v="27"/>
    <x v="27"/>
    <x v="27"/>
    <x v="27"/>
    <x v="0"/>
    <x v="22"/>
    <x v="0"/>
    <x v="22"/>
    <x v="8"/>
    <x v="8"/>
    <x v="27"/>
    <x v="27"/>
    <x v="27"/>
    <x v="27"/>
    <x v="27"/>
    <x v="27"/>
  </r>
  <r>
    <x v="28"/>
    <x v="27"/>
    <x v="7"/>
    <x v="27"/>
    <x v="2"/>
    <x v="28"/>
    <x v="28"/>
    <x v="17"/>
    <x v="0"/>
    <x v="0"/>
    <x v="0"/>
    <x v="16"/>
    <x v="3"/>
    <x v="2"/>
    <x v="12"/>
    <x v="3"/>
    <x v="28"/>
    <x v="28"/>
    <x v="28"/>
    <x v="28"/>
    <x v="28"/>
    <x v="0"/>
    <x v="5"/>
    <x v="0"/>
    <x v="5"/>
    <x v="0"/>
    <x v="0"/>
    <x v="28"/>
    <x v="28"/>
    <x v="28"/>
    <x v="28"/>
    <x v="28"/>
    <x v="28"/>
  </r>
  <r>
    <x v="29"/>
    <x v="28"/>
    <x v="7"/>
    <x v="28"/>
    <x v="2"/>
    <x v="29"/>
    <x v="29"/>
    <x v="3"/>
    <x v="1"/>
    <x v="3"/>
    <x v="7"/>
    <x v="17"/>
    <x v="1"/>
    <x v="0"/>
    <x v="6"/>
    <x v="2"/>
    <x v="29"/>
    <x v="29"/>
    <x v="29"/>
    <x v="29"/>
    <x v="29"/>
    <x v="2"/>
    <x v="23"/>
    <x v="0"/>
    <x v="23"/>
    <x v="16"/>
    <x v="16"/>
    <x v="29"/>
    <x v="29"/>
    <x v="29"/>
    <x v="29"/>
    <x v="29"/>
    <x v="29"/>
  </r>
  <r>
    <x v="30"/>
    <x v="6"/>
    <x v="3"/>
    <x v="6"/>
    <x v="1"/>
    <x v="30"/>
    <x v="30"/>
    <x v="6"/>
    <x v="0"/>
    <x v="1"/>
    <x v="4"/>
    <x v="18"/>
    <x v="2"/>
    <x v="3"/>
    <x v="3"/>
    <x v="0"/>
    <x v="30"/>
    <x v="30"/>
    <x v="30"/>
    <x v="30"/>
    <x v="30"/>
    <x v="0"/>
    <x v="24"/>
    <x v="0"/>
    <x v="24"/>
    <x v="17"/>
    <x v="17"/>
    <x v="30"/>
    <x v="30"/>
    <x v="30"/>
    <x v="30"/>
    <x v="30"/>
    <x v="30"/>
  </r>
  <r>
    <x v="31"/>
    <x v="29"/>
    <x v="2"/>
    <x v="29"/>
    <x v="0"/>
    <x v="2"/>
    <x v="2"/>
    <x v="17"/>
    <x v="0"/>
    <x v="2"/>
    <x v="3"/>
    <x v="19"/>
    <x v="5"/>
    <x v="1"/>
    <x v="14"/>
    <x v="3"/>
    <x v="31"/>
    <x v="31"/>
    <x v="31"/>
    <x v="31"/>
    <x v="31"/>
    <x v="2"/>
    <x v="25"/>
    <x v="0"/>
    <x v="25"/>
    <x v="13"/>
    <x v="13"/>
    <x v="31"/>
    <x v="31"/>
    <x v="31"/>
    <x v="31"/>
    <x v="31"/>
    <x v="31"/>
  </r>
  <r>
    <x v="32"/>
    <x v="30"/>
    <x v="8"/>
    <x v="30"/>
    <x v="3"/>
    <x v="31"/>
    <x v="31"/>
    <x v="19"/>
    <x v="0"/>
    <x v="0"/>
    <x v="11"/>
    <x v="20"/>
    <x v="1"/>
    <x v="2"/>
    <x v="14"/>
    <x v="2"/>
    <x v="32"/>
    <x v="32"/>
    <x v="32"/>
    <x v="32"/>
    <x v="32"/>
    <x v="2"/>
    <x v="26"/>
    <x v="0"/>
    <x v="26"/>
    <x v="6"/>
    <x v="6"/>
    <x v="32"/>
    <x v="32"/>
    <x v="32"/>
    <x v="32"/>
    <x v="32"/>
    <x v="32"/>
  </r>
  <r>
    <x v="33"/>
    <x v="31"/>
    <x v="7"/>
    <x v="31"/>
    <x v="2"/>
    <x v="32"/>
    <x v="32"/>
    <x v="8"/>
    <x v="0"/>
    <x v="3"/>
    <x v="8"/>
    <x v="21"/>
    <x v="2"/>
    <x v="5"/>
    <x v="14"/>
    <x v="4"/>
    <x v="33"/>
    <x v="33"/>
    <x v="33"/>
    <x v="33"/>
    <x v="33"/>
    <x v="1"/>
    <x v="5"/>
    <x v="0"/>
    <x v="5"/>
    <x v="11"/>
    <x v="11"/>
    <x v="33"/>
    <x v="33"/>
    <x v="33"/>
    <x v="33"/>
    <x v="33"/>
    <x v="33"/>
  </r>
  <r>
    <x v="34"/>
    <x v="32"/>
    <x v="11"/>
    <x v="32"/>
    <x v="3"/>
    <x v="33"/>
    <x v="33"/>
    <x v="1"/>
    <x v="1"/>
    <x v="0"/>
    <x v="11"/>
    <x v="20"/>
    <x v="1"/>
    <x v="0"/>
    <x v="6"/>
    <x v="0"/>
    <x v="34"/>
    <x v="34"/>
    <x v="34"/>
    <x v="34"/>
    <x v="34"/>
    <x v="2"/>
    <x v="5"/>
    <x v="0"/>
    <x v="5"/>
    <x v="0"/>
    <x v="0"/>
    <x v="34"/>
    <x v="34"/>
    <x v="34"/>
    <x v="34"/>
    <x v="34"/>
    <x v="34"/>
  </r>
  <r>
    <x v="35"/>
    <x v="33"/>
    <x v="0"/>
    <x v="33"/>
    <x v="0"/>
    <x v="15"/>
    <x v="34"/>
    <x v="0"/>
    <x v="0"/>
    <x v="1"/>
    <x v="4"/>
    <x v="18"/>
    <x v="2"/>
    <x v="2"/>
    <x v="1"/>
    <x v="1"/>
    <x v="35"/>
    <x v="35"/>
    <x v="35"/>
    <x v="35"/>
    <x v="35"/>
    <x v="0"/>
    <x v="27"/>
    <x v="0"/>
    <x v="27"/>
    <x v="18"/>
    <x v="18"/>
    <x v="35"/>
    <x v="35"/>
    <x v="35"/>
    <x v="35"/>
    <x v="35"/>
    <x v="35"/>
  </r>
  <r>
    <x v="36"/>
    <x v="34"/>
    <x v="0"/>
    <x v="34"/>
    <x v="0"/>
    <x v="34"/>
    <x v="35"/>
    <x v="5"/>
    <x v="0"/>
    <x v="3"/>
    <x v="6"/>
    <x v="22"/>
    <x v="0"/>
    <x v="1"/>
    <x v="5"/>
    <x v="0"/>
    <x v="36"/>
    <x v="36"/>
    <x v="36"/>
    <x v="36"/>
    <x v="36"/>
    <x v="1"/>
    <x v="28"/>
    <x v="1"/>
    <x v="28"/>
    <x v="19"/>
    <x v="19"/>
    <x v="36"/>
    <x v="36"/>
    <x v="36"/>
    <x v="36"/>
    <x v="36"/>
    <x v="36"/>
  </r>
  <r>
    <x v="37"/>
    <x v="35"/>
    <x v="9"/>
    <x v="35"/>
    <x v="2"/>
    <x v="35"/>
    <x v="36"/>
    <x v="12"/>
    <x v="0"/>
    <x v="1"/>
    <x v="9"/>
    <x v="23"/>
    <x v="5"/>
    <x v="4"/>
    <x v="13"/>
    <x v="0"/>
    <x v="37"/>
    <x v="37"/>
    <x v="37"/>
    <x v="37"/>
    <x v="37"/>
    <x v="2"/>
    <x v="29"/>
    <x v="0"/>
    <x v="29"/>
    <x v="15"/>
    <x v="15"/>
    <x v="37"/>
    <x v="37"/>
    <x v="37"/>
    <x v="37"/>
    <x v="37"/>
    <x v="37"/>
  </r>
  <r>
    <x v="38"/>
    <x v="36"/>
    <x v="7"/>
    <x v="36"/>
    <x v="2"/>
    <x v="36"/>
    <x v="37"/>
    <x v="13"/>
    <x v="0"/>
    <x v="0"/>
    <x v="1"/>
    <x v="1"/>
    <x v="2"/>
    <x v="1"/>
    <x v="8"/>
    <x v="1"/>
    <x v="38"/>
    <x v="38"/>
    <x v="38"/>
    <x v="38"/>
    <x v="38"/>
    <x v="1"/>
    <x v="30"/>
    <x v="0"/>
    <x v="30"/>
    <x v="20"/>
    <x v="20"/>
    <x v="38"/>
    <x v="38"/>
    <x v="38"/>
    <x v="38"/>
    <x v="38"/>
    <x v="38"/>
  </r>
  <r>
    <x v="39"/>
    <x v="37"/>
    <x v="9"/>
    <x v="37"/>
    <x v="2"/>
    <x v="37"/>
    <x v="38"/>
    <x v="1"/>
    <x v="1"/>
    <x v="2"/>
    <x v="10"/>
    <x v="24"/>
    <x v="0"/>
    <x v="0"/>
    <x v="2"/>
    <x v="1"/>
    <x v="39"/>
    <x v="39"/>
    <x v="39"/>
    <x v="39"/>
    <x v="39"/>
    <x v="0"/>
    <x v="31"/>
    <x v="0"/>
    <x v="31"/>
    <x v="0"/>
    <x v="0"/>
    <x v="39"/>
    <x v="39"/>
    <x v="39"/>
    <x v="39"/>
    <x v="39"/>
    <x v="39"/>
  </r>
  <r>
    <x v="40"/>
    <x v="38"/>
    <x v="11"/>
    <x v="38"/>
    <x v="3"/>
    <x v="38"/>
    <x v="39"/>
    <x v="20"/>
    <x v="0"/>
    <x v="3"/>
    <x v="6"/>
    <x v="9"/>
    <x v="4"/>
    <x v="4"/>
    <x v="14"/>
    <x v="5"/>
    <x v="40"/>
    <x v="40"/>
    <x v="40"/>
    <x v="40"/>
    <x v="40"/>
    <x v="1"/>
    <x v="32"/>
    <x v="0"/>
    <x v="32"/>
    <x v="19"/>
    <x v="19"/>
    <x v="40"/>
    <x v="40"/>
    <x v="40"/>
    <x v="40"/>
    <x v="40"/>
    <x v="40"/>
  </r>
  <r>
    <x v="41"/>
    <x v="39"/>
    <x v="4"/>
    <x v="39"/>
    <x v="0"/>
    <x v="39"/>
    <x v="40"/>
    <x v="21"/>
    <x v="0"/>
    <x v="0"/>
    <x v="11"/>
    <x v="25"/>
    <x v="3"/>
    <x v="1"/>
    <x v="11"/>
    <x v="2"/>
    <x v="41"/>
    <x v="41"/>
    <x v="41"/>
    <x v="41"/>
    <x v="41"/>
    <x v="2"/>
    <x v="5"/>
    <x v="0"/>
    <x v="5"/>
    <x v="8"/>
    <x v="8"/>
    <x v="41"/>
    <x v="41"/>
    <x v="41"/>
    <x v="41"/>
    <x v="41"/>
    <x v="41"/>
  </r>
  <r>
    <x v="42"/>
    <x v="40"/>
    <x v="1"/>
    <x v="40"/>
    <x v="1"/>
    <x v="40"/>
    <x v="41"/>
    <x v="8"/>
    <x v="0"/>
    <x v="0"/>
    <x v="0"/>
    <x v="13"/>
    <x v="0"/>
    <x v="4"/>
    <x v="10"/>
    <x v="1"/>
    <x v="42"/>
    <x v="42"/>
    <x v="42"/>
    <x v="42"/>
    <x v="42"/>
    <x v="2"/>
    <x v="33"/>
    <x v="1"/>
    <x v="33"/>
    <x v="16"/>
    <x v="16"/>
    <x v="42"/>
    <x v="42"/>
    <x v="42"/>
    <x v="42"/>
    <x v="42"/>
    <x v="42"/>
  </r>
  <r>
    <x v="43"/>
    <x v="41"/>
    <x v="5"/>
    <x v="41"/>
    <x v="2"/>
    <x v="41"/>
    <x v="42"/>
    <x v="21"/>
    <x v="0"/>
    <x v="3"/>
    <x v="6"/>
    <x v="9"/>
    <x v="0"/>
    <x v="4"/>
    <x v="8"/>
    <x v="1"/>
    <x v="43"/>
    <x v="43"/>
    <x v="43"/>
    <x v="43"/>
    <x v="43"/>
    <x v="1"/>
    <x v="34"/>
    <x v="0"/>
    <x v="34"/>
    <x v="21"/>
    <x v="21"/>
    <x v="43"/>
    <x v="43"/>
    <x v="43"/>
    <x v="43"/>
    <x v="43"/>
    <x v="43"/>
  </r>
  <r>
    <x v="44"/>
    <x v="42"/>
    <x v="5"/>
    <x v="42"/>
    <x v="2"/>
    <x v="42"/>
    <x v="43"/>
    <x v="19"/>
    <x v="0"/>
    <x v="2"/>
    <x v="3"/>
    <x v="26"/>
    <x v="5"/>
    <x v="2"/>
    <x v="11"/>
    <x v="0"/>
    <x v="44"/>
    <x v="44"/>
    <x v="44"/>
    <x v="44"/>
    <x v="44"/>
    <x v="1"/>
    <x v="35"/>
    <x v="0"/>
    <x v="35"/>
    <x v="3"/>
    <x v="3"/>
    <x v="44"/>
    <x v="44"/>
    <x v="44"/>
    <x v="44"/>
    <x v="44"/>
    <x v="44"/>
  </r>
  <r>
    <x v="45"/>
    <x v="43"/>
    <x v="7"/>
    <x v="43"/>
    <x v="2"/>
    <x v="43"/>
    <x v="15"/>
    <x v="22"/>
    <x v="0"/>
    <x v="1"/>
    <x v="4"/>
    <x v="18"/>
    <x v="4"/>
    <x v="0"/>
    <x v="8"/>
    <x v="2"/>
    <x v="45"/>
    <x v="45"/>
    <x v="45"/>
    <x v="45"/>
    <x v="45"/>
    <x v="1"/>
    <x v="36"/>
    <x v="0"/>
    <x v="36"/>
    <x v="12"/>
    <x v="12"/>
    <x v="45"/>
    <x v="45"/>
    <x v="45"/>
    <x v="45"/>
    <x v="45"/>
    <x v="45"/>
  </r>
  <r>
    <x v="46"/>
    <x v="44"/>
    <x v="9"/>
    <x v="44"/>
    <x v="2"/>
    <x v="44"/>
    <x v="44"/>
    <x v="23"/>
    <x v="0"/>
    <x v="0"/>
    <x v="1"/>
    <x v="7"/>
    <x v="3"/>
    <x v="1"/>
    <x v="1"/>
    <x v="1"/>
    <x v="46"/>
    <x v="46"/>
    <x v="46"/>
    <x v="46"/>
    <x v="46"/>
    <x v="0"/>
    <x v="5"/>
    <x v="0"/>
    <x v="5"/>
    <x v="20"/>
    <x v="20"/>
    <x v="46"/>
    <x v="46"/>
    <x v="46"/>
    <x v="46"/>
    <x v="46"/>
    <x v="46"/>
  </r>
  <r>
    <x v="47"/>
    <x v="45"/>
    <x v="5"/>
    <x v="45"/>
    <x v="2"/>
    <x v="45"/>
    <x v="45"/>
    <x v="16"/>
    <x v="0"/>
    <x v="3"/>
    <x v="8"/>
    <x v="12"/>
    <x v="3"/>
    <x v="0"/>
    <x v="5"/>
    <x v="2"/>
    <x v="47"/>
    <x v="47"/>
    <x v="47"/>
    <x v="47"/>
    <x v="47"/>
    <x v="2"/>
    <x v="5"/>
    <x v="0"/>
    <x v="5"/>
    <x v="1"/>
    <x v="1"/>
    <x v="47"/>
    <x v="47"/>
    <x v="47"/>
    <x v="47"/>
    <x v="47"/>
    <x v="47"/>
  </r>
  <r>
    <x v="48"/>
    <x v="46"/>
    <x v="1"/>
    <x v="46"/>
    <x v="1"/>
    <x v="46"/>
    <x v="46"/>
    <x v="2"/>
    <x v="0"/>
    <x v="0"/>
    <x v="1"/>
    <x v="3"/>
    <x v="5"/>
    <x v="1"/>
    <x v="7"/>
    <x v="2"/>
    <x v="48"/>
    <x v="48"/>
    <x v="48"/>
    <x v="48"/>
    <x v="48"/>
    <x v="2"/>
    <x v="37"/>
    <x v="0"/>
    <x v="37"/>
    <x v="22"/>
    <x v="22"/>
    <x v="48"/>
    <x v="48"/>
    <x v="48"/>
    <x v="48"/>
    <x v="48"/>
    <x v="48"/>
  </r>
  <r>
    <x v="49"/>
    <x v="47"/>
    <x v="8"/>
    <x v="47"/>
    <x v="3"/>
    <x v="47"/>
    <x v="47"/>
    <x v="21"/>
    <x v="0"/>
    <x v="3"/>
    <x v="7"/>
    <x v="11"/>
    <x v="3"/>
    <x v="2"/>
    <x v="5"/>
    <x v="1"/>
    <x v="49"/>
    <x v="49"/>
    <x v="49"/>
    <x v="49"/>
    <x v="49"/>
    <x v="2"/>
    <x v="38"/>
    <x v="0"/>
    <x v="38"/>
    <x v="3"/>
    <x v="3"/>
    <x v="49"/>
    <x v="49"/>
    <x v="49"/>
    <x v="49"/>
    <x v="49"/>
    <x v="49"/>
  </r>
  <r>
    <x v="50"/>
    <x v="48"/>
    <x v="10"/>
    <x v="48"/>
    <x v="1"/>
    <x v="48"/>
    <x v="48"/>
    <x v="12"/>
    <x v="0"/>
    <x v="2"/>
    <x v="3"/>
    <x v="5"/>
    <x v="2"/>
    <x v="3"/>
    <x v="14"/>
    <x v="6"/>
    <x v="50"/>
    <x v="50"/>
    <x v="50"/>
    <x v="50"/>
    <x v="50"/>
    <x v="2"/>
    <x v="39"/>
    <x v="1"/>
    <x v="33"/>
    <x v="15"/>
    <x v="15"/>
    <x v="50"/>
    <x v="50"/>
    <x v="50"/>
    <x v="50"/>
    <x v="50"/>
    <x v="50"/>
  </r>
  <r>
    <x v="51"/>
    <x v="49"/>
    <x v="1"/>
    <x v="49"/>
    <x v="1"/>
    <x v="49"/>
    <x v="49"/>
    <x v="8"/>
    <x v="0"/>
    <x v="1"/>
    <x v="4"/>
    <x v="6"/>
    <x v="5"/>
    <x v="3"/>
    <x v="7"/>
    <x v="5"/>
    <x v="51"/>
    <x v="51"/>
    <x v="51"/>
    <x v="51"/>
    <x v="51"/>
    <x v="0"/>
    <x v="40"/>
    <x v="1"/>
    <x v="33"/>
    <x v="15"/>
    <x v="15"/>
    <x v="51"/>
    <x v="51"/>
    <x v="51"/>
    <x v="51"/>
    <x v="51"/>
    <x v="51"/>
  </r>
  <r>
    <x v="52"/>
    <x v="50"/>
    <x v="0"/>
    <x v="50"/>
    <x v="0"/>
    <x v="50"/>
    <x v="50"/>
    <x v="15"/>
    <x v="1"/>
    <x v="0"/>
    <x v="0"/>
    <x v="16"/>
    <x v="1"/>
    <x v="2"/>
    <x v="5"/>
    <x v="4"/>
    <x v="52"/>
    <x v="52"/>
    <x v="52"/>
    <x v="52"/>
    <x v="52"/>
    <x v="0"/>
    <x v="5"/>
    <x v="0"/>
    <x v="5"/>
    <x v="4"/>
    <x v="4"/>
    <x v="52"/>
    <x v="52"/>
    <x v="52"/>
    <x v="52"/>
    <x v="52"/>
    <x v="52"/>
  </r>
  <r>
    <x v="53"/>
    <x v="51"/>
    <x v="4"/>
    <x v="51"/>
    <x v="0"/>
    <x v="51"/>
    <x v="51"/>
    <x v="0"/>
    <x v="0"/>
    <x v="3"/>
    <x v="7"/>
    <x v="17"/>
    <x v="0"/>
    <x v="3"/>
    <x v="7"/>
    <x v="4"/>
    <x v="53"/>
    <x v="53"/>
    <x v="53"/>
    <x v="53"/>
    <x v="53"/>
    <x v="0"/>
    <x v="35"/>
    <x v="0"/>
    <x v="35"/>
    <x v="20"/>
    <x v="20"/>
    <x v="53"/>
    <x v="53"/>
    <x v="53"/>
    <x v="53"/>
    <x v="53"/>
    <x v="53"/>
  </r>
  <r>
    <x v="54"/>
    <x v="52"/>
    <x v="11"/>
    <x v="52"/>
    <x v="3"/>
    <x v="52"/>
    <x v="52"/>
    <x v="24"/>
    <x v="1"/>
    <x v="3"/>
    <x v="6"/>
    <x v="22"/>
    <x v="0"/>
    <x v="4"/>
    <x v="13"/>
    <x v="2"/>
    <x v="54"/>
    <x v="54"/>
    <x v="54"/>
    <x v="54"/>
    <x v="54"/>
    <x v="0"/>
    <x v="41"/>
    <x v="0"/>
    <x v="39"/>
    <x v="8"/>
    <x v="8"/>
    <x v="54"/>
    <x v="54"/>
    <x v="54"/>
    <x v="54"/>
    <x v="54"/>
    <x v="54"/>
  </r>
  <r>
    <x v="55"/>
    <x v="53"/>
    <x v="7"/>
    <x v="53"/>
    <x v="2"/>
    <x v="53"/>
    <x v="53"/>
    <x v="9"/>
    <x v="0"/>
    <x v="2"/>
    <x v="5"/>
    <x v="10"/>
    <x v="1"/>
    <x v="1"/>
    <x v="11"/>
    <x v="5"/>
    <x v="55"/>
    <x v="55"/>
    <x v="55"/>
    <x v="55"/>
    <x v="55"/>
    <x v="1"/>
    <x v="6"/>
    <x v="0"/>
    <x v="6"/>
    <x v="23"/>
    <x v="23"/>
    <x v="55"/>
    <x v="55"/>
    <x v="55"/>
    <x v="55"/>
    <x v="55"/>
    <x v="55"/>
  </r>
  <r>
    <x v="56"/>
    <x v="54"/>
    <x v="2"/>
    <x v="54"/>
    <x v="0"/>
    <x v="54"/>
    <x v="54"/>
    <x v="8"/>
    <x v="0"/>
    <x v="2"/>
    <x v="5"/>
    <x v="8"/>
    <x v="0"/>
    <x v="3"/>
    <x v="5"/>
    <x v="4"/>
    <x v="56"/>
    <x v="56"/>
    <x v="56"/>
    <x v="56"/>
    <x v="56"/>
    <x v="2"/>
    <x v="42"/>
    <x v="0"/>
    <x v="40"/>
    <x v="21"/>
    <x v="21"/>
    <x v="56"/>
    <x v="56"/>
    <x v="56"/>
    <x v="56"/>
    <x v="56"/>
    <x v="56"/>
  </r>
  <r>
    <x v="57"/>
    <x v="55"/>
    <x v="3"/>
    <x v="55"/>
    <x v="1"/>
    <x v="55"/>
    <x v="55"/>
    <x v="25"/>
    <x v="1"/>
    <x v="3"/>
    <x v="6"/>
    <x v="22"/>
    <x v="1"/>
    <x v="0"/>
    <x v="4"/>
    <x v="6"/>
    <x v="57"/>
    <x v="57"/>
    <x v="57"/>
    <x v="57"/>
    <x v="57"/>
    <x v="0"/>
    <x v="6"/>
    <x v="0"/>
    <x v="6"/>
    <x v="15"/>
    <x v="15"/>
    <x v="57"/>
    <x v="57"/>
    <x v="57"/>
    <x v="57"/>
    <x v="57"/>
    <x v="57"/>
  </r>
  <r>
    <x v="58"/>
    <x v="56"/>
    <x v="9"/>
    <x v="56"/>
    <x v="2"/>
    <x v="56"/>
    <x v="56"/>
    <x v="26"/>
    <x v="0"/>
    <x v="3"/>
    <x v="7"/>
    <x v="11"/>
    <x v="4"/>
    <x v="2"/>
    <x v="10"/>
    <x v="6"/>
    <x v="58"/>
    <x v="58"/>
    <x v="58"/>
    <x v="58"/>
    <x v="58"/>
    <x v="1"/>
    <x v="43"/>
    <x v="0"/>
    <x v="41"/>
    <x v="24"/>
    <x v="24"/>
    <x v="58"/>
    <x v="58"/>
    <x v="58"/>
    <x v="58"/>
    <x v="58"/>
    <x v="58"/>
  </r>
  <r>
    <x v="59"/>
    <x v="57"/>
    <x v="5"/>
    <x v="57"/>
    <x v="2"/>
    <x v="57"/>
    <x v="57"/>
    <x v="22"/>
    <x v="0"/>
    <x v="0"/>
    <x v="0"/>
    <x v="16"/>
    <x v="4"/>
    <x v="1"/>
    <x v="8"/>
    <x v="6"/>
    <x v="59"/>
    <x v="59"/>
    <x v="59"/>
    <x v="59"/>
    <x v="59"/>
    <x v="1"/>
    <x v="44"/>
    <x v="1"/>
    <x v="42"/>
    <x v="6"/>
    <x v="6"/>
    <x v="59"/>
    <x v="59"/>
    <x v="59"/>
    <x v="59"/>
    <x v="59"/>
    <x v="59"/>
  </r>
  <r>
    <x v="60"/>
    <x v="58"/>
    <x v="0"/>
    <x v="58"/>
    <x v="0"/>
    <x v="58"/>
    <x v="58"/>
    <x v="17"/>
    <x v="0"/>
    <x v="3"/>
    <x v="7"/>
    <x v="17"/>
    <x v="0"/>
    <x v="4"/>
    <x v="2"/>
    <x v="0"/>
    <x v="60"/>
    <x v="60"/>
    <x v="60"/>
    <x v="60"/>
    <x v="60"/>
    <x v="2"/>
    <x v="45"/>
    <x v="0"/>
    <x v="43"/>
    <x v="10"/>
    <x v="10"/>
    <x v="60"/>
    <x v="60"/>
    <x v="60"/>
    <x v="60"/>
    <x v="60"/>
    <x v="60"/>
  </r>
  <r>
    <x v="61"/>
    <x v="59"/>
    <x v="6"/>
    <x v="59"/>
    <x v="3"/>
    <x v="59"/>
    <x v="59"/>
    <x v="24"/>
    <x v="1"/>
    <x v="1"/>
    <x v="2"/>
    <x v="27"/>
    <x v="3"/>
    <x v="1"/>
    <x v="7"/>
    <x v="0"/>
    <x v="61"/>
    <x v="61"/>
    <x v="61"/>
    <x v="61"/>
    <x v="61"/>
    <x v="2"/>
    <x v="46"/>
    <x v="0"/>
    <x v="44"/>
    <x v="2"/>
    <x v="2"/>
    <x v="61"/>
    <x v="61"/>
    <x v="61"/>
    <x v="61"/>
    <x v="61"/>
    <x v="61"/>
  </r>
  <r>
    <x v="62"/>
    <x v="60"/>
    <x v="7"/>
    <x v="60"/>
    <x v="2"/>
    <x v="60"/>
    <x v="60"/>
    <x v="27"/>
    <x v="0"/>
    <x v="3"/>
    <x v="7"/>
    <x v="28"/>
    <x v="4"/>
    <x v="2"/>
    <x v="2"/>
    <x v="3"/>
    <x v="62"/>
    <x v="62"/>
    <x v="62"/>
    <x v="62"/>
    <x v="62"/>
    <x v="1"/>
    <x v="47"/>
    <x v="0"/>
    <x v="45"/>
    <x v="21"/>
    <x v="21"/>
    <x v="62"/>
    <x v="62"/>
    <x v="62"/>
    <x v="62"/>
    <x v="62"/>
    <x v="62"/>
  </r>
  <r>
    <x v="63"/>
    <x v="61"/>
    <x v="10"/>
    <x v="61"/>
    <x v="1"/>
    <x v="61"/>
    <x v="61"/>
    <x v="12"/>
    <x v="0"/>
    <x v="1"/>
    <x v="4"/>
    <x v="29"/>
    <x v="4"/>
    <x v="3"/>
    <x v="7"/>
    <x v="5"/>
    <x v="63"/>
    <x v="63"/>
    <x v="63"/>
    <x v="63"/>
    <x v="63"/>
    <x v="2"/>
    <x v="48"/>
    <x v="1"/>
    <x v="33"/>
    <x v="25"/>
    <x v="25"/>
    <x v="63"/>
    <x v="63"/>
    <x v="63"/>
    <x v="63"/>
    <x v="63"/>
    <x v="63"/>
  </r>
  <r>
    <x v="64"/>
    <x v="62"/>
    <x v="2"/>
    <x v="62"/>
    <x v="0"/>
    <x v="62"/>
    <x v="62"/>
    <x v="22"/>
    <x v="0"/>
    <x v="0"/>
    <x v="11"/>
    <x v="20"/>
    <x v="2"/>
    <x v="0"/>
    <x v="11"/>
    <x v="4"/>
    <x v="64"/>
    <x v="64"/>
    <x v="64"/>
    <x v="64"/>
    <x v="64"/>
    <x v="0"/>
    <x v="49"/>
    <x v="0"/>
    <x v="46"/>
    <x v="26"/>
    <x v="26"/>
    <x v="64"/>
    <x v="64"/>
    <x v="64"/>
    <x v="64"/>
    <x v="64"/>
    <x v="64"/>
  </r>
  <r>
    <x v="65"/>
    <x v="63"/>
    <x v="3"/>
    <x v="63"/>
    <x v="1"/>
    <x v="63"/>
    <x v="63"/>
    <x v="20"/>
    <x v="0"/>
    <x v="2"/>
    <x v="5"/>
    <x v="30"/>
    <x v="1"/>
    <x v="0"/>
    <x v="7"/>
    <x v="3"/>
    <x v="65"/>
    <x v="65"/>
    <x v="65"/>
    <x v="65"/>
    <x v="65"/>
    <x v="1"/>
    <x v="50"/>
    <x v="0"/>
    <x v="47"/>
    <x v="20"/>
    <x v="20"/>
    <x v="65"/>
    <x v="65"/>
    <x v="65"/>
    <x v="65"/>
    <x v="65"/>
    <x v="65"/>
  </r>
  <r>
    <x v="66"/>
    <x v="64"/>
    <x v="0"/>
    <x v="64"/>
    <x v="0"/>
    <x v="64"/>
    <x v="64"/>
    <x v="28"/>
    <x v="0"/>
    <x v="3"/>
    <x v="8"/>
    <x v="31"/>
    <x v="3"/>
    <x v="0"/>
    <x v="4"/>
    <x v="6"/>
    <x v="66"/>
    <x v="66"/>
    <x v="66"/>
    <x v="66"/>
    <x v="66"/>
    <x v="1"/>
    <x v="51"/>
    <x v="0"/>
    <x v="48"/>
    <x v="13"/>
    <x v="13"/>
    <x v="66"/>
    <x v="66"/>
    <x v="66"/>
    <x v="66"/>
    <x v="66"/>
    <x v="66"/>
  </r>
  <r>
    <x v="67"/>
    <x v="65"/>
    <x v="5"/>
    <x v="65"/>
    <x v="2"/>
    <x v="65"/>
    <x v="65"/>
    <x v="14"/>
    <x v="0"/>
    <x v="1"/>
    <x v="2"/>
    <x v="32"/>
    <x v="0"/>
    <x v="3"/>
    <x v="0"/>
    <x v="5"/>
    <x v="67"/>
    <x v="67"/>
    <x v="67"/>
    <x v="67"/>
    <x v="67"/>
    <x v="1"/>
    <x v="52"/>
    <x v="0"/>
    <x v="49"/>
    <x v="20"/>
    <x v="20"/>
    <x v="67"/>
    <x v="67"/>
    <x v="67"/>
    <x v="67"/>
    <x v="67"/>
    <x v="67"/>
  </r>
  <r>
    <x v="68"/>
    <x v="66"/>
    <x v="11"/>
    <x v="66"/>
    <x v="3"/>
    <x v="66"/>
    <x v="66"/>
    <x v="6"/>
    <x v="0"/>
    <x v="0"/>
    <x v="11"/>
    <x v="20"/>
    <x v="5"/>
    <x v="0"/>
    <x v="14"/>
    <x v="5"/>
    <x v="68"/>
    <x v="68"/>
    <x v="68"/>
    <x v="68"/>
    <x v="68"/>
    <x v="0"/>
    <x v="53"/>
    <x v="1"/>
    <x v="50"/>
    <x v="7"/>
    <x v="7"/>
    <x v="68"/>
    <x v="68"/>
    <x v="68"/>
    <x v="68"/>
    <x v="68"/>
    <x v="68"/>
  </r>
  <r>
    <x v="69"/>
    <x v="67"/>
    <x v="7"/>
    <x v="67"/>
    <x v="2"/>
    <x v="67"/>
    <x v="67"/>
    <x v="6"/>
    <x v="0"/>
    <x v="1"/>
    <x v="9"/>
    <x v="23"/>
    <x v="0"/>
    <x v="0"/>
    <x v="8"/>
    <x v="0"/>
    <x v="69"/>
    <x v="69"/>
    <x v="69"/>
    <x v="69"/>
    <x v="69"/>
    <x v="2"/>
    <x v="54"/>
    <x v="0"/>
    <x v="51"/>
    <x v="27"/>
    <x v="27"/>
    <x v="69"/>
    <x v="69"/>
    <x v="69"/>
    <x v="69"/>
    <x v="69"/>
    <x v="69"/>
  </r>
  <r>
    <x v="70"/>
    <x v="68"/>
    <x v="0"/>
    <x v="68"/>
    <x v="0"/>
    <x v="68"/>
    <x v="68"/>
    <x v="4"/>
    <x v="1"/>
    <x v="3"/>
    <x v="6"/>
    <x v="22"/>
    <x v="4"/>
    <x v="1"/>
    <x v="12"/>
    <x v="6"/>
    <x v="70"/>
    <x v="70"/>
    <x v="70"/>
    <x v="70"/>
    <x v="70"/>
    <x v="1"/>
    <x v="55"/>
    <x v="0"/>
    <x v="52"/>
    <x v="0"/>
    <x v="0"/>
    <x v="70"/>
    <x v="70"/>
    <x v="70"/>
    <x v="70"/>
    <x v="70"/>
    <x v="70"/>
  </r>
  <r>
    <x v="71"/>
    <x v="69"/>
    <x v="7"/>
    <x v="69"/>
    <x v="2"/>
    <x v="69"/>
    <x v="69"/>
    <x v="29"/>
    <x v="0"/>
    <x v="2"/>
    <x v="5"/>
    <x v="10"/>
    <x v="5"/>
    <x v="2"/>
    <x v="9"/>
    <x v="4"/>
    <x v="71"/>
    <x v="71"/>
    <x v="71"/>
    <x v="71"/>
    <x v="71"/>
    <x v="0"/>
    <x v="56"/>
    <x v="0"/>
    <x v="53"/>
    <x v="2"/>
    <x v="2"/>
    <x v="71"/>
    <x v="71"/>
    <x v="71"/>
    <x v="71"/>
    <x v="71"/>
    <x v="71"/>
  </r>
  <r>
    <x v="72"/>
    <x v="70"/>
    <x v="7"/>
    <x v="70"/>
    <x v="2"/>
    <x v="70"/>
    <x v="70"/>
    <x v="2"/>
    <x v="0"/>
    <x v="0"/>
    <x v="11"/>
    <x v="20"/>
    <x v="1"/>
    <x v="3"/>
    <x v="8"/>
    <x v="4"/>
    <x v="72"/>
    <x v="72"/>
    <x v="72"/>
    <x v="72"/>
    <x v="72"/>
    <x v="1"/>
    <x v="57"/>
    <x v="0"/>
    <x v="54"/>
    <x v="17"/>
    <x v="17"/>
    <x v="72"/>
    <x v="72"/>
    <x v="72"/>
    <x v="72"/>
    <x v="72"/>
    <x v="72"/>
  </r>
  <r>
    <x v="73"/>
    <x v="71"/>
    <x v="3"/>
    <x v="71"/>
    <x v="1"/>
    <x v="71"/>
    <x v="71"/>
    <x v="15"/>
    <x v="1"/>
    <x v="1"/>
    <x v="9"/>
    <x v="14"/>
    <x v="4"/>
    <x v="4"/>
    <x v="1"/>
    <x v="2"/>
    <x v="73"/>
    <x v="73"/>
    <x v="73"/>
    <x v="73"/>
    <x v="73"/>
    <x v="0"/>
    <x v="58"/>
    <x v="0"/>
    <x v="55"/>
    <x v="7"/>
    <x v="7"/>
    <x v="73"/>
    <x v="73"/>
    <x v="73"/>
    <x v="73"/>
    <x v="73"/>
    <x v="73"/>
  </r>
  <r>
    <x v="74"/>
    <x v="72"/>
    <x v="5"/>
    <x v="72"/>
    <x v="2"/>
    <x v="72"/>
    <x v="72"/>
    <x v="1"/>
    <x v="1"/>
    <x v="0"/>
    <x v="11"/>
    <x v="25"/>
    <x v="0"/>
    <x v="3"/>
    <x v="8"/>
    <x v="0"/>
    <x v="74"/>
    <x v="74"/>
    <x v="74"/>
    <x v="74"/>
    <x v="74"/>
    <x v="1"/>
    <x v="59"/>
    <x v="1"/>
    <x v="33"/>
    <x v="27"/>
    <x v="27"/>
    <x v="74"/>
    <x v="74"/>
    <x v="74"/>
    <x v="74"/>
    <x v="74"/>
    <x v="74"/>
  </r>
  <r>
    <x v="75"/>
    <x v="73"/>
    <x v="6"/>
    <x v="73"/>
    <x v="3"/>
    <x v="73"/>
    <x v="73"/>
    <x v="8"/>
    <x v="0"/>
    <x v="1"/>
    <x v="4"/>
    <x v="18"/>
    <x v="4"/>
    <x v="4"/>
    <x v="5"/>
    <x v="0"/>
    <x v="75"/>
    <x v="75"/>
    <x v="75"/>
    <x v="75"/>
    <x v="75"/>
    <x v="1"/>
    <x v="60"/>
    <x v="0"/>
    <x v="56"/>
    <x v="5"/>
    <x v="5"/>
    <x v="75"/>
    <x v="75"/>
    <x v="75"/>
    <x v="75"/>
    <x v="75"/>
    <x v="75"/>
  </r>
  <r>
    <x v="76"/>
    <x v="74"/>
    <x v="11"/>
    <x v="74"/>
    <x v="3"/>
    <x v="74"/>
    <x v="74"/>
    <x v="27"/>
    <x v="0"/>
    <x v="2"/>
    <x v="5"/>
    <x v="30"/>
    <x v="2"/>
    <x v="1"/>
    <x v="15"/>
    <x v="6"/>
    <x v="76"/>
    <x v="76"/>
    <x v="76"/>
    <x v="76"/>
    <x v="76"/>
    <x v="2"/>
    <x v="61"/>
    <x v="0"/>
    <x v="57"/>
    <x v="20"/>
    <x v="20"/>
    <x v="76"/>
    <x v="76"/>
    <x v="76"/>
    <x v="76"/>
    <x v="76"/>
    <x v="76"/>
  </r>
  <r>
    <x v="77"/>
    <x v="24"/>
    <x v="9"/>
    <x v="24"/>
    <x v="2"/>
    <x v="75"/>
    <x v="75"/>
    <x v="1"/>
    <x v="1"/>
    <x v="2"/>
    <x v="5"/>
    <x v="30"/>
    <x v="4"/>
    <x v="4"/>
    <x v="4"/>
    <x v="6"/>
    <x v="77"/>
    <x v="77"/>
    <x v="77"/>
    <x v="77"/>
    <x v="77"/>
    <x v="2"/>
    <x v="3"/>
    <x v="0"/>
    <x v="3"/>
    <x v="17"/>
    <x v="17"/>
    <x v="77"/>
    <x v="77"/>
    <x v="77"/>
    <x v="77"/>
    <x v="77"/>
    <x v="77"/>
  </r>
  <r>
    <x v="78"/>
    <x v="75"/>
    <x v="9"/>
    <x v="75"/>
    <x v="2"/>
    <x v="76"/>
    <x v="76"/>
    <x v="24"/>
    <x v="1"/>
    <x v="3"/>
    <x v="8"/>
    <x v="31"/>
    <x v="2"/>
    <x v="4"/>
    <x v="11"/>
    <x v="0"/>
    <x v="78"/>
    <x v="78"/>
    <x v="78"/>
    <x v="78"/>
    <x v="78"/>
    <x v="0"/>
    <x v="62"/>
    <x v="1"/>
    <x v="33"/>
    <x v="10"/>
    <x v="10"/>
    <x v="78"/>
    <x v="78"/>
    <x v="78"/>
    <x v="78"/>
    <x v="78"/>
    <x v="78"/>
  </r>
  <r>
    <x v="79"/>
    <x v="76"/>
    <x v="10"/>
    <x v="76"/>
    <x v="1"/>
    <x v="77"/>
    <x v="77"/>
    <x v="17"/>
    <x v="0"/>
    <x v="3"/>
    <x v="7"/>
    <x v="11"/>
    <x v="4"/>
    <x v="4"/>
    <x v="2"/>
    <x v="5"/>
    <x v="79"/>
    <x v="79"/>
    <x v="79"/>
    <x v="79"/>
    <x v="79"/>
    <x v="2"/>
    <x v="63"/>
    <x v="0"/>
    <x v="58"/>
    <x v="28"/>
    <x v="28"/>
    <x v="79"/>
    <x v="79"/>
    <x v="79"/>
    <x v="79"/>
    <x v="79"/>
    <x v="79"/>
  </r>
  <r>
    <x v="80"/>
    <x v="77"/>
    <x v="2"/>
    <x v="77"/>
    <x v="0"/>
    <x v="78"/>
    <x v="78"/>
    <x v="4"/>
    <x v="1"/>
    <x v="0"/>
    <x v="11"/>
    <x v="33"/>
    <x v="0"/>
    <x v="4"/>
    <x v="12"/>
    <x v="2"/>
    <x v="80"/>
    <x v="80"/>
    <x v="80"/>
    <x v="80"/>
    <x v="80"/>
    <x v="2"/>
    <x v="64"/>
    <x v="0"/>
    <x v="59"/>
    <x v="29"/>
    <x v="29"/>
    <x v="80"/>
    <x v="80"/>
    <x v="80"/>
    <x v="80"/>
    <x v="80"/>
    <x v="80"/>
  </r>
  <r>
    <x v="81"/>
    <x v="66"/>
    <x v="11"/>
    <x v="66"/>
    <x v="3"/>
    <x v="79"/>
    <x v="79"/>
    <x v="9"/>
    <x v="0"/>
    <x v="2"/>
    <x v="3"/>
    <x v="26"/>
    <x v="5"/>
    <x v="0"/>
    <x v="2"/>
    <x v="1"/>
    <x v="81"/>
    <x v="81"/>
    <x v="81"/>
    <x v="81"/>
    <x v="81"/>
    <x v="1"/>
    <x v="65"/>
    <x v="1"/>
    <x v="60"/>
    <x v="13"/>
    <x v="13"/>
    <x v="81"/>
    <x v="81"/>
    <x v="81"/>
    <x v="81"/>
    <x v="81"/>
    <x v="81"/>
  </r>
  <r>
    <x v="82"/>
    <x v="78"/>
    <x v="5"/>
    <x v="78"/>
    <x v="2"/>
    <x v="80"/>
    <x v="80"/>
    <x v="23"/>
    <x v="0"/>
    <x v="3"/>
    <x v="7"/>
    <x v="28"/>
    <x v="4"/>
    <x v="2"/>
    <x v="11"/>
    <x v="0"/>
    <x v="82"/>
    <x v="82"/>
    <x v="82"/>
    <x v="82"/>
    <x v="82"/>
    <x v="0"/>
    <x v="26"/>
    <x v="0"/>
    <x v="26"/>
    <x v="4"/>
    <x v="4"/>
    <x v="82"/>
    <x v="82"/>
    <x v="82"/>
    <x v="82"/>
    <x v="82"/>
    <x v="82"/>
  </r>
  <r>
    <x v="83"/>
    <x v="79"/>
    <x v="7"/>
    <x v="79"/>
    <x v="2"/>
    <x v="81"/>
    <x v="53"/>
    <x v="1"/>
    <x v="1"/>
    <x v="2"/>
    <x v="10"/>
    <x v="24"/>
    <x v="2"/>
    <x v="3"/>
    <x v="14"/>
    <x v="5"/>
    <x v="83"/>
    <x v="83"/>
    <x v="83"/>
    <x v="83"/>
    <x v="83"/>
    <x v="0"/>
    <x v="66"/>
    <x v="1"/>
    <x v="61"/>
    <x v="4"/>
    <x v="4"/>
    <x v="83"/>
    <x v="83"/>
    <x v="83"/>
    <x v="83"/>
    <x v="83"/>
    <x v="83"/>
  </r>
  <r>
    <x v="84"/>
    <x v="80"/>
    <x v="0"/>
    <x v="80"/>
    <x v="0"/>
    <x v="82"/>
    <x v="81"/>
    <x v="20"/>
    <x v="0"/>
    <x v="3"/>
    <x v="8"/>
    <x v="21"/>
    <x v="3"/>
    <x v="0"/>
    <x v="10"/>
    <x v="2"/>
    <x v="84"/>
    <x v="84"/>
    <x v="84"/>
    <x v="84"/>
    <x v="84"/>
    <x v="2"/>
    <x v="67"/>
    <x v="0"/>
    <x v="62"/>
    <x v="20"/>
    <x v="20"/>
    <x v="84"/>
    <x v="84"/>
    <x v="84"/>
    <x v="84"/>
    <x v="84"/>
    <x v="84"/>
  </r>
  <r>
    <x v="85"/>
    <x v="81"/>
    <x v="3"/>
    <x v="81"/>
    <x v="1"/>
    <x v="83"/>
    <x v="82"/>
    <x v="25"/>
    <x v="1"/>
    <x v="0"/>
    <x v="11"/>
    <x v="33"/>
    <x v="2"/>
    <x v="2"/>
    <x v="14"/>
    <x v="0"/>
    <x v="85"/>
    <x v="85"/>
    <x v="85"/>
    <x v="85"/>
    <x v="85"/>
    <x v="1"/>
    <x v="68"/>
    <x v="0"/>
    <x v="63"/>
    <x v="21"/>
    <x v="21"/>
    <x v="85"/>
    <x v="85"/>
    <x v="85"/>
    <x v="85"/>
    <x v="85"/>
    <x v="85"/>
  </r>
  <r>
    <x v="86"/>
    <x v="82"/>
    <x v="7"/>
    <x v="82"/>
    <x v="2"/>
    <x v="84"/>
    <x v="83"/>
    <x v="6"/>
    <x v="0"/>
    <x v="1"/>
    <x v="9"/>
    <x v="23"/>
    <x v="0"/>
    <x v="0"/>
    <x v="11"/>
    <x v="0"/>
    <x v="86"/>
    <x v="86"/>
    <x v="86"/>
    <x v="86"/>
    <x v="86"/>
    <x v="2"/>
    <x v="69"/>
    <x v="0"/>
    <x v="64"/>
    <x v="11"/>
    <x v="11"/>
    <x v="86"/>
    <x v="86"/>
    <x v="86"/>
    <x v="86"/>
    <x v="86"/>
    <x v="86"/>
  </r>
  <r>
    <x v="87"/>
    <x v="83"/>
    <x v="11"/>
    <x v="83"/>
    <x v="3"/>
    <x v="85"/>
    <x v="84"/>
    <x v="7"/>
    <x v="0"/>
    <x v="0"/>
    <x v="0"/>
    <x v="16"/>
    <x v="0"/>
    <x v="5"/>
    <x v="12"/>
    <x v="0"/>
    <x v="87"/>
    <x v="87"/>
    <x v="87"/>
    <x v="87"/>
    <x v="87"/>
    <x v="0"/>
    <x v="70"/>
    <x v="0"/>
    <x v="65"/>
    <x v="28"/>
    <x v="28"/>
    <x v="87"/>
    <x v="87"/>
    <x v="87"/>
    <x v="87"/>
    <x v="87"/>
    <x v="87"/>
  </r>
  <r>
    <x v="88"/>
    <x v="84"/>
    <x v="4"/>
    <x v="84"/>
    <x v="0"/>
    <x v="86"/>
    <x v="85"/>
    <x v="3"/>
    <x v="1"/>
    <x v="1"/>
    <x v="4"/>
    <x v="18"/>
    <x v="3"/>
    <x v="4"/>
    <x v="0"/>
    <x v="5"/>
    <x v="88"/>
    <x v="88"/>
    <x v="88"/>
    <x v="88"/>
    <x v="88"/>
    <x v="1"/>
    <x v="71"/>
    <x v="0"/>
    <x v="66"/>
    <x v="21"/>
    <x v="21"/>
    <x v="88"/>
    <x v="88"/>
    <x v="88"/>
    <x v="88"/>
    <x v="88"/>
    <x v="88"/>
  </r>
  <r>
    <x v="89"/>
    <x v="85"/>
    <x v="9"/>
    <x v="85"/>
    <x v="2"/>
    <x v="87"/>
    <x v="86"/>
    <x v="4"/>
    <x v="1"/>
    <x v="1"/>
    <x v="2"/>
    <x v="32"/>
    <x v="1"/>
    <x v="2"/>
    <x v="9"/>
    <x v="5"/>
    <x v="89"/>
    <x v="89"/>
    <x v="89"/>
    <x v="89"/>
    <x v="89"/>
    <x v="0"/>
    <x v="72"/>
    <x v="0"/>
    <x v="67"/>
    <x v="15"/>
    <x v="15"/>
    <x v="89"/>
    <x v="89"/>
    <x v="89"/>
    <x v="89"/>
    <x v="89"/>
    <x v="89"/>
  </r>
  <r>
    <x v="90"/>
    <x v="86"/>
    <x v="7"/>
    <x v="86"/>
    <x v="2"/>
    <x v="88"/>
    <x v="87"/>
    <x v="13"/>
    <x v="0"/>
    <x v="1"/>
    <x v="2"/>
    <x v="32"/>
    <x v="1"/>
    <x v="4"/>
    <x v="13"/>
    <x v="2"/>
    <x v="90"/>
    <x v="90"/>
    <x v="90"/>
    <x v="90"/>
    <x v="90"/>
    <x v="1"/>
    <x v="13"/>
    <x v="0"/>
    <x v="13"/>
    <x v="5"/>
    <x v="5"/>
    <x v="90"/>
    <x v="90"/>
    <x v="90"/>
    <x v="90"/>
    <x v="90"/>
    <x v="90"/>
  </r>
  <r>
    <x v="91"/>
    <x v="56"/>
    <x v="9"/>
    <x v="56"/>
    <x v="2"/>
    <x v="89"/>
    <x v="88"/>
    <x v="12"/>
    <x v="0"/>
    <x v="1"/>
    <x v="4"/>
    <x v="34"/>
    <x v="5"/>
    <x v="3"/>
    <x v="12"/>
    <x v="3"/>
    <x v="91"/>
    <x v="91"/>
    <x v="91"/>
    <x v="91"/>
    <x v="91"/>
    <x v="1"/>
    <x v="41"/>
    <x v="0"/>
    <x v="39"/>
    <x v="30"/>
    <x v="30"/>
    <x v="91"/>
    <x v="91"/>
    <x v="91"/>
    <x v="91"/>
    <x v="91"/>
    <x v="91"/>
  </r>
  <r>
    <x v="92"/>
    <x v="87"/>
    <x v="9"/>
    <x v="87"/>
    <x v="2"/>
    <x v="90"/>
    <x v="89"/>
    <x v="1"/>
    <x v="1"/>
    <x v="2"/>
    <x v="5"/>
    <x v="30"/>
    <x v="2"/>
    <x v="0"/>
    <x v="6"/>
    <x v="1"/>
    <x v="92"/>
    <x v="92"/>
    <x v="92"/>
    <x v="92"/>
    <x v="92"/>
    <x v="1"/>
    <x v="73"/>
    <x v="0"/>
    <x v="68"/>
    <x v="15"/>
    <x v="15"/>
    <x v="92"/>
    <x v="92"/>
    <x v="92"/>
    <x v="92"/>
    <x v="92"/>
    <x v="92"/>
  </r>
  <r>
    <x v="93"/>
    <x v="88"/>
    <x v="1"/>
    <x v="88"/>
    <x v="1"/>
    <x v="91"/>
    <x v="90"/>
    <x v="10"/>
    <x v="0"/>
    <x v="0"/>
    <x v="1"/>
    <x v="7"/>
    <x v="0"/>
    <x v="3"/>
    <x v="9"/>
    <x v="6"/>
    <x v="93"/>
    <x v="93"/>
    <x v="93"/>
    <x v="93"/>
    <x v="93"/>
    <x v="1"/>
    <x v="74"/>
    <x v="0"/>
    <x v="69"/>
    <x v="9"/>
    <x v="9"/>
    <x v="93"/>
    <x v="93"/>
    <x v="93"/>
    <x v="93"/>
    <x v="93"/>
    <x v="93"/>
  </r>
  <r>
    <x v="94"/>
    <x v="59"/>
    <x v="6"/>
    <x v="59"/>
    <x v="3"/>
    <x v="14"/>
    <x v="14"/>
    <x v="8"/>
    <x v="0"/>
    <x v="0"/>
    <x v="0"/>
    <x v="13"/>
    <x v="0"/>
    <x v="4"/>
    <x v="4"/>
    <x v="3"/>
    <x v="94"/>
    <x v="94"/>
    <x v="94"/>
    <x v="94"/>
    <x v="94"/>
    <x v="1"/>
    <x v="75"/>
    <x v="0"/>
    <x v="70"/>
    <x v="8"/>
    <x v="8"/>
    <x v="94"/>
    <x v="94"/>
    <x v="94"/>
    <x v="94"/>
    <x v="94"/>
    <x v="94"/>
  </r>
  <r>
    <x v="95"/>
    <x v="89"/>
    <x v="7"/>
    <x v="89"/>
    <x v="2"/>
    <x v="92"/>
    <x v="91"/>
    <x v="28"/>
    <x v="0"/>
    <x v="3"/>
    <x v="8"/>
    <x v="31"/>
    <x v="5"/>
    <x v="3"/>
    <x v="2"/>
    <x v="1"/>
    <x v="95"/>
    <x v="95"/>
    <x v="95"/>
    <x v="95"/>
    <x v="95"/>
    <x v="2"/>
    <x v="76"/>
    <x v="0"/>
    <x v="71"/>
    <x v="7"/>
    <x v="7"/>
    <x v="95"/>
    <x v="95"/>
    <x v="95"/>
    <x v="95"/>
    <x v="95"/>
    <x v="95"/>
  </r>
  <r>
    <x v="96"/>
    <x v="90"/>
    <x v="11"/>
    <x v="90"/>
    <x v="3"/>
    <x v="93"/>
    <x v="92"/>
    <x v="14"/>
    <x v="0"/>
    <x v="1"/>
    <x v="4"/>
    <x v="35"/>
    <x v="5"/>
    <x v="4"/>
    <x v="7"/>
    <x v="5"/>
    <x v="96"/>
    <x v="96"/>
    <x v="96"/>
    <x v="96"/>
    <x v="96"/>
    <x v="0"/>
    <x v="34"/>
    <x v="0"/>
    <x v="34"/>
    <x v="8"/>
    <x v="8"/>
    <x v="96"/>
    <x v="96"/>
    <x v="96"/>
    <x v="96"/>
    <x v="96"/>
    <x v="96"/>
  </r>
  <r>
    <x v="97"/>
    <x v="91"/>
    <x v="5"/>
    <x v="91"/>
    <x v="2"/>
    <x v="94"/>
    <x v="93"/>
    <x v="1"/>
    <x v="1"/>
    <x v="0"/>
    <x v="1"/>
    <x v="7"/>
    <x v="5"/>
    <x v="1"/>
    <x v="9"/>
    <x v="6"/>
    <x v="97"/>
    <x v="97"/>
    <x v="97"/>
    <x v="97"/>
    <x v="97"/>
    <x v="2"/>
    <x v="5"/>
    <x v="0"/>
    <x v="5"/>
    <x v="7"/>
    <x v="7"/>
    <x v="97"/>
    <x v="97"/>
    <x v="97"/>
    <x v="97"/>
    <x v="97"/>
    <x v="97"/>
  </r>
  <r>
    <x v="98"/>
    <x v="92"/>
    <x v="8"/>
    <x v="92"/>
    <x v="3"/>
    <x v="95"/>
    <x v="94"/>
    <x v="29"/>
    <x v="0"/>
    <x v="1"/>
    <x v="9"/>
    <x v="14"/>
    <x v="2"/>
    <x v="2"/>
    <x v="12"/>
    <x v="2"/>
    <x v="98"/>
    <x v="98"/>
    <x v="98"/>
    <x v="98"/>
    <x v="98"/>
    <x v="0"/>
    <x v="77"/>
    <x v="0"/>
    <x v="72"/>
    <x v="16"/>
    <x v="16"/>
    <x v="98"/>
    <x v="98"/>
    <x v="98"/>
    <x v="98"/>
    <x v="98"/>
    <x v="98"/>
  </r>
  <r>
    <x v="99"/>
    <x v="2"/>
    <x v="2"/>
    <x v="2"/>
    <x v="0"/>
    <x v="96"/>
    <x v="95"/>
    <x v="8"/>
    <x v="0"/>
    <x v="3"/>
    <x v="6"/>
    <x v="9"/>
    <x v="4"/>
    <x v="4"/>
    <x v="10"/>
    <x v="4"/>
    <x v="99"/>
    <x v="99"/>
    <x v="99"/>
    <x v="99"/>
    <x v="99"/>
    <x v="2"/>
    <x v="39"/>
    <x v="1"/>
    <x v="33"/>
    <x v="7"/>
    <x v="7"/>
    <x v="99"/>
    <x v="99"/>
    <x v="99"/>
    <x v="99"/>
    <x v="99"/>
    <x v="99"/>
  </r>
  <r>
    <x v="100"/>
    <x v="93"/>
    <x v="4"/>
    <x v="93"/>
    <x v="0"/>
    <x v="97"/>
    <x v="96"/>
    <x v="6"/>
    <x v="0"/>
    <x v="1"/>
    <x v="9"/>
    <x v="14"/>
    <x v="2"/>
    <x v="4"/>
    <x v="4"/>
    <x v="3"/>
    <x v="100"/>
    <x v="100"/>
    <x v="100"/>
    <x v="100"/>
    <x v="100"/>
    <x v="2"/>
    <x v="5"/>
    <x v="0"/>
    <x v="5"/>
    <x v="17"/>
    <x v="17"/>
    <x v="100"/>
    <x v="100"/>
    <x v="100"/>
    <x v="100"/>
    <x v="100"/>
    <x v="100"/>
  </r>
  <r>
    <x v="101"/>
    <x v="94"/>
    <x v="4"/>
    <x v="94"/>
    <x v="0"/>
    <x v="98"/>
    <x v="97"/>
    <x v="26"/>
    <x v="0"/>
    <x v="1"/>
    <x v="4"/>
    <x v="29"/>
    <x v="5"/>
    <x v="2"/>
    <x v="1"/>
    <x v="0"/>
    <x v="101"/>
    <x v="101"/>
    <x v="101"/>
    <x v="101"/>
    <x v="101"/>
    <x v="0"/>
    <x v="78"/>
    <x v="0"/>
    <x v="73"/>
    <x v="3"/>
    <x v="3"/>
    <x v="101"/>
    <x v="101"/>
    <x v="101"/>
    <x v="101"/>
    <x v="101"/>
    <x v="101"/>
  </r>
  <r>
    <x v="102"/>
    <x v="95"/>
    <x v="0"/>
    <x v="95"/>
    <x v="0"/>
    <x v="99"/>
    <x v="98"/>
    <x v="3"/>
    <x v="1"/>
    <x v="0"/>
    <x v="0"/>
    <x v="16"/>
    <x v="0"/>
    <x v="4"/>
    <x v="0"/>
    <x v="4"/>
    <x v="102"/>
    <x v="102"/>
    <x v="102"/>
    <x v="102"/>
    <x v="102"/>
    <x v="2"/>
    <x v="5"/>
    <x v="0"/>
    <x v="5"/>
    <x v="5"/>
    <x v="5"/>
    <x v="102"/>
    <x v="102"/>
    <x v="102"/>
    <x v="102"/>
    <x v="102"/>
    <x v="102"/>
  </r>
  <r>
    <x v="103"/>
    <x v="96"/>
    <x v="3"/>
    <x v="96"/>
    <x v="1"/>
    <x v="100"/>
    <x v="99"/>
    <x v="20"/>
    <x v="0"/>
    <x v="2"/>
    <x v="3"/>
    <x v="26"/>
    <x v="0"/>
    <x v="4"/>
    <x v="9"/>
    <x v="6"/>
    <x v="103"/>
    <x v="103"/>
    <x v="103"/>
    <x v="103"/>
    <x v="103"/>
    <x v="0"/>
    <x v="79"/>
    <x v="0"/>
    <x v="74"/>
    <x v="31"/>
    <x v="31"/>
    <x v="103"/>
    <x v="103"/>
    <x v="103"/>
    <x v="103"/>
    <x v="103"/>
    <x v="103"/>
  </r>
  <r>
    <x v="104"/>
    <x v="97"/>
    <x v="6"/>
    <x v="97"/>
    <x v="3"/>
    <x v="101"/>
    <x v="100"/>
    <x v="28"/>
    <x v="0"/>
    <x v="1"/>
    <x v="9"/>
    <x v="23"/>
    <x v="4"/>
    <x v="1"/>
    <x v="10"/>
    <x v="4"/>
    <x v="104"/>
    <x v="104"/>
    <x v="104"/>
    <x v="104"/>
    <x v="104"/>
    <x v="2"/>
    <x v="36"/>
    <x v="0"/>
    <x v="36"/>
    <x v="27"/>
    <x v="27"/>
    <x v="104"/>
    <x v="104"/>
    <x v="104"/>
    <x v="104"/>
    <x v="104"/>
    <x v="104"/>
  </r>
  <r>
    <x v="105"/>
    <x v="98"/>
    <x v="5"/>
    <x v="98"/>
    <x v="2"/>
    <x v="102"/>
    <x v="101"/>
    <x v="30"/>
    <x v="1"/>
    <x v="0"/>
    <x v="11"/>
    <x v="20"/>
    <x v="2"/>
    <x v="1"/>
    <x v="12"/>
    <x v="0"/>
    <x v="105"/>
    <x v="105"/>
    <x v="105"/>
    <x v="105"/>
    <x v="105"/>
    <x v="1"/>
    <x v="80"/>
    <x v="1"/>
    <x v="33"/>
    <x v="2"/>
    <x v="2"/>
    <x v="105"/>
    <x v="105"/>
    <x v="105"/>
    <x v="105"/>
    <x v="105"/>
    <x v="105"/>
  </r>
  <r>
    <x v="106"/>
    <x v="20"/>
    <x v="5"/>
    <x v="20"/>
    <x v="2"/>
    <x v="103"/>
    <x v="102"/>
    <x v="29"/>
    <x v="0"/>
    <x v="0"/>
    <x v="0"/>
    <x v="13"/>
    <x v="0"/>
    <x v="1"/>
    <x v="1"/>
    <x v="3"/>
    <x v="106"/>
    <x v="106"/>
    <x v="106"/>
    <x v="106"/>
    <x v="106"/>
    <x v="0"/>
    <x v="81"/>
    <x v="0"/>
    <x v="75"/>
    <x v="32"/>
    <x v="32"/>
    <x v="106"/>
    <x v="106"/>
    <x v="106"/>
    <x v="106"/>
    <x v="106"/>
    <x v="106"/>
  </r>
  <r>
    <x v="107"/>
    <x v="99"/>
    <x v="11"/>
    <x v="99"/>
    <x v="3"/>
    <x v="104"/>
    <x v="103"/>
    <x v="28"/>
    <x v="0"/>
    <x v="3"/>
    <x v="8"/>
    <x v="31"/>
    <x v="2"/>
    <x v="1"/>
    <x v="1"/>
    <x v="3"/>
    <x v="107"/>
    <x v="107"/>
    <x v="107"/>
    <x v="107"/>
    <x v="107"/>
    <x v="2"/>
    <x v="82"/>
    <x v="0"/>
    <x v="76"/>
    <x v="2"/>
    <x v="2"/>
    <x v="107"/>
    <x v="107"/>
    <x v="107"/>
    <x v="107"/>
    <x v="107"/>
    <x v="107"/>
  </r>
  <r>
    <x v="108"/>
    <x v="100"/>
    <x v="1"/>
    <x v="100"/>
    <x v="1"/>
    <x v="46"/>
    <x v="46"/>
    <x v="20"/>
    <x v="0"/>
    <x v="1"/>
    <x v="2"/>
    <x v="4"/>
    <x v="4"/>
    <x v="0"/>
    <x v="1"/>
    <x v="2"/>
    <x v="108"/>
    <x v="108"/>
    <x v="108"/>
    <x v="108"/>
    <x v="108"/>
    <x v="0"/>
    <x v="5"/>
    <x v="0"/>
    <x v="5"/>
    <x v="11"/>
    <x v="11"/>
    <x v="108"/>
    <x v="108"/>
    <x v="108"/>
    <x v="108"/>
    <x v="108"/>
    <x v="108"/>
  </r>
  <r>
    <x v="109"/>
    <x v="101"/>
    <x v="9"/>
    <x v="101"/>
    <x v="2"/>
    <x v="105"/>
    <x v="104"/>
    <x v="30"/>
    <x v="1"/>
    <x v="0"/>
    <x v="0"/>
    <x v="0"/>
    <x v="3"/>
    <x v="2"/>
    <x v="8"/>
    <x v="6"/>
    <x v="109"/>
    <x v="109"/>
    <x v="109"/>
    <x v="109"/>
    <x v="109"/>
    <x v="0"/>
    <x v="83"/>
    <x v="1"/>
    <x v="77"/>
    <x v="33"/>
    <x v="33"/>
    <x v="109"/>
    <x v="109"/>
    <x v="109"/>
    <x v="109"/>
    <x v="109"/>
    <x v="109"/>
  </r>
  <r>
    <x v="110"/>
    <x v="102"/>
    <x v="9"/>
    <x v="102"/>
    <x v="2"/>
    <x v="106"/>
    <x v="75"/>
    <x v="27"/>
    <x v="0"/>
    <x v="1"/>
    <x v="9"/>
    <x v="14"/>
    <x v="0"/>
    <x v="1"/>
    <x v="1"/>
    <x v="0"/>
    <x v="110"/>
    <x v="110"/>
    <x v="110"/>
    <x v="110"/>
    <x v="110"/>
    <x v="1"/>
    <x v="5"/>
    <x v="0"/>
    <x v="5"/>
    <x v="19"/>
    <x v="19"/>
    <x v="110"/>
    <x v="110"/>
    <x v="110"/>
    <x v="110"/>
    <x v="110"/>
    <x v="110"/>
  </r>
  <r>
    <x v="111"/>
    <x v="103"/>
    <x v="9"/>
    <x v="103"/>
    <x v="2"/>
    <x v="107"/>
    <x v="105"/>
    <x v="25"/>
    <x v="1"/>
    <x v="3"/>
    <x v="8"/>
    <x v="12"/>
    <x v="4"/>
    <x v="2"/>
    <x v="12"/>
    <x v="4"/>
    <x v="111"/>
    <x v="111"/>
    <x v="111"/>
    <x v="111"/>
    <x v="111"/>
    <x v="2"/>
    <x v="84"/>
    <x v="0"/>
    <x v="78"/>
    <x v="17"/>
    <x v="17"/>
    <x v="111"/>
    <x v="111"/>
    <x v="111"/>
    <x v="111"/>
    <x v="111"/>
    <x v="111"/>
  </r>
  <r>
    <x v="112"/>
    <x v="104"/>
    <x v="9"/>
    <x v="104"/>
    <x v="2"/>
    <x v="108"/>
    <x v="106"/>
    <x v="29"/>
    <x v="0"/>
    <x v="0"/>
    <x v="11"/>
    <x v="25"/>
    <x v="5"/>
    <x v="3"/>
    <x v="5"/>
    <x v="2"/>
    <x v="112"/>
    <x v="112"/>
    <x v="112"/>
    <x v="112"/>
    <x v="112"/>
    <x v="0"/>
    <x v="85"/>
    <x v="0"/>
    <x v="79"/>
    <x v="0"/>
    <x v="0"/>
    <x v="112"/>
    <x v="112"/>
    <x v="112"/>
    <x v="112"/>
    <x v="112"/>
    <x v="112"/>
  </r>
  <r>
    <x v="113"/>
    <x v="105"/>
    <x v="4"/>
    <x v="105"/>
    <x v="0"/>
    <x v="109"/>
    <x v="107"/>
    <x v="1"/>
    <x v="1"/>
    <x v="2"/>
    <x v="10"/>
    <x v="36"/>
    <x v="5"/>
    <x v="1"/>
    <x v="3"/>
    <x v="6"/>
    <x v="113"/>
    <x v="113"/>
    <x v="113"/>
    <x v="113"/>
    <x v="113"/>
    <x v="0"/>
    <x v="45"/>
    <x v="0"/>
    <x v="43"/>
    <x v="21"/>
    <x v="21"/>
    <x v="113"/>
    <x v="113"/>
    <x v="113"/>
    <x v="113"/>
    <x v="113"/>
    <x v="113"/>
  </r>
  <r>
    <x v="114"/>
    <x v="106"/>
    <x v="10"/>
    <x v="106"/>
    <x v="1"/>
    <x v="110"/>
    <x v="108"/>
    <x v="14"/>
    <x v="0"/>
    <x v="1"/>
    <x v="2"/>
    <x v="27"/>
    <x v="5"/>
    <x v="0"/>
    <x v="4"/>
    <x v="2"/>
    <x v="114"/>
    <x v="114"/>
    <x v="114"/>
    <x v="114"/>
    <x v="114"/>
    <x v="0"/>
    <x v="5"/>
    <x v="0"/>
    <x v="5"/>
    <x v="8"/>
    <x v="8"/>
    <x v="114"/>
    <x v="114"/>
    <x v="114"/>
    <x v="114"/>
    <x v="114"/>
    <x v="114"/>
  </r>
  <r>
    <x v="115"/>
    <x v="107"/>
    <x v="0"/>
    <x v="107"/>
    <x v="0"/>
    <x v="111"/>
    <x v="109"/>
    <x v="4"/>
    <x v="1"/>
    <x v="2"/>
    <x v="5"/>
    <x v="10"/>
    <x v="5"/>
    <x v="4"/>
    <x v="3"/>
    <x v="5"/>
    <x v="115"/>
    <x v="115"/>
    <x v="115"/>
    <x v="115"/>
    <x v="115"/>
    <x v="2"/>
    <x v="86"/>
    <x v="0"/>
    <x v="80"/>
    <x v="15"/>
    <x v="15"/>
    <x v="115"/>
    <x v="115"/>
    <x v="115"/>
    <x v="115"/>
    <x v="115"/>
    <x v="115"/>
  </r>
  <r>
    <x v="116"/>
    <x v="108"/>
    <x v="9"/>
    <x v="108"/>
    <x v="2"/>
    <x v="112"/>
    <x v="110"/>
    <x v="1"/>
    <x v="1"/>
    <x v="2"/>
    <x v="3"/>
    <x v="5"/>
    <x v="3"/>
    <x v="3"/>
    <x v="7"/>
    <x v="1"/>
    <x v="116"/>
    <x v="116"/>
    <x v="116"/>
    <x v="116"/>
    <x v="116"/>
    <x v="0"/>
    <x v="87"/>
    <x v="0"/>
    <x v="81"/>
    <x v="17"/>
    <x v="17"/>
    <x v="116"/>
    <x v="116"/>
    <x v="116"/>
    <x v="116"/>
    <x v="116"/>
    <x v="116"/>
  </r>
  <r>
    <x v="117"/>
    <x v="6"/>
    <x v="3"/>
    <x v="6"/>
    <x v="1"/>
    <x v="113"/>
    <x v="111"/>
    <x v="30"/>
    <x v="1"/>
    <x v="3"/>
    <x v="6"/>
    <x v="37"/>
    <x v="1"/>
    <x v="4"/>
    <x v="9"/>
    <x v="4"/>
    <x v="117"/>
    <x v="117"/>
    <x v="117"/>
    <x v="117"/>
    <x v="117"/>
    <x v="2"/>
    <x v="50"/>
    <x v="0"/>
    <x v="47"/>
    <x v="9"/>
    <x v="9"/>
    <x v="117"/>
    <x v="117"/>
    <x v="117"/>
    <x v="117"/>
    <x v="117"/>
    <x v="117"/>
  </r>
  <r>
    <x v="118"/>
    <x v="109"/>
    <x v="9"/>
    <x v="109"/>
    <x v="2"/>
    <x v="114"/>
    <x v="112"/>
    <x v="23"/>
    <x v="0"/>
    <x v="1"/>
    <x v="9"/>
    <x v="38"/>
    <x v="5"/>
    <x v="0"/>
    <x v="9"/>
    <x v="5"/>
    <x v="118"/>
    <x v="118"/>
    <x v="118"/>
    <x v="118"/>
    <x v="118"/>
    <x v="0"/>
    <x v="88"/>
    <x v="0"/>
    <x v="82"/>
    <x v="11"/>
    <x v="11"/>
    <x v="118"/>
    <x v="118"/>
    <x v="118"/>
    <x v="118"/>
    <x v="118"/>
    <x v="118"/>
  </r>
  <r>
    <x v="119"/>
    <x v="110"/>
    <x v="8"/>
    <x v="110"/>
    <x v="3"/>
    <x v="115"/>
    <x v="113"/>
    <x v="26"/>
    <x v="0"/>
    <x v="2"/>
    <x v="3"/>
    <x v="26"/>
    <x v="1"/>
    <x v="3"/>
    <x v="2"/>
    <x v="4"/>
    <x v="119"/>
    <x v="119"/>
    <x v="119"/>
    <x v="119"/>
    <x v="119"/>
    <x v="0"/>
    <x v="89"/>
    <x v="0"/>
    <x v="83"/>
    <x v="5"/>
    <x v="5"/>
    <x v="119"/>
    <x v="119"/>
    <x v="119"/>
    <x v="119"/>
    <x v="119"/>
    <x v="119"/>
  </r>
  <r>
    <x v="120"/>
    <x v="111"/>
    <x v="9"/>
    <x v="111"/>
    <x v="2"/>
    <x v="116"/>
    <x v="114"/>
    <x v="20"/>
    <x v="0"/>
    <x v="3"/>
    <x v="8"/>
    <x v="35"/>
    <x v="2"/>
    <x v="4"/>
    <x v="15"/>
    <x v="2"/>
    <x v="120"/>
    <x v="120"/>
    <x v="120"/>
    <x v="120"/>
    <x v="120"/>
    <x v="2"/>
    <x v="82"/>
    <x v="0"/>
    <x v="76"/>
    <x v="9"/>
    <x v="9"/>
    <x v="120"/>
    <x v="120"/>
    <x v="120"/>
    <x v="120"/>
    <x v="120"/>
    <x v="120"/>
  </r>
  <r>
    <x v="121"/>
    <x v="112"/>
    <x v="10"/>
    <x v="112"/>
    <x v="1"/>
    <x v="117"/>
    <x v="115"/>
    <x v="9"/>
    <x v="0"/>
    <x v="3"/>
    <x v="7"/>
    <x v="17"/>
    <x v="2"/>
    <x v="4"/>
    <x v="10"/>
    <x v="5"/>
    <x v="121"/>
    <x v="121"/>
    <x v="121"/>
    <x v="121"/>
    <x v="121"/>
    <x v="2"/>
    <x v="90"/>
    <x v="0"/>
    <x v="84"/>
    <x v="0"/>
    <x v="0"/>
    <x v="121"/>
    <x v="121"/>
    <x v="121"/>
    <x v="121"/>
    <x v="121"/>
    <x v="121"/>
  </r>
  <r>
    <x v="122"/>
    <x v="113"/>
    <x v="3"/>
    <x v="113"/>
    <x v="1"/>
    <x v="118"/>
    <x v="116"/>
    <x v="21"/>
    <x v="0"/>
    <x v="0"/>
    <x v="0"/>
    <x v="0"/>
    <x v="0"/>
    <x v="4"/>
    <x v="4"/>
    <x v="3"/>
    <x v="122"/>
    <x v="122"/>
    <x v="122"/>
    <x v="122"/>
    <x v="122"/>
    <x v="2"/>
    <x v="91"/>
    <x v="1"/>
    <x v="85"/>
    <x v="2"/>
    <x v="2"/>
    <x v="122"/>
    <x v="122"/>
    <x v="122"/>
    <x v="122"/>
    <x v="122"/>
    <x v="122"/>
  </r>
  <r>
    <x v="123"/>
    <x v="61"/>
    <x v="10"/>
    <x v="61"/>
    <x v="1"/>
    <x v="119"/>
    <x v="117"/>
    <x v="29"/>
    <x v="0"/>
    <x v="2"/>
    <x v="5"/>
    <x v="10"/>
    <x v="4"/>
    <x v="4"/>
    <x v="2"/>
    <x v="2"/>
    <x v="123"/>
    <x v="123"/>
    <x v="123"/>
    <x v="123"/>
    <x v="123"/>
    <x v="1"/>
    <x v="92"/>
    <x v="0"/>
    <x v="86"/>
    <x v="15"/>
    <x v="15"/>
    <x v="123"/>
    <x v="123"/>
    <x v="123"/>
    <x v="123"/>
    <x v="123"/>
    <x v="123"/>
  </r>
  <r>
    <x v="124"/>
    <x v="114"/>
    <x v="11"/>
    <x v="114"/>
    <x v="3"/>
    <x v="120"/>
    <x v="118"/>
    <x v="16"/>
    <x v="0"/>
    <x v="2"/>
    <x v="3"/>
    <x v="19"/>
    <x v="1"/>
    <x v="3"/>
    <x v="9"/>
    <x v="0"/>
    <x v="124"/>
    <x v="124"/>
    <x v="124"/>
    <x v="124"/>
    <x v="124"/>
    <x v="0"/>
    <x v="25"/>
    <x v="0"/>
    <x v="25"/>
    <x v="15"/>
    <x v="15"/>
    <x v="124"/>
    <x v="124"/>
    <x v="124"/>
    <x v="124"/>
    <x v="124"/>
    <x v="124"/>
  </r>
  <r>
    <x v="125"/>
    <x v="115"/>
    <x v="11"/>
    <x v="115"/>
    <x v="3"/>
    <x v="121"/>
    <x v="119"/>
    <x v="2"/>
    <x v="0"/>
    <x v="1"/>
    <x v="9"/>
    <x v="23"/>
    <x v="4"/>
    <x v="0"/>
    <x v="5"/>
    <x v="0"/>
    <x v="125"/>
    <x v="125"/>
    <x v="125"/>
    <x v="125"/>
    <x v="125"/>
    <x v="0"/>
    <x v="26"/>
    <x v="0"/>
    <x v="26"/>
    <x v="16"/>
    <x v="16"/>
    <x v="125"/>
    <x v="125"/>
    <x v="125"/>
    <x v="125"/>
    <x v="125"/>
    <x v="125"/>
  </r>
  <r>
    <x v="126"/>
    <x v="116"/>
    <x v="9"/>
    <x v="116"/>
    <x v="2"/>
    <x v="122"/>
    <x v="120"/>
    <x v="6"/>
    <x v="0"/>
    <x v="3"/>
    <x v="6"/>
    <x v="9"/>
    <x v="2"/>
    <x v="2"/>
    <x v="12"/>
    <x v="0"/>
    <x v="126"/>
    <x v="126"/>
    <x v="126"/>
    <x v="126"/>
    <x v="126"/>
    <x v="2"/>
    <x v="93"/>
    <x v="0"/>
    <x v="87"/>
    <x v="23"/>
    <x v="23"/>
    <x v="126"/>
    <x v="126"/>
    <x v="126"/>
    <x v="126"/>
    <x v="126"/>
    <x v="126"/>
  </r>
  <r>
    <x v="127"/>
    <x v="117"/>
    <x v="11"/>
    <x v="117"/>
    <x v="3"/>
    <x v="123"/>
    <x v="121"/>
    <x v="26"/>
    <x v="0"/>
    <x v="3"/>
    <x v="8"/>
    <x v="21"/>
    <x v="2"/>
    <x v="4"/>
    <x v="6"/>
    <x v="0"/>
    <x v="127"/>
    <x v="127"/>
    <x v="127"/>
    <x v="127"/>
    <x v="127"/>
    <x v="0"/>
    <x v="94"/>
    <x v="0"/>
    <x v="88"/>
    <x v="9"/>
    <x v="9"/>
    <x v="127"/>
    <x v="127"/>
    <x v="127"/>
    <x v="127"/>
    <x v="127"/>
    <x v="127"/>
  </r>
  <r>
    <x v="128"/>
    <x v="118"/>
    <x v="5"/>
    <x v="118"/>
    <x v="2"/>
    <x v="124"/>
    <x v="122"/>
    <x v="16"/>
    <x v="0"/>
    <x v="2"/>
    <x v="10"/>
    <x v="24"/>
    <x v="4"/>
    <x v="0"/>
    <x v="9"/>
    <x v="3"/>
    <x v="128"/>
    <x v="128"/>
    <x v="128"/>
    <x v="128"/>
    <x v="128"/>
    <x v="0"/>
    <x v="37"/>
    <x v="0"/>
    <x v="37"/>
    <x v="0"/>
    <x v="0"/>
    <x v="128"/>
    <x v="128"/>
    <x v="128"/>
    <x v="128"/>
    <x v="128"/>
    <x v="128"/>
  </r>
  <r>
    <x v="129"/>
    <x v="119"/>
    <x v="4"/>
    <x v="119"/>
    <x v="0"/>
    <x v="125"/>
    <x v="123"/>
    <x v="11"/>
    <x v="0"/>
    <x v="2"/>
    <x v="10"/>
    <x v="24"/>
    <x v="4"/>
    <x v="1"/>
    <x v="8"/>
    <x v="2"/>
    <x v="129"/>
    <x v="129"/>
    <x v="129"/>
    <x v="129"/>
    <x v="129"/>
    <x v="1"/>
    <x v="95"/>
    <x v="0"/>
    <x v="89"/>
    <x v="7"/>
    <x v="7"/>
    <x v="129"/>
    <x v="129"/>
    <x v="129"/>
    <x v="129"/>
    <x v="129"/>
    <x v="129"/>
  </r>
  <r>
    <x v="130"/>
    <x v="120"/>
    <x v="2"/>
    <x v="120"/>
    <x v="0"/>
    <x v="126"/>
    <x v="124"/>
    <x v="12"/>
    <x v="0"/>
    <x v="2"/>
    <x v="5"/>
    <x v="8"/>
    <x v="2"/>
    <x v="4"/>
    <x v="5"/>
    <x v="5"/>
    <x v="130"/>
    <x v="130"/>
    <x v="130"/>
    <x v="130"/>
    <x v="130"/>
    <x v="1"/>
    <x v="96"/>
    <x v="0"/>
    <x v="90"/>
    <x v="15"/>
    <x v="15"/>
    <x v="130"/>
    <x v="130"/>
    <x v="130"/>
    <x v="130"/>
    <x v="130"/>
    <x v="130"/>
  </r>
  <r>
    <x v="131"/>
    <x v="121"/>
    <x v="0"/>
    <x v="121"/>
    <x v="0"/>
    <x v="127"/>
    <x v="125"/>
    <x v="28"/>
    <x v="0"/>
    <x v="0"/>
    <x v="1"/>
    <x v="7"/>
    <x v="5"/>
    <x v="4"/>
    <x v="10"/>
    <x v="6"/>
    <x v="131"/>
    <x v="131"/>
    <x v="131"/>
    <x v="131"/>
    <x v="131"/>
    <x v="0"/>
    <x v="56"/>
    <x v="0"/>
    <x v="53"/>
    <x v="21"/>
    <x v="21"/>
    <x v="131"/>
    <x v="131"/>
    <x v="131"/>
    <x v="131"/>
    <x v="131"/>
    <x v="131"/>
  </r>
  <r>
    <x v="132"/>
    <x v="122"/>
    <x v="4"/>
    <x v="122"/>
    <x v="0"/>
    <x v="128"/>
    <x v="126"/>
    <x v="3"/>
    <x v="1"/>
    <x v="3"/>
    <x v="8"/>
    <x v="31"/>
    <x v="5"/>
    <x v="1"/>
    <x v="13"/>
    <x v="4"/>
    <x v="132"/>
    <x v="132"/>
    <x v="132"/>
    <x v="132"/>
    <x v="132"/>
    <x v="0"/>
    <x v="97"/>
    <x v="1"/>
    <x v="91"/>
    <x v="13"/>
    <x v="13"/>
    <x v="132"/>
    <x v="132"/>
    <x v="132"/>
    <x v="132"/>
    <x v="132"/>
    <x v="132"/>
  </r>
  <r>
    <x v="133"/>
    <x v="123"/>
    <x v="4"/>
    <x v="123"/>
    <x v="0"/>
    <x v="30"/>
    <x v="30"/>
    <x v="30"/>
    <x v="1"/>
    <x v="1"/>
    <x v="9"/>
    <x v="38"/>
    <x v="1"/>
    <x v="1"/>
    <x v="0"/>
    <x v="3"/>
    <x v="133"/>
    <x v="133"/>
    <x v="133"/>
    <x v="133"/>
    <x v="133"/>
    <x v="0"/>
    <x v="37"/>
    <x v="0"/>
    <x v="37"/>
    <x v="15"/>
    <x v="15"/>
    <x v="133"/>
    <x v="133"/>
    <x v="133"/>
    <x v="133"/>
    <x v="133"/>
    <x v="133"/>
  </r>
  <r>
    <x v="134"/>
    <x v="124"/>
    <x v="3"/>
    <x v="124"/>
    <x v="1"/>
    <x v="129"/>
    <x v="127"/>
    <x v="15"/>
    <x v="1"/>
    <x v="2"/>
    <x v="10"/>
    <x v="24"/>
    <x v="3"/>
    <x v="2"/>
    <x v="12"/>
    <x v="1"/>
    <x v="134"/>
    <x v="134"/>
    <x v="134"/>
    <x v="134"/>
    <x v="134"/>
    <x v="0"/>
    <x v="98"/>
    <x v="0"/>
    <x v="92"/>
    <x v="29"/>
    <x v="29"/>
    <x v="134"/>
    <x v="134"/>
    <x v="134"/>
    <x v="134"/>
    <x v="134"/>
    <x v="134"/>
  </r>
  <r>
    <x v="135"/>
    <x v="125"/>
    <x v="7"/>
    <x v="125"/>
    <x v="2"/>
    <x v="130"/>
    <x v="128"/>
    <x v="15"/>
    <x v="1"/>
    <x v="3"/>
    <x v="7"/>
    <x v="17"/>
    <x v="5"/>
    <x v="4"/>
    <x v="6"/>
    <x v="5"/>
    <x v="135"/>
    <x v="135"/>
    <x v="135"/>
    <x v="135"/>
    <x v="135"/>
    <x v="2"/>
    <x v="12"/>
    <x v="0"/>
    <x v="12"/>
    <x v="20"/>
    <x v="20"/>
    <x v="135"/>
    <x v="135"/>
    <x v="135"/>
    <x v="135"/>
    <x v="135"/>
    <x v="135"/>
  </r>
  <r>
    <x v="136"/>
    <x v="126"/>
    <x v="3"/>
    <x v="126"/>
    <x v="1"/>
    <x v="131"/>
    <x v="129"/>
    <x v="10"/>
    <x v="0"/>
    <x v="1"/>
    <x v="9"/>
    <x v="14"/>
    <x v="1"/>
    <x v="1"/>
    <x v="1"/>
    <x v="0"/>
    <x v="136"/>
    <x v="136"/>
    <x v="136"/>
    <x v="136"/>
    <x v="136"/>
    <x v="2"/>
    <x v="99"/>
    <x v="0"/>
    <x v="93"/>
    <x v="8"/>
    <x v="8"/>
    <x v="136"/>
    <x v="136"/>
    <x v="136"/>
    <x v="136"/>
    <x v="136"/>
    <x v="136"/>
  </r>
  <r>
    <x v="137"/>
    <x v="50"/>
    <x v="0"/>
    <x v="50"/>
    <x v="0"/>
    <x v="132"/>
    <x v="130"/>
    <x v="7"/>
    <x v="0"/>
    <x v="0"/>
    <x v="0"/>
    <x v="13"/>
    <x v="4"/>
    <x v="1"/>
    <x v="0"/>
    <x v="3"/>
    <x v="137"/>
    <x v="137"/>
    <x v="137"/>
    <x v="137"/>
    <x v="137"/>
    <x v="0"/>
    <x v="100"/>
    <x v="1"/>
    <x v="33"/>
    <x v="4"/>
    <x v="4"/>
    <x v="137"/>
    <x v="137"/>
    <x v="137"/>
    <x v="137"/>
    <x v="137"/>
    <x v="137"/>
  </r>
  <r>
    <x v="138"/>
    <x v="127"/>
    <x v="10"/>
    <x v="127"/>
    <x v="1"/>
    <x v="133"/>
    <x v="131"/>
    <x v="2"/>
    <x v="0"/>
    <x v="3"/>
    <x v="7"/>
    <x v="28"/>
    <x v="0"/>
    <x v="1"/>
    <x v="3"/>
    <x v="1"/>
    <x v="138"/>
    <x v="138"/>
    <x v="138"/>
    <x v="138"/>
    <x v="138"/>
    <x v="2"/>
    <x v="31"/>
    <x v="0"/>
    <x v="31"/>
    <x v="3"/>
    <x v="3"/>
    <x v="138"/>
    <x v="138"/>
    <x v="138"/>
    <x v="138"/>
    <x v="138"/>
    <x v="138"/>
  </r>
  <r>
    <x v="139"/>
    <x v="128"/>
    <x v="2"/>
    <x v="128"/>
    <x v="0"/>
    <x v="134"/>
    <x v="132"/>
    <x v="18"/>
    <x v="1"/>
    <x v="1"/>
    <x v="9"/>
    <x v="38"/>
    <x v="0"/>
    <x v="3"/>
    <x v="4"/>
    <x v="6"/>
    <x v="139"/>
    <x v="139"/>
    <x v="139"/>
    <x v="139"/>
    <x v="139"/>
    <x v="0"/>
    <x v="101"/>
    <x v="1"/>
    <x v="33"/>
    <x v="9"/>
    <x v="9"/>
    <x v="139"/>
    <x v="139"/>
    <x v="139"/>
    <x v="139"/>
    <x v="139"/>
    <x v="139"/>
  </r>
  <r>
    <x v="140"/>
    <x v="129"/>
    <x v="5"/>
    <x v="129"/>
    <x v="2"/>
    <x v="72"/>
    <x v="133"/>
    <x v="12"/>
    <x v="0"/>
    <x v="1"/>
    <x v="4"/>
    <x v="18"/>
    <x v="4"/>
    <x v="2"/>
    <x v="11"/>
    <x v="5"/>
    <x v="140"/>
    <x v="140"/>
    <x v="140"/>
    <x v="140"/>
    <x v="140"/>
    <x v="2"/>
    <x v="85"/>
    <x v="0"/>
    <x v="79"/>
    <x v="34"/>
    <x v="34"/>
    <x v="140"/>
    <x v="140"/>
    <x v="140"/>
    <x v="140"/>
    <x v="140"/>
    <x v="140"/>
  </r>
  <r>
    <x v="141"/>
    <x v="130"/>
    <x v="3"/>
    <x v="130"/>
    <x v="1"/>
    <x v="135"/>
    <x v="134"/>
    <x v="6"/>
    <x v="0"/>
    <x v="3"/>
    <x v="6"/>
    <x v="9"/>
    <x v="1"/>
    <x v="0"/>
    <x v="11"/>
    <x v="3"/>
    <x v="141"/>
    <x v="141"/>
    <x v="141"/>
    <x v="141"/>
    <x v="141"/>
    <x v="1"/>
    <x v="19"/>
    <x v="0"/>
    <x v="19"/>
    <x v="0"/>
    <x v="0"/>
    <x v="141"/>
    <x v="141"/>
    <x v="141"/>
    <x v="141"/>
    <x v="141"/>
    <x v="141"/>
  </r>
  <r>
    <x v="142"/>
    <x v="131"/>
    <x v="8"/>
    <x v="131"/>
    <x v="3"/>
    <x v="136"/>
    <x v="135"/>
    <x v="17"/>
    <x v="0"/>
    <x v="2"/>
    <x v="10"/>
    <x v="39"/>
    <x v="3"/>
    <x v="0"/>
    <x v="12"/>
    <x v="6"/>
    <x v="142"/>
    <x v="142"/>
    <x v="142"/>
    <x v="142"/>
    <x v="142"/>
    <x v="2"/>
    <x v="102"/>
    <x v="0"/>
    <x v="94"/>
    <x v="9"/>
    <x v="9"/>
    <x v="142"/>
    <x v="142"/>
    <x v="142"/>
    <x v="142"/>
    <x v="142"/>
    <x v="142"/>
  </r>
  <r>
    <x v="143"/>
    <x v="132"/>
    <x v="9"/>
    <x v="132"/>
    <x v="2"/>
    <x v="137"/>
    <x v="136"/>
    <x v="28"/>
    <x v="0"/>
    <x v="2"/>
    <x v="3"/>
    <x v="5"/>
    <x v="5"/>
    <x v="3"/>
    <x v="4"/>
    <x v="1"/>
    <x v="143"/>
    <x v="143"/>
    <x v="143"/>
    <x v="143"/>
    <x v="143"/>
    <x v="1"/>
    <x v="103"/>
    <x v="1"/>
    <x v="95"/>
    <x v="0"/>
    <x v="0"/>
    <x v="143"/>
    <x v="143"/>
    <x v="143"/>
    <x v="143"/>
    <x v="143"/>
    <x v="143"/>
  </r>
  <r>
    <x v="144"/>
    <x v="133"/>
    <x v="8"/>
    <x v="133"/>
    <x v="3"/>
    <x v="138"/>
    <x v="137"/>
    <x v="26"/>
    <x v="0"/>
    <x v="2"/>
    <x v="5"/>
    <x v="10"/>
    <x v="5"/>
    <x v="4"/>
    <x v="5"/>
    <x v="2"/>
    <x v="144"/>
    <x v="144"/>
    <x v="144"/>
    <x v="144"/>
    <x v="144"/>
    <x v="1"/>
    <x v="104"/>
    <x v="0"/>
    <x v="96"/>
    <x v="12"/>
    <x v="12"/>
    <x v="144"/>
    <x v="144"/>
    <x v="144"/>
    <x v="144"/>
    <x v="144"/>
    <x v="144"/>
  </r>
  <r>
    <x v="145"/>
    <x v="134"/>
    <x v="10"/>
    <x v="134"/>
    <x v="1"/>
    <x v="139"/>
    <x v="138"/>
    <x v="1"/>
    <x v="1"/>
    <x v="0"/>
    <x v="11"/>
    <x v="25"/>
    <x v="4"/>
    <x v="2"/>
    <x v="6"/>
    <x v="4"/>
    <x v="145"/>
    <x v="145"/>
    <x v="145"/>
    <x v="145"/>
    <x v="145"/>
    <x v="0"/>
    <x v="105"/>
    <x v="0"/>
    <x v="97"/>
    <x v="9"/>
    <x v="9"/>
    <x v="145"/>
    <x v="145"/>
    <x v="145"/>
    <x v="145"/>
    <x v="145"/>
    <x v="145"/>
  </r>
  <r>
    <x v="146"/>
    <x v="135"/>
    <x v="6"/>
    <x v="135"/>
    <x v="3"/>
    <x v="140"/>
    <x v="139"/>
    <x v="13"/>
    <x v="0"/>
    <x v="0"/>
    <x v="0"/>
    <x v="2"/>
    <x v="2"/>
    <x v="3"/>
    <x v="1"/>
    <x v="4"/>
    <x v="146"/>
    <x v="146"/>
    <x v="146"/>
    <x v="146"/>
    <x v="146"/>
    <x v="0"/>
    <x v="57"/>
    <x v="0"/>
    <x v="54"/>
    <x v="8"/>
    <x v="8"/>
    <x v="146"/>
    <x v="146"/>
    <x v="146"/>
    <x v="146"/>
    <x v="146"/>
    <x v="146"/>
  </r>
  <r>
    <x v="147"/>
    <x v="136"/>
    <x v="7"/>
    <x v="136"/>
    <x v="2"/>
    <x v="141"/>
    <x v="140"/>
    <x v="8"/>
    <x v="0"/>
    <x v="3"/>
    <x v="6"/>
    <x v="37"/>
    <x v="2"/>
    <x v="4"/>
    <x v="7"/>
    <x v="6"/>
    <x v="147"/>
    <x v="147"/>
    <x v="147"/>
    <x v="147"/>
    <x v="147"/>
    <x v="1"/>
    <x v="5"/>
    <x v="0"/>
    <x v="5"/>
    <x v="16"/>
    <x v="16"/>
    <x v="147"/>
    <x v="147"/>
    <x v="147"/>
    <x v="147"/>
    <x v="147"/>
    <x v="147"/>
  </r>
  <r>
    <x v="148"/>
    <x v="137"/>
    <x v="6"/>
    <x v="137"/>
    <x v="3"/>
    <x v="142"/>
    <x v="141"/>
    <x v="24"/>
    <x v="1"/>
    <x v="3"/>
    <x v="7"/>
    <x v="17"/>
    <x v="2"/>
    <x v="4"/>
    <x v="5"/>
    <x v="1"/>
    <x v="148"/>
    <x v="148"/>
    <x v="148"/>
    <x v="148"/>
    <x v="148"/>
    <x v="0"/>
    <x v="70"/>
    <x v="0"/>
    <x v="65"/>
    <x v="30"/>
    <x v="30"/>
    <x v="148"/>
    <x v="148"/>
    <x v="148"/>
    <x v="148"/>
    <x v="148"/>
    <x v="148"/>
  </r>
  <r>
    <x v="149"/>
    <x v="138"/>
    <x v="6"/>
    <x v="138"/>
    <x v="3"/>
    <x v="143"/>
    <x v="142"/>
    <x v="2"/>
    <x v="0"/>
    <x v="2"/>
    <x v="3"/>
    <x v="26"/>
    <x v="4"/>
    <x v="1"/>
    <x v="13"/>
    <x v="3"/>
    <x v="149"/>
    <x v="149"/>
    <x v="149"/>
    <x v="149"/>
    <x v="149"/>
    <x v="2"/>
    <x v="106"/>
    <x v="0"/>
    <x v="98"/>
    <x v="7"/>
    <x v="7"/>
    <x v="149"/>
    <x v="149"/>
    <x v="149"/>
    <x v="149"/>
    <x v="149"/>
    <x v="149"/>
  </r>
  <r>
    <x v="150"/>
    <x v="139"/>
    <x v="7"/>
    <x v="139"/>
    <x v="2"/>
    <x v="144"/>
    <x v="143"/>
    <x v="17"/>
    <x v="0"/>
    <x v="2"/>
    <x v="3"/>
    <x v="19"/>
    <x v="5"/>
    <x v="3"/>
    <x v="11"/>
    <x v="1"/>
    <x v="150"/>
    <x v="150"/>
    <x v="150"/>
    <x v="150"/>
    <x v="150"/>
    <x v="0"/>
    <x v="2"/>
    <x v="0"/>
    <x v="2"/>
    <x v="13"/>
    <x v="13"/>
    <x v="150"/>
    <x v="150"/>
    <x v="150"/>
    <x v="150"/>
    <x v="150"/>
    <x v="150"/>
  </r>
  <r>
    <x v="151"/>
    <x v="140"/>
    <x v="8"/>
    <x v="140"/>
    <x v="3"/>
    <x v="145"/>
    <x v="144"/>
    <x v="8"/>
    <x v="0"/>
    <x v="0"/>
    <x v="11"/>
    <x v="20"/>
    <x v="4"/>
    <x v="3"/>
    <x v="9"/>
    <x v="4"/>
    <x v="151"/>
    <x v="151"/>
    <x v="151"/>
    <x v="151"/>
    <x v="151"/>
    <x v="1"/>
    <x v="107"/>
    <x v="0"/>
    <x v="99"/>
    <x v="7"/>
    <x v="7"/>
    <x v="151"/>
    <x v="151"/>
    <x v="151"/>
    <x v="151"/>
    <x v="151"/>
    <x v="151"/>
  </r>
  <r>
    <x v="152"/>
    <x v="141"/>
    <x v="3"/>
    <x v="141"/>
    <x v="1"/>
    <x v="110"/>
    <x v="145"/>
    <x v="1"/>
    <x v="1"/>
    <x v="1"/>
    <x v="2"/>
    <x v="27"/>
    <x v="2"/>
    <x v="2"/>
    <x v="10"/>
    <x v="1"/>
    <x v="152"/>
    <x v="152"/>
    <x v="152"/>
    <x v="152"/>
    <x v="152"/>
    <x v="0"/>
    <x v="50"/>
    <x v="0"/>
    <x v="47"/>
    <x v="8"/>
    <x v="8"/>
    <x v="152"/>
    <x v="152"/>
    <x v="152"/>
    <x v="152"/>
    <x v="152"/>
    <x v="152"/>
  </r>
  <r>
    <x v="153"/>
    <x v="142"/>
    <x v="2"/>
    <x v="142"/>
    <x v="0"/>
    <x v="146"/>
    <x v="146"/>
    <x v="14"/>
    <x v="0"/>
    <x v="0"/>
    <x v="0"/>
    <x v="0"/>
    <x v="1"/>
    <x v="4"/>
    <x v="11"/>
    <x v="1"/>
    <x v="153"/>
    <x v="153"/>
    <x v="153"/>
    <x v="153"/>
    <x v="153"/>
    <x v="2"/>
    <x v="29"/>
    <x v="0"/>
    <x v="29"/>
    <x v="13"/>
    <x v="13"/>
    <x v="153"/>
    <x v="153"/>
    <x v="153"/>
    <x v="153"/>
    <x v="153"/>
    <x v="153"/>
  </r>
  <r>
    <x v="154"/>
    <x v="143"/>
    <x v="1"/>
    <x v="143"/>
    <x v="1"/>
    <x v="147"/>
    <x v="147"/>
    <x v="24"/>
    <x v="1"/>
    <x v="0"/>
    <x v="0"/>
    <x v="0"/>
    <x v="1"/>
    <x v="0"/>
    <x v="7"/>
    <x v="6"/>
    <x v="154"/>
    <x v="154"/>
    <x v="154"/>
    <x v="154"/>
    <x v="154"/>
    <x v="1"/>
    <x v="50"/>
    <x v="0"/>
    <x v="47"/>
    <x v="11"/>
    <x v="11"/>
    <x v="154"/>
    <x v="154"/>
    <x v="154"/>
    <x v="154"/>
    <x v="154"/>
    <x v="154"/>
  </r>
  <r>
    <x v="155"/>
    <x v="144"/>
    <x v="11"/>
    <x v="144"/>
    <x v="3"/>
    <x v="148"/>
    <x v="148"/>
    <x v="23"/>
    <x v="0"/>
    <x v="1"/>
    <x v="2"/>
    <x v="4"/>
    <x v="3"/>
    <x v="1"/>
    <x v="11"/>
    <x v="2"/>
    <x v="155"/>
    <x v="155"/>
    <x v="155"/>
    <x v="155"/>
    <x v="155"/>
    <x v="0"/>
    <x v="95"/>
    <x v="0"/>
    <x v="89"/>
    <x v="14"/>
    <x v="14"/>
    <x v="155"/>
    <x v="155"/>
    <x v="155"/>
    <x v="155"/>
    <x v="155"/>
    <x v="155"/>
  </r>
  <r>
    <x v="156"/>
    <x v="145"/>
    <x v="2"/>
    <x v="145"/>
    <x v="0"/>
    <x v="149"/>
    <x v="149"/>
    <x v="8"/>
    <x v="0"/>
    <x v="3"/>
    <x v="7"/>
    <x v="28"/>
    <x v="4"/>
    <x v="2"/>
    <x v="8"/>
    <x v="2"/>
    <x v="156"/>
    <x v="156"/>
    <x v="143"/>
    <x v="143"/>
    <x v="143"/>
    <x v="1"/>
    <x v="108"/>
    <x v="0"/>
    <x v="100"/>
    <x v="27"/>
    <x v="27"/>
    <x v="156"/>
    <x v="156"/>
    <x v="156"/>
    <x v="156"/>
    <x v="156"/>
    <x v="156"/>
  </r>
  <r>
    <x v="157"/>
    <x v="38"/>
    <x v="11"/>
    <x v="38"/>
    <x v="3"/>
    <x v="150"/>
    <x v="150"/>
    <x v="21"/>
    <x v="0"/>
    <x v="1"/>
    <x v="4"/>
    <x v="18"/>
    <x v="3"/>
    <x v="4"/>
    <x v="5"/>
    <x v="0"/>
    <x v="157"/>
    <x v="157"/>
    <x v="156"/>
    <x v="156"/>
    <x v="156"/>
    <x v="2"/>
    <x v="109"/>
    <x v="0"/>
    <x v="101"/>
    <x v="4"/>
    <x v="4"/>
    <x v="157"/>
    <x v="157"/>
    <x v="157"/>
    <x v="157"/>
    <x v="157"/>
    <x v="157"/>
  </r>
  <r>
    <x v="158"/>
    <x v="146"/>
    <x v="2"/>
    <x v="146"/>
    <x v="0"/>
    <x v="97"/>
    <x v="96"/>
    <x v="18"/>
    <x v="1"/>
    <x v="3"/>
    <x v="6"/>
    <x v="37"/>
    <x v="4"/>
    <x v="2"/>
    <x v="4"/>
    <x v="6"/>
    <x v="158"/>
    <x v="158"/>
    <x v="157"/>
    <x v="157"/>
    <x v="157"/>
    <x v="2"/>
    <x v="110"/>
    <x v="0"/>
    <x v="102"/>
    <x v="8"/>
    <x v="8"/>
    <x v="158"/>
    <x v="158"/>
    <x v="158"/>
    <x v="158"/>
    <x v="158"/>
    <x v="158"/>
  </r>
  <r>
    <x v="159"/>
    <x v="90"/>
    <x v="11"/>
    <x v="90"/>
    <x v="3"/>
    <x v="151"/>
    <x v="151"/>
    <x v="8"/>
    <x v="0"/>
    <x v="1"/>
    <x v="9"/>
    <x v="23"/>
    <x v="0"/>
    <x v="4"/>
    <x v="2"/>
    <x v="3"/>
    <x v="159"/>
    <x v="159"/>
    <x v="158"/>
    <x v="158"/>
    <x v="158"/>
    <x v="2"/>
    <x v="111"/>
    <x v="0"/>
    <x v="103"/>
    <x v="16"/>
    <x v="16"/>
    <x v="159"/>
    <x v="159"/>
    <x v="159"/>
    <x v="159"/>
    <x v="159"/>
    <x v="159"/>
  </r>
  <r>
    <x v="160"/>
    <x v="147"/>
    <x v="2"/>
    <x v="147"/>
    <x v="0"/>
    <x v="152"/>
    <x v="152"/>
    <x v="7"/>
    <x v="0"/>
    <x v="1"/>
    <x v="4"/>
    <x v="18"/>
    <x v="3"/>
    <x v="3"/>
    <x v="12"/>
    <x v="5"/>
    <x v="160"/>
    <x v="160"/>
    <x v="159"/>
    <x v="159"/>
    <x v="159"/>
    <x v="0"/>
    <x v="87"/>
    <x v="0"/>
    <x v="81"/>
    <x v="35"/>
    <x v="35"/>
    <x v="160"/>
    <x v="160"/>
    <x v="160"/>
    <x v="160"/>
    <x v="160"/>
    <x v="160"/>
  </r>
  <r>
    <x v="161"/>
    <x v="148"/>
    <x v="1"/>
    <x v="148"/>
    <x v="1"/>
    <x v="153"/>
    <x v="153"/>
    <x v="2"/>
    <x v="0"/>
    <x v="1"/>
    <x v="9"/>
    <x v="14"/>
    <x v="4"/>
    <x v="1"/>
    <x v="6"/>
    <x v="0"/>
    <x v="161"/>
    <x v="161"/>
    <x v="160"/>
    <x v="160"/>
    <x v="160"/>
    <x v="1"/>
    <x v="3"/>
    <x v="0"/>
    <x v="3"/>
    <x v="27"/>
    <x v="27"/>
    <x v="161"/>
    <x v="161"/>
    <x v="161"/>
    <x v="161"/>
    <x v="161"/>
    <x v="161"/>
  </r>
  <r>
    <x v="162"/>
    <x v="149"/>
    <x v="7"/>
    <x v="149"/>
    <x v="2"/>
    <x v="154"/>
    <x v="154"/>
    <x v="3"/>
    <x v="1"/>
    <x v="2"/>
    <x v="5"/>
    <x v="10"/>
    <x v="2"/>
    <x v="4"/>
    <x v="13"/>
    <x v="3"/>
    <x v="162"/>
    <x v="162"/>
    <x v="161"/>
    <x v="161"/>
    <x v="161"/>
    <x v="1"/>
    <x v="112"/>
    <x v="0"/>
    <x v="104"/>
    <x v="5"/>
    <x v="5"/>
    <x v="162"/>
    <x v="162"/>
    <x v="162"/>
    <x v="162"/>
    <x v="162"/>
    <x v="162"/>
  </r>
  <r>
    <x v="163"/>
    <x v="150"/>
    <x v="0"/>
    <x v="150"/>
    <x v="0"/>
    <x v="155"/>
    <x v="155"/>
    <x v="25"/>
    <x v="1"/>
    <x v="1"/>
    <x v="2"/>
    <x v="4"/>
    <x v="4"/>
    <x v="3"/>
    <x v="2"/>
    <x v="5"/>
    <x v="163"/>
    <x v="163"/>
    <x v="162"/>
    <x v="162"/>
    <x v="162"/>
    <x v="0"/>
    <x v="78"/>
    <x v="0"/>
    <x v="73"/>
    <x v="36"/>
    <x v="36"/>
    <x v="163"/>
    <x v="163"/>
    <x v="163"/>
    <x v="163"/>
    <x v="163"/>
    <x v="163"/>
  </r>
  <r>
    <x v="164"/>
    <x v="151"/>
    <x v="9"/>
    <x v="151"/>
    <x v="2"/>
    <x v="156"/>
    <x v="156"/>
    <x v="7"/>
    <x v="0"/>
    <x v="1"/>
    <x v="9"/>
    <x v="23"/>
    <x v="0"/>
    <x v="0"/>
    <x v="1"/>
    <x v="1"/>
    <x v="164"/>
    <x v="164"/>
    <x v="163"/>
    <x v="163"/>
    <x v="163"/>
    <x v="1"/>
    <x v="113"/>
    <x v="0"/>
    <x v="105"/>
    <x v="15"/>
    <x v="15"/>
    <x v="164"/>
    <x v="164"/>
    <x v="164"/>
    <x v="164"/>
    <x v="164"/>
    <x v="164"/>
  </r>
  <r>
    <x v="165"/>
    <x v="152"/>
    <x v="2"/>
    <x v="152"/>
    <x v="0"/>
    <x v="157"/>
    <x v="157"/>
    <x v="28"/>
    <x v="0"/>
    <x v="3"/>
    <x v="6"/>
    <x v="9"/>
    <x v="4"/>
    <x v="4"/>
    <x v="4"/>
    <x v="5"/>
    <x v="165"/>
    <x v="165"/>
    <x v="164"/>
    <x v="164"/>
    <x v="164"/>
    <x v="2"/>
    <x v="114"/>
    <x v="0"/>
    <x v="106"/>
    <x v="34"/>
    <x v="34"/>
    <x v="165"/>
    <x v="165"/>
    <x v="165"/>
    <x v="165"/>
    <x v="165"/>
    <x v="165"/>
  </r>
  <r>
    <x v="166"/>
    <x v="153"/>
    <x v="7"/>
    <x v="153"/>
    <x v="2"/>
    <x v="72"/>
    <x v="133"/>
    <x v="17"/>
    <x v="0"/>
    <x v="1"/>
    <x v="9"/>
    <x v="14"/>
    <x v="2"/>
    <x v="0"/>
    <x v="10"/>
    <x v="4"/>
    <x v="166"/>
    <x v="166"/>
    <x v="165"/>
    <x v="165"/>
    <x v="165"/>
    <x v="0"/>
    <x v="115"/>
    <x v="0"/>
    <x v="107"/>
    <x v="37"/>
    <x v="37"/>
    <x v="166"/>
    <x v="166"/>
    <x v="166"/>
    <x v="166"/>
    <x v="166"/>
    <x v="166"/>
  </r>
  <r>
    <x v="167"/>
    <x v="154"/>
    <x v="5"/>
    <x v="154"/>
    <x v="2"/>
    <x v="158"/>
    <x v="158"/>
    <x v="21"/>
    <x v="0"/>
    <x v="3"/>
    <x v="7"/>
    <x v="11"/>
    <x v="4"/>
    <x v="1"/>
    <x v="13"/>
    <x v="5"/>
    <x v="167"/>
    <x v="167"/>
    <x v="166"/>
    <x v="166"/>
    <x v="166"/>
    <x v="2"/>
    <x v="116"/>
    <x v="1"/>
    <x v="33"/>
    <x v="0"/>
    <x v="0"/>
    <x v="167"/>
    <x v="167"/>
    <x v="167"/>
    <x v="167"/>
    <x v="167"/>
    <x v="167"/>
  </r>
  <r>
    <x v="168"/>
    <x v="155"/>
    <x v="1"/>
    <x v="155"/>
    <x v="1"/>
    <x v="159"/>
    <x v="159"/>
    <x v="12"/>
    <x v="0"/>
    <x v="1"/>
    <x v="4"/>
    <x v="34"/>
    <x v="3"/>
    <x v="0"/>
    <x v="3"/>
    <x v="5"/>
    <x v="168"/>
    <x v="168"/>
    <x v="167"/>
    <x v="167"/>
    <x v="167"/>
    <x v="1"/>
    <x v="57"/>
    <x v="0"/>
    <x v="54"/>
    <x v="8"/>
    <x v="8"/>
    <x v="168"/>
    <x v="168"/>
    <x v="168"/>
    <x v="168"/>
    <x v="168"/>
    <x v="168"/>
  </r>
  <r>
    <x v="169"/>
    <x v="156"/>
    <x v="1"/>
    <x v="156"/>
    <x v="1"/>
    <x v="46"/>
    <x v="46"/>
    <x v="17"/>
    <x v="0"/>
    <x v="3"/>
    <x v="8"/>
    <x v="31"/>
    <x v="4"/>
    <x v="3"/>
    <x v="1"/>
    <x v="0"/>
    <x v="169"/>
    <x v="169"/>
    <x v="168"/>
    <x v="168"/>
    <x v="168"/>
    <x v="0"/>
    <x v="23"/>
    <x v="0"/>
    <x v="23"/>
    <x v="27"/>
    <x v="27"/>
    <x v="169"/>
    <x v="169"/>
    <x v="169"/>
    <x v="169"/>
    <x v="169"/>
    <x v="169"/>
  </r>
  <r>
    <x v="170"/>
    <x v="157"/>
    <x v="8"/>
    <x v="157"/>
    <x v="3"/>
    <x v="160"/>
    <x v="160"/>
    <x v="18"/>
    <x v="1"/>
    <x v="1"/>
    <x v="2"/>
    <x v="27"/>
    <x v="4"/>
    <x v="2"/>
    <x v="3"/>
    <x v="6"/>
    <x v="170"/>
    <x v="170"/>
    <x v="169"/>
    <x v="169"/>
    <x v="169"/>
    <x v="1"/>
    <x v="116"/>
    <x v="1"/>
    <x v="33"/>
    <x v="13"/>
    <x v="13"/>
    <x v="170"/>
    <x v="170"/>
    <x v="170"/>
    <x v="170"/>
    <x v="170"/>
    <x v="170"/>
  </r>
  <r>
    <x v="171"/>
    <x v="158"/>
    <x v="6"/>
    <x v="158"/>
    <x v="3"/>
    <x v="161"/>
    <x v="161"/>
    <x v="6"/>
    <x v="0"/>
    <x v="1"/>
    <x v="2"/>
    <x v="27"/>
    <x v="1"/>
    <x v="1"/>
    <x v="14"/>
    <x v="0"/>
    <x v="171"/>
    <x v="171"/>
    <x v="170"/>
    <x v="170"/>
    <x v="170"/>
    <x v="2"/>
    <x v="61"/>
    <x v="0"/>
    <x v="57"/>
    <x v="27"/>
    <x v="27"/>
    <x v="171"/>
    <x v="171"/>
    <x v="171"/>
    <x v="171"/>
    <x v="171"/>
    <x v="171"/>
  </r>
  <r>
    <x v="172"/>
    <x v="159"/>
    <x v="2"/>
    <x v="159"/>
    <x v="0"/>
    <x v="162"/>
    <x v="162"/>
    <x v="19"/>
    <x v="0"/>
    <x v="2"/>
    <x v="10"/>
    <x v="39"/>
    <x v="5"/>
    <x v="1"/>
    <x v="12"/>
    <x v="0"/>
    <x v="172"/>
    <x v="172"/>
    <x v="171"/>
    <x v="171"/>
    <x v="171"/>
    <x v="0"/>
    <x v="58"/>
    <x v="0"/>
    <x v="55"/>
    <x v="11"/>
    <x v="11"/>
    <x v="172"/>
    <x v="172"/>
    <x v="172"/>
    <x v="172"/>
    <x v="172"/>
    <x v="172"/>
  </r>
  <r>
    <x v="173"/>
    <x v="9"/>
    <x v="5"/>
    <x v="9"/>
    <x v="2"/>
    <x v="19"/>
    <x v="19"/>
    <x v="1"/>
    <x v="1"/>
    <x v="0"/>
    <x v="11"/>
    <x v="20"/>
    <x v="2"/>
    <x v="3"/>
    <x v="7"/>
    <x v="4"/>
    <x v="173"/>
    <x v="173"/>
    <x v="172"/>
    <x v="172"/>
    <x v="172"/>
    <x v="2"/>
    <x v="117"/>
    <x v="0"/>
    <x v="108"/>
    <x v="4"/>
    <x v="4"/>
    <x v="173"/>
    <x v="173"/>
    <x v="173"/>
    <x v="173"/>
    <x v="173"/>
    <x v="173"/>
  </r>
  <r>
    <x v="174"/>
    <x v="154"/>
    <x v="5"/>
    <x v="154"/>
    <x v="2"/>
    <x v="163"/>
    <x v="163"/>
    <x v="22"/>
    <x v="0"/>
    <x v="0"/>
    <x v="11"/>
    <x v="20"/>
    <x v="4"/>
    <x v="3"/>
    <x v="9"/>
    <x v="1"/>
    <x v="174"/>
    <x v="174"/>
    <x v="173"/>
    <x v="173"/>
    <x v="173"/>
    <x v="0"/>
    <x v="118"/>
    <x v="0"/>
    <x v="109"/>
    <x v="15"/>
    <x v="15"/>
    <x v="174"/>
    <x v="174"/>
    <x v="174"/>
    <x v="174"/>
    <x v="174"/>
    <x v="174"/>
  </r>
  <r>
    <x v="175"/>
    <x v="160"/>
    <x v="7"/>
    <x v="160"/>
    <x v="2"/>
    <x v="164"/>
    <x v="164"/>
    <x v="8"/>
    <x v="0"/>
    <x v="3"/>
    <x v="8"/>
    <x v="12"/>
    <x v="5"/>
    <x v="2"/>
    <x v="11"/>
    <x v="5"/>
    <x v="175"/>
    <x v="175"/>
    <x v="174"/>
    <x v="174"/>
    <x v="174"/>
    <x v="2"/>
    <x v="48"/>
    <x v="1"/>
    <x v="33"/>
    <x v="23"/>
    <x v="23"/>
    <x v="175"/>
    <x v="175"/>
    <x v="175"/>
    <x v="175"/>
    <x v="175"/>
    <x v="175"/>
  </r>
  <r>
    <x v="176"/>
    <x v="161"/>
    <x v="11"/>
    <x v="161"/>
    <x v="3"/>
    <x v="165"/>
    <x v="165"/>
    <x v="14"/>
    <x v="0"/>
    <x v="3"/>
    <x v="8"/>
    <x v="21"/>
    <x v="3"/>
    <x v="2"/>
    <x v="13"/>
    <x v="1"/>
    <x v="176"/>
    <x v="176"/>
    <x v="175"/>
    <x v="175"/>
    <x v="175"/>
    <x v="2"/>
    <x v="119"/>
    <x v="0"/>
    <x v="110"/>
    <x v="0"/>
    <x v="0"/>
    <x v="176"/>
    <x v="176"/>
    <x v="176"/>
    <x v="176"/>
    <x v="176"/>
    <x v="176"/>
  </r>
  <r>
    <x v="177"/>
    <x v="162"/>
    <x v="2"/>
    <x v="162"/>
    <x v="0"/>
    <x v="149"/>
    <x v="149"/>
    <x v="5"/>
    <x v="0"/>
    <x v="3"/>
    <x v="6"/>
    <x v="37"/>
    <x v="0"/>
    <x v="0"/>
    <x v="10"/>
    <x v="0"/>
    <x v="177"/>
    <x v="177"/>
    <x v="176"/>
    <x v="176"/>
    <x v="176"/>
    <x v="0"/>
    <x v="120"/>
    <x v="0"/>
    <x v="111"/>
    <x v="20"/>
    <x v="20"/>
    <x v="177"/>
    <x v="177"/>
    <x v="177"/>
    <x v="177"/>
    <x v="177"/>
    <x v="177"/>
  </r>
  <r>
    <x v="178"/>
    <x v="163"/>
    <x v="7"/>
    <x v="163"/>
    <x v="2"/>
    <x v="166"/>
    <x v="166"/>
    <x v="22"/>
    <x v="0"/>
    <x v="2"/>
    <x v="3"/>
    <x v="26"/>
    <x v="2"/>
    <x v="1"/>
    <x v="7"/>
    <x v="5"/>
    <x v="178"/>
    <x v="178"/>
    <x v="177"/>
    <x v="177"/>
    <x v="177"/>
    <x v="0"/>
    <x v="121"/>
    <x v="0"/>
    <x v="112"/>
    <x v="4"/>
    <x v="4"/>
    <x v="178"/>
    <x v="178"/>
    <x v="178"/>
    <x v="178"/>
    <x v="178"/>
    <x v="178"/>
  </r>
  <r>
    <x v="179"/>
    <x v="164"/>
    <x v="11"/>
    <x v="164"/>
    <x v="3"/>
    <x v="59"/>
    <x v="59"/>
    <x v="21"/>
    <x v="0"/>
    <x v="1"/>
    <x v="9"/>
    <x v="14"/>
    <x v="1"/>
    <x v="0"/>
    <x v="5"/>
    <x v="1"/>
    <x v="179"/>
    <x v="179"/>
    <x v="178"/>
    <x v="178"/>
    <x v="178"/>
    <x v="0"/>
    <x v="122"/>
    <x v="0"/>
    <x v="113"/>
    <x v="20"/>
    <x v="20"/>
    <x v="179"/>
    <x v="179"/>
    <x v="179"/>
    <x v="179"/>
    <x v="179"/>
    <x v="179"/>
  </r>
  <r>
    <x v="180"/>
    <x v="165"/>
    <x v="6"/>
    <x v="165"/>
    <x v="3"/>
    <x v="167"/>
    <x v="167"/>
    <x v="4"/>
    <x v="1"/>
    <x v="2"/>
    <x v="5"/>
    <x v="30"/>
    <x v="2"/>
    <x v="4"/>
    <x v="4"/>
    <x v="6"/>
    <x v="180"/>
    <x v="180"/>
    <x v="179"/>
    <x v="179"/>
    <x v="179"/>
    <x v="0"/>
    <x v="123"/>
    <x v="1"/>
    <x v="114"/>
    <x v="6"/>
    <x v="6"/>
    <x v="180"/>
    <x v="180"/>
    <x v="180"/>
    <x v="180"/>
    <x v="180"/>
    <x v="180"/>
  </r>
  <r>
    <x v="181"/>
    <x v="166"/>
    <x v="1"/>
    <x v="166"/>
    <x v="1"/>
    <x v="168"/>
    <x v="168"/>
    <x v="11"/>
    <x v="0"/>
    <x v="1"/>
    <x v="9"/>
    <x v="38"/>
    <x v="5"/>
    <x v="4"/>
    <x v="5"/>
    <x v="3"/>
    <x v="181"/>
    <x v="181"/>
    <x v="180"/>
    <x v="180"/>
    <x v="180"/>
    <x v="2"/>
    <x v="96"/>
    <x v="0"/>
    <x v="90"/>
    <x v="10"/>
    <x v="10"/>
    <x v="181"/>
    <x v="181"/>
    <x v="181"/>
    <x v="181"/>
    <x v="181"/>
    <x v="181"/>
  </r>
  <r>
    <x v="182"/>
    <x v="167"/>
    <x v="2"/>
    <x v="167"/>
    <x v="0"/>
    <x v="169"/>
    <x v="169"/>
    <x v="17"/>
    <x v="0"/>
    <x v="1"/>
    <x v="2"/>
    <x v="4"/>
    <x v="1"/>
    <x v="3"/>
    <x v="4"/>
    <x v="6"/>
    <x v="182"/>
    <x v="182"/>
    <x v="181"/>
    <x v="181"/>
    <x v="181"/>
    <x v="2"/>
    <x v="124"/>
    <x v="0"/>
    <x v="115"/>
    <x v="27"/>
    <x v="27"/>
    <x v="182"/>
    <x v="182"/>
    <x v="182"/>
    <x v="182"/>
    <x v="182"/>
    <x v="182"/>
  </r>
  <r>
    <x v="183"/>
    <x v="66"/>
    <x v="11"/>
    <x v="66"/>
    <x v="3"/>
    <x v="170"/>
    <x v="170"/>
    <x v="3"/>
    <x v="1"/>
    <x v="0"/>
    <x v="1"/>
    <x v="7"/>
    <x v="4"/>
    <x v="1"/>
    <x v="1"/>
    <x v="5"/>
    <x v="183"/>
    <x v="183"/>
    <x v="182"/>
    <x v="182"/>
    <x v="182"/>
    <x v="1"/>
    <x v="27"/>
    <x v="0"/>
    <x v="27"/>
    <x v="5"/>
    <x v="5"/>
    <x v="183"/>
    <x v="183"/>
    <x v="183"/>
    <x v="183"/>
    <x v="183"/>
    <x v="183"/>
  </r>
  <r>
    <x v="184"/>
    <x v="168"/>
    <x v="1"/>
    <x v="168"/>
    <x v="1"/>
    <x v="171"/>
    <x v="171"/>
    <x v="1"/>
    <x v="1"/>
    <x v="0"/>
    <x v="1"/>
    <x v="1"/>
    <x v="5"/>
    <x v="3"/>
    <x v="12"/>
    <x v="5"/>
    <x v="184"/>
    <x v="184"/>
    <x v="183"/>
    <x v="183"/>
    <x v="183"/>
    <x v="1"/>
    <x v="125"/>
    <x v="0"/>
    <x v="116"/>
    <x v="9"/>
    <x v="9"/>
    <x v="184"/>
    <x v="184"/>
    <x v="184"/>
    <x v="184"/>
    <x v="184"/>
    <x v="184"/>
  </r>
  <r>
    <x v="185"/>
    <x v="169"/>
    <x v="9"/>
    <x v="169"/>
    <x v="2"/>
    <x v="172"/>
    <x v="172"/>
    <x v="10"/>
    <x v="0"/>
    <x v="3"/>
    <x v="7"/>
    <x v="17"/>
    <x v="0"/>
    <x v="0"/>
    <x v="1"/>
    <x v="6"/>
    <x v="185"/>
    <x v="185"/>
    <x v="184"/>
    <x v="184"/>
    <x v="184"/>
    <x v="1"/>
    <x v="109"/>
    <x v="0"/>
    <x v="101"/>
    <x v="2"/>
    <x v="2"/>
    <x v="185"/>
    <x v="185"/>
    <x v="185"/>
    <x v="185"/>
    <x v="185"/>
    <x v="185"/>
  </r>
  <r>
    <x v="186"/>
    <x v="170"/>
    <x v="4"/>
    <x v="170"/>
    <x v="0"/>
    <x v="173"/>
    <x v="173"/>
    <x v="0"/>
    <x v="0"/>
    <x v="3"/>
    <x v="7"/>
    <x v="28"/>
    <x v="2"/>
    <x v="5"/>
    <x v="6"/>
    <x v="5"/>
    <x v="186"/>
    <x v="186"/>
    <x v="185"/>
    <x v="185"/>
    <x v="185"/>
    <x v="1"/>
    <x v="126"/>
    <x v="1"/>
    <x v="117"/>
    <x v="8"/>
    <x v="8"/>
    <x v="186"/>
    <x v="186"/>
    <x v="186"/>
    <x v="186"/>
    <x v="186"/>
    <x v="186"/>
  </r>
  <r>
    <x v="129"/>
    <x v="171"/>
    <x v="4"/>
    <x v="171"/>
    <x v="0"/>
    <x v="174"/>
    <x v="174"/>
    <x v="17"/>
    <x v="0"/>
    <x v="1"/>
    <x v="4"/>
    <x v="6"/>
    <x v="2"/>
    <x v="0"/>
    <x v="5"/>
    <x v="6"/>
    <x v="187"/>
    <x v="187"/>
    <x v="186"/>
    <x v="186"/>
    <x v="186"/>
    <x v="1"/>
    <x v="127"/>
    <x v="1"/>
    <x v="118"/>
    <x v="30"/>
    <x v="30"/>
    <x v="187"/>
    <x v="187"/>
    <x v="187"/>
    <x v="187"/>
    <x v="187"/>
    <x v="187"/>
  </r>
  <r>
    <x v="187"/>
    <x v="172"/>
    <x v="8"/>
    <x v="172"/>
    <x v="3"/>
    <x v="175"/>
    <x v="175"/>
    <x v="7"/>
    <x v="0"/>
    <x v="2"/>
    <x v="5"/>
    <x v="30"/>
    <x v="0"/>
    <x v="0"/>
    <x v="0"/>
    <x v="5"/>
    <x v="188"/>
    <x v="188"/>
    <x v="187"/>
    <x v="187"/>
    <x v="187"/>
    <x v="2"/>
    <x v="85"/>
    <x v="0"/>
    <x v="79"/>
    <x v="16"/>
    <x v="16"/>
    <x v="188"/>
    <x v="188"/>
    <x v="188"/>
    <x v="188"/>
    <x v="188"/>
    <x v="188"/>
  </r>
  <r>
    <x v="188"/>
    <x v="173"/>
    <x v="5"/>
    <x v="173"/>
    <x v="2"/>
    <x v="105"/>
    <x v="104"/>
    <x v="8"/>
    <x v="0"/>
    <x v="2"/>
    <x v="5"/>
    <x v="10"/>
    <x v="4"/>
    <x v="0"/>
    <x v="6"/>
    <x v="5"/>
    <x v="189"/>
    <x v="189"/>
    <x v="188"/>
    <x v="188"/>
    <x v="188"/>
    <x v="1"/>
    <x v="84"/>
    <x v="0"/>
    <x v="78"/>
    <x v="5"/>
    <x v="5"/>
    <x v="189"/>
    <x v="189"/>
    <x v="189"/>
    <x v="189"/>
    <x v="189"/>
    <x v="189"/>
  </r>
  <r>
    <x v="189"/>
    <x v="162"/>
    <x v="2"/>
    <x v="162"/>
    <x v="0"/>
    <x v="176"/>
    <x v="176"/>
    <x v="12"/>
    <x v="0"/>
    <x v="1"/>
    <x v="9"/>
    <x v="14"/>
    <x v="4"/>
    <x v="1"/>
    <x v="10"/>
    <x v="4"/>
    <x v="190"/>
    <x v="190"/>
    <x v="189"/>
    <x v="189"/>
    <x v="189"/>
    <x v="1"/>
    <x v="66"/>
    <x v="1"/>
    <x v="61"/>
    <x v="14"/>
    <x v="14"/>
    <x v="190"/>
    <x v="190"/>
    <x v="190"/>
    <x v="190"/>
    <x v="190"/>
    <x v="190"/>
  </r>
  <r>
    <x v="190"/>
    <x v="174"/>
    <x v="11"/>
    <x v="174"/>
    <x v="3"/>
    <x v="177"/>
    <x v="177"/>
    <x v="16"/>
    <x v="0"/>
    <x v="3"/>
    <x v="8"/>
    <x v="12"/>
    <x v="2"/>
    <x v="4"/>
    <x v="13"/>
    <x v="5"/>
    <x v="191"/>
    <x v="191"/>
    <x v="190"/>
    <x v="190"/>
    <x v="190"/>
    <x v="1"/>
    <x v="12"/>
    <x v="0"/>
    <x v="12"/>
    <x v="11"/>
    <x v="11"/>
    <x v="191"/>
    <x v="191"/>
    <x v="191"/>
    <x v="191"/>
    <x v="191"/>
    <x v="191"/>
  </r>
  <r>
    <x v="191"/>
    <x v="175"/>
    <x v="11"/>
    <x v="175"/>
    <x v="3"/>
    <x v="178"/>
    <x v="178"/>
    <x v="21"/>
    <x v="0"/>
    <x v="2"/>
    <x v="10"/>
    <x v="36"/>
    <x v="3"/>
    <x v="3"/>
    <x v="2"/>
    <x v="4"/>
    <x v="192"/>
    <x v="192"/>
    <x v="191"/>
    <x v="191"/>
    <x v="191"/>
    <x v="1"/>
    <x v="128"/>
    <x v="1"/>
    <x v="119"/>
    <x v="38"/>
    <x v="38"/>
    <x v="192"/>
    <x v="192"/>
    <x v="192"/>
    <x v="192"/>
    <x v="192"/>
    <x v="192"/>
  </r>
  <r>
    <x v="192"/>
    <x v="176"/>
    <x v="1"/>
    <x v="176"/>
    <x v="1"/>
    <x v="179"/>
    <x v="179"/>
    <x v="10"/>
    <x v="0"/>
    <x v="1"/>
    <x v="9"/>
    <x v="14"/>
    <x v="2"/>
    <x v="3"/>
    <x v="1"/>
    <x v="1"/>
    <x v="193"/>
    <x v="193"/>
    <x v="192"/>
    <x v="192"/>
    <x v="192"/>
    <x v="0"/>
    <x v="3"/>
    <x v="0"/>
    <x v="3"/>
    <x v="8"/>
    <x v="8"/>
    <x v="193"/>
    <x v="193"/>
    <x v="193"/>
    <x v="193"/>
    <x v="193"/>
    <x v="193"/>
  </r>
  <r>
    <x v="193"/>
    <x v="177"/>
    <x v="5"/>
    <x v="177"/>
    <x v="2"/>
    <x v="180"/>
    <x v="180"/>
    <x v="21"/>
    <x v="0"/>
    <x v="2"/>
    <x v="10"/>
    <x v="24"/>
    <x v="5"/>
    <x v="1"/>
    <x v="1"/>
    <x v="2"/>
    <x v="194"/>
    <x v="194"/>
    <x v="193"/>
    <x v="193"/>
    <x v="193"/>
    <x v="0"/>
    <x v="12"/>
    <x v="0"/>
    <x v="12"/>
    <x v="2"/>
    <x v="2"/>
    <x v="194"/>
    <x v="194"/>
    <x v="194"/>
    <x v="194"/>
    <x v="194"/>
    <x v="194"/>
  </r>
  <r>
    <x v="194"/>
    <x v="178"/>
    <x v="6"/>
    <x v="178"/>
    <x v="3"/>
    <x v="181"/>
    <x v="181"/>
    <x v="26"/>
    <x v="0"/>
    <x v="2"/>
    <x v="5"/>
    <x v="8"/>
    <x v="2"/>
    <x v="1"/>
    <x v="11"/>
    <x v="5"/>
    <x v="195"/>
    <x v="195"/>
    <x v="194"/>
    <x v="194"/>
    <x v="194"/>
    <x v="2"/>
    <x v="129"/>
    <x v="0"/>
    <x v="120"/>
    <x v="14"/>
    <x v="14"/>
    <x v="195"/>
    <x v="195"/>
    <x v="195"/>
    <x v="195"/>
    <x v="195"/>
    <x v="195"/>
  </r>
  <r>
    <x v="195"/>
    <x v="1"/>
    <x v="1"/>
    <x v="1"/>
    <x v="1"/>
    <x v="40"/>
    <x v="41"/>
    <x v="21"/>
    <x v="0"/>
    <x v="1"/>
    <x v="2"/>
    <x v="4"/>
    <x v="2"/>
    <x v="4"/>
    <x v="5"/>
    <x v="3"/>
    <x v="196"/>
    <x v="196"/>
    <x v="195"/>
    <x v="195"/>
    <x v="195"/>
    <x v="1"/>
    <x v="57"/>
    <x v="0"/>
    <x v="54"/>
    <x v="17"/>
    <x v="17"/>
    <x v="196"/>
    <x v="196"/>
    <x v="196"/>
    <x v="196"/>
    <x v="196"/>
    <x v="196"/>
  </r>
  <r>
    <x v="196"/>
    <x v="179"/>
    <x v="2"/>
    <x v="179"/>
    <x v="0"/>
    <x v="182"/>
    <x v="182"/>
    <x v="28"/>
    <x v="0"/>
    <x v="0"/>
    <x v="0"/>
    <x v="0"/>
    <x v="5"/>
    <x v="1"/>
    <x v="5"/>
    <x v="3"/>
    <x v="197"/>
    <x v="197"/>
    <x v="196"/>
    <x v="196"/>
    <x v="196"/>
    <x v="0"/>
    <x v="130"/>
    <x v="0"/>
    <x v="121"/>
    <x v="16"/>
    <x v="16"/>
    <x v="197"/>
    <x v="197"/>
    <x v="197"/>
    <x v="197"/>
    <x v="197"/>
    <x v="197"/>
  </r>
  <r>
    <x v="197"/>
    <x v="180"/>
    <x v="4"/>
    <x v="180"/>
    <x v="0"/>
    <x v="183"/>
    <x v="183"/>
    <x v="21"/>
    <x v="0"/>
    <x v="3"/>
    <x v="6"/>
    <x v="22"/>
    <x v="4"/>
    <x v="2"/>
    <x v="3"/>
    <x v="2"/>
    <x v="198"/>
    <x v="198"/>
    <x v="197"/>
    <x v="197"/>
    <x v="197"/>
    <x v="1"/>
    <x v="63"/>
    <x v="0"/>
    <x v="58"/>
    <x v="5"/>
    <x v="5"/>
    <x v="198"/>
    <x v="198"/>
    <x v="198"/>
    <x v="198"/>
    <x v="198"/>
    <x v="198"/>
  </r>
  <r>
    <x v="198"/>
    <x v="27"/>
    <x v="7"/>
    <x v="27"/>
    <x v="2"/>
    <x v="184"/>
    <x v="184"/>
    <x v="10"/>
    <x v="0"/>
    <x v="3"/>
    <x v="6"/>
    <x v="37"/>
    <x v="3"/>
    <x v="4"/>
    <x v="1"/>
    <x v="1"/>
    <x v="199"/>
    <x v="199"/>
    <x v="198"/>
    <x v="198"/>
    <x v="198"/>
    <x v="2"/>
    <x v="131"/>
    <x v="0"/>
    <x v="122"/>
    <x v="30"/>
    <x v="30"/>
    <x v="199"/>
    <x v="199"/>
    <x v="199"/>
    <x v="199"/>
    <x v="199"/>
    <x v="199"/>
  </r>
  <r>
    <x v="199"/>
    <x v="181"/>
    <x v="4"/>
    <x v="181"/>
    <x v="0"/>
    <x v="185"/>
    <x v="185"/>
    <x v="30"/>
    <x v="1"/>
    <x v="2"/>
    <x v="10"/>
    <x v="15"/>
    <x v="0"/>
    <x v="4"/>
    <x v="10"/>
    <x v="3"/>
    <x v="200"/>
    <x v="200"/>
    <x v="199"/>
    <x v="199"/>
    <x v="199"/>
    <x v="1"/>
    <x v="92"/>
    <x v="0"/>
    <x v="86"/>
    <x v="7"/>
    <x v="7"/>
    <x v="200"/>
    <x v="200"/>
    <x v="200"/>
    <x v="200"/>
    <x v="200"/>
    <x v="200"/>
  </r>
  <r>
    <x v="200"/>
    <x v="182"/>
    <x v="4"/>
    <x v="182"/>
    <x v="0"/>
    <x v="186"/>
    <x v="186"/>
    <x v="13"/>
    <x v="0"/>
    <x v="2"/>
    <x v="10"/>
    <x v="15"/>
    <x v="1"/>
    <x v="3"/>
    <x v="8"/>
    <x v="1"/>
    <x v="201"/>
    <x v="201"/>
    <x v="200"/>
    <x v="200"/>
    <x v="200"/>
    <x v="0"/>
    <x v="132"/>
    <x v="1"/>
    <x v="33"/>
    <x v="11"/>
    <x v="11"/>
    <x v="201"/>
    <x v="201"/>
    <x v="201"/>
    <x v="201"/>
    <x v="201"/>
    <x v="201"/>
  </r>
  <r>
    <x v="201"/>
    <x v="183"/>
    <x v="11"/>
    <x v="183"/>
    <x v="3"/>
    <x v="66"/>
    <x v="66"/>
    <x v="20"/>
    <x v="0"/>
    <x v="2"/>
    <x v="10"/>
    <x v="39"/>
    <x v="5"/>
    <x v="1"/>
    <x v="11"/>
    <x v="3"/>
    <x v="202"/>
    <x v="202"/>
    <x v="201"/>
    <x v="201"/>
    <x v="201"/>
    <x v="1"/>
    <x v="5"/>
    <x v="0"/>
    <x v="5"/>
    <x v="29"/>
    <x v="29"/>
    <x v="202"/>
    <x v="202"/>
    <x v="202"/>
    <x v="202"/>
    <x v="202"/>
    <x v="202"/>
  </r>
  <r>
    <x v="202"/>
    <x v="184"/>
    <x v="4"/>
    <x v="184"/>
    <x v="0"/>
    <x v="187"/>
    <x v="187"/>
    <x v="16"/>
    <x v="0"/>
    <x v="0"/>
    <x v="0"/>
    <x v="0"/>
    <x v="0"/>
    <x v="0"/>
    <x v="12"/>
    <x v="2"/>
    <x v="203"/>
    <x v="203"/>
    <x v="202"/>
    <x v="202"/>
    <x v="202"/>
    <x v="1"/>
    <x v="28"/>
    <x v="1"/>
    <x v="28"/>
    <x v="39"/>
    <x v="39"/>
    <x v="203"/>
    <x v="203"/>
    <x v="203"/>
    <x v="203"/>
    <x v="203"/>
    <x v="203"/>
  </r>
  <r>
    <x v="203"/>
    <x v="185"/>
    <x v="2"/>
    <x v="185"/>
    <x v="0"/>
    <x v="188"/>
    <x v="188"/>
    <x v="28"/>
    <x v="0"/>
    <x v="3"/>
    <x v="8"/>
    <x v="12"/>
    <x v="0"/>
    <x v="2"/>
    <x v="14"/>
    <x v="5"/>
    <x v="204"/>
    <x v="204"/>
    <x v="203"/>
    <x v="203"/>
    <x v="203"/>
    <x v="2"/>
    <x v="133"/>
    <x v="0"/>
    <x v="123"/>
    <x v="2"/>
    <x v="2"/>
    <x v="204"/>
    <x v="204"/>
    <x v="204"/>
    <x v="204"/>
    <x v="204"/>
    <x v="204"/>
  </r>
  <r>
    <x v="204"/>
    <x v="43"/>
    <x v="7"/>
    <x v="43"/>
    <x v="2"/>
    <x v="189"/>
    <x v="189"/>
    <x v="26"/>
    <x v="0"/>
    <x v="3"/>
    <x v="6"/>
    <x v="9"/>
    <x v="1"/>
    <x v="1"/>
    <x v="6"/>
    <x v="5"/>
    <x v="205"/>
    <x v="205"/>
    <x v="204"/>
    <x v="204"/>
    <x v="204"/>
    <x v="2"/>
    <x v="134"/>
    <x v="0"/>
    <x v="124"/>
    <x v="21"/>
    <x v="21"/>
    <x v="205"/>
    <x v="205"/>
    <x v="205"/>
    <x v="205"/>
    <x v="205"/>
    <x v="205"/>
  </r>
  <r>
    <x v="205"/>
    <x v="186"/>
    <x v="8"/>
    <x v="186"/>
    <x v="3"/>
    <x v="47"/>
    <x v="47"/>
    <x v="17"/>
    <x v="0"/>
    <x v="3"/>
    <x v="8"/>
    <x v="12"/>
    <x v="4"/>
    <x v="0"/>
    <x v="5"/>
    <x v="0"/>
    <x v="206"/>
    <x v="206"/>
    <x v="205"/>
    <x v="205"/>
    <x v="205"/>
    <x v="0"/>
    <x v="16"/>
    <x v="0"/>
    <x v="16"/>
    <x v="18"/>
    <x v="18"/>
    <x v="206"/>
    <x v="206"/>
    <x v="206"/>
    <x v="206"/>
    <x v="206"/>
    <x v="206"/>
  </r>
  <r>
    <x v="206"/>
    <x v="51"/>
    <x v="4"/>
    <x v="51"/>
    <x v="0"/>
    <x v="190"/>
    <x v="190"/>
    <x v="9"/>
    <x v="0"/>
    <x v="0"/>
    <x v="0"/>
    <x v="2"/>
    <x v="4"/>
    <x v="0"/>
    <x v="1"/>
    <x v="6"/>
    <x v="207"/>
    <x v="207"/>
    <x v="206"/>
    <x v="206"/>
    <x v="206"/>
    <x v="2"/>
    <x v="135"/>
    <x v="0"/>
    <x v="125"/>
    <x v="20"/>
    <x v="20"/>
    <x v="207"/>
    <x v="207"/>
    <x v="207"/>
    <x v="207"/>
    <x v="207"/>
    <x v="207"/>
  </r>
  <r>
    <x v="207"/>
    <x v="187"/>
    <x v="6"/>
    <x v="187"/>
    <x v="3"/>
    <x v="191"/>
    <x v="191"/>
    <x v="29"/>
    <x v="0"/>
    <x v="0"/>
    <x v="0"/>
    <x v="0"/>
    <x v="3"/>
    <x v="0"/>
    <x v="4"/>
    <x v="1"/>
    <x v="208"/>
    <x v="208"/>
    <x v="207"/>
    <x v="207"/>
    <x v="207"/>
    <x v="2"/>
    <x v="91"/>
    <x v="1"/>
    <x v="85"/>
    <x v="21"/>
    <x v="21"/>
    <x v="208"/>
    <x v="208"/>
    <x v="208"/>
    <x v="208"/>
    <x v="208"/>
    <x v="208"/>
  </r>
  <r>
    <x v="208"/>
    <x v="188"/>
    <x v="8"/>
    <x v="188"/>
    <x v="3"/>
    <x v="192"/>
    <x v="192"/>
    <x v="13"/>
    <x v="0"/>
    <x v="0"/>
    <x v="1"/>
    <x v="3"/>
    <x v="5"/>
    <x v="4"/>
    <x v="12"/>
    <x v="6"/>
    <x v="209"/>
    <x v="209"/>
    <x v="208"/>
    <x v="208"/>
    <x v="208"/>
    <x v="2"/>
    <x v="29"/>
    <x v="0"/>
    <x v="29"/>
    <x v="11"/>
    <x v="11"/>
    <x v="209"/>
    <x v="209"/>
    <x v="209"/>
    <x v="209"/>
    <x v="209"/>
    <x v="209"/>
  </r>
  <r>
    <x v="209"/>
    <x v="189"/>
    <x v="1"/>
    <x v="189"/>
    <x v="1"/>
    <x v="193"/>
    <x v="193"/>
    <x v="28"/>
    <x v="0"/>
    <x v="0"/>
    <x v="11"/>
    <x v="25"/>
    <x v="0"/>
    <x v="2"/>
    <x v="8"/>
    <x v="0"/>
    <x v="210"/>
    <x v="210"/>
    <x v="209"/>
    <x v="209"/>
    <x v="209"/>
    <x v="2"/>
    <x v="136"/>
    <x v="0"/>
    <x v="126"/>
    <x v="0"/>
    <x v="0"/>
    <x v="210"/>
    <x v="210"/>
    <x v="210"/>
    <x v="210"/>
    <x v="210"/>
    <x v="210"/>
  </r>
  <r>
    <x v="210"/>
    <x v="190"/>
    <x v="8"/>
    <x v="190"/>
    <x v="3"/>
    <x v="194"/>
    <x v="194"/>
    <x v="28"/>
    <x v="0"/>
    <x v="2"/>
    <x v="3"/>
    <x v="19"/>
    <x v="3"/>
    <x v="1"/>
    <x v="10"/>
    <x v="5"/>
    <x v="211"/>
    <x v="211"/>
    <x v="210"/>
    <x v="210"/>
    <x v="210"/>
    <x v="0"/>
    <x v="4"/>
    <x v="0"/>
    <x v="4"/>
    <x v="4"/>
    <x v="4"/>
    <x v="211"/>
    <x v="211"/>
    <x v="211"/>
    <x v="211"/>
    <x v="211"/>
    <x v="211"/>
  </r>
  <r>
    <x v="211"/>
    <x v="191"/>
    <x v="6"/>
    <x v="191"/>
    <x v="3"/>
    <x v="181"/>
    <x v="181"/>
    <x v="21"/>
    <x v="0"/>
    <x v="1"/>
    <x v="9"/>
    <x v="14"/>
    <x v="3"/>
    <x v="4"/>
    <x v="4"/>
    <x v="1"/>
    <x v="212"/>
    <x v="212"/>
    <x v="211"/>
    <x v="211"/>
    <x v="211"/>
    <x v="1"/>
    <x v="137"/>
    <x v="0"/>
    <x v="127"/>
    <x v="8"/>
    <x v="8"/>
    <x v="212"/>
    <x v="212"/>
    <x v="212"/>
    <x v="212"/>
    <x v="212"/>
    <x v="212"/>
  </r>
  <r>
    <x v="212"/>
    <x v="192"/>
    <x v="4"/>
    <x v="192"/>
    <x v="0"/>
    <x v="195"/>
    <x v="195"/>
    <x v="11"/>
    <x v="0"/>
    <x v="0"/>
    <x v="0"/>
    <x v="0"/>
    <x v="1"/>
    <x v="0"/>
    <x v="5"/>
    <x v="3"/>
    <x v="213"/>
    <x v="213"/>
    <x v="212"/>
    <x v="212"/>
    <x v="212"/>
    <x v="2"/>
    <x v="5"/>
    <x v="0"/>
    <x v="5"/>
    <x v="0"/>
    <x v="0"/>
    <x v="213"/>
    <x v="213"/>
    <x v="213"/>
    <x v="213"/>
    <x v="213"/>
    <x v="213"/>
  </r>
  <r>
    <x v="213"/>
    <x v="193"/>
    <x v="10"/>
    <x v="193"/>
    <x v="1"/>
    <x v="196"/>
    <x v="196"/>
    <x v="5"/>
    <x v="0"/>
    <x v="2"/>
    <x v="5"/>
    <x v="10"/>
    <x v="1"/>
    <x v="2"/>
    <x v="4"/>
    <x v="6"/>
    <x v="214"/>
    <x v="214"/>
    <x v="213"/>
    <x v="213"/>
    <x v="213"/>
    <x v="0"/>
    <x v="87"/>
    <x v="0"/>
    <x v="81"/>
    <x v="2"/>
    <x v="2"/>
    <x v="214"/>
    <x v="214"/>
    <x v="214"/>
    <x v="214"/>
    <x v="214"/>
    <x v="214"/>
  </r>
  <r>
    <x v="214"/>
    <x v="194"/>
    <x v="2"/>
    <x v="194"/>
    <x v="0"/>
    <x v="197"/>
    <x v="197"/>
    <x v="17"/>
    <x v="0"/>
    <x v="1"/>
    <x v="2"/>
    <x v="32"/>
    <x v="4"/>
    <x v="4"/>
    <x v="2"/>
    <x v="2"/>
    <x v="215"/>
    <x v="215"/>
    <x v="214"/>
    <x v="214"/>
    <x v="214"/>
    <x v="0"/>
    <x v="138"/>
    <x v="1"/>
    <x v="128"/>
    <x v="40"/>
    <x v="40"/>
    <x v="215"/>
    <x v="215"/>
    <x v="215"/>
    <x v="215"/>
    <x v="215"/>
    <x v="215"/>
  </r>
  <r>
    <x v="215"/>
    <x v="195"/>
    <x v="3"/>
    <x v="195"/>
    <x v="1"/>
    <x v="198"/>
    <x v="198"/>
    <x v="2"/>
    <x v="0"/>
    <x v="1"/>
    <x v="4"/>
    <x v="29"/>
    <x v="2"/>
    <x v="2"/>
    <x v="4"/>
    <x v="5"/>
    <x v="216"/>
    <x v="216"/>
    <x v="215"/>
    <x v="215"/>
    <x v="215"/>
    <x v="1"/>
    <x v="139"/>
    <x v="0"/>
    <x v="129"/>
    <x v="5"/>
    <x v="5"/>
    <x v="216"/>
    <x v="216"/>
    <x v="216"/>
    <x v="216"/>
    <x v="216"/>
    <x v="216"/>
  </r>
  <r>
    <x v="216"/>
    <x v="119"/>
    <x v="4"/>
    <x v="119"/>
    <x v="0"/>
    <x v="199"/>
    <x v="199"/>
    <x v="1"/>
    <x v="1"/>
    <x v="3"/>
    <x v="6"/>
    <x v="22"/>
    <x v="0"/>
    <x v="4"/>
    <x v="9"/>
    <x v="5"/>
    <x v="217"/>
    <x v="217"/>
    <x v="216"/>
    <x v="216"/>
    <x v="216"/>
    <x v="0"/>
    <x v="124"/>
    <x v="0"/>
    <x v="115"/>
    <x v="15"/>
    <x v="15"/>
    <x v="217"/>
    <x v="217"/>
    <x v="217"/>
    <x v="217"/>
    <x v="217"/>
    <x v="217"/>
  </r>
  <r>
    <x v="217"/>
    <x v="196"/>
    <x v="1"/>
    <x v="196"/>
    <x v="1"/>
    <x v="200"/>
    <x v="200"/>
    <x v="10"/>
    <x v="0"/>
    <x v="1"/>
    <x v="9"/>
    <x v="23"/>
    <x v="2"/>
    <x v="1"/>
    <x v="9"/>
    <x v="1"/>
    <x v="218"/>
    <x v="218"/>
    <x v="217"/>
    <x v="217"/>
    <x v="217"/>
    <x v="0"/>
    <x v="140"/>
    <x v="0"/>
    <x v="130"/>
    <x v="20"/>
    <x v="20"/>
    <x v="218"/>
    <x v="218"/>
    <x v="218"/>
    <x v="218"/>
    <x v="218"/>
    <x v="218"/>
  </r>
  <r>
    <x v="218"/>
    <x v="197"/>
    <x v="6"/>
    <x v="197"/>
    <x v="3"/>
    <x v="201"/>
    <x v="201"/>
    <x v="2"/>
    <x v="0"/>
    <x v="2"/>
    <x v="5"/>
    <x v="30"/>
    <x v="4"/>
    <x v="0"/>
    <x v="11"/>
    <x v="1"/>
    <x v="219"/>
    <x v="219"/>
    <x v="218"/>
    <x v="218"/>
    <x v="218"/>
    <x v="1"/>
    <x v="141"/>
    <x v="1"/>
    <x v="33"/>
    <x v="39"/>
    <x v="39"/>
    <x v="219"/>
    <x v="219"/>
    <x v="219"/>
    <x v="219"/>
    <x v="219"/>
    <x v="219"/>
  </r>
  <r>
    <x v="219"/>
    <x v="198"/>
    <x v="11"/>
    <x v="198"/>
    <x v="3"/>
    <x v="202"/>
    <x v="202"/>
    <x v="17"/>
    <x v="0"/>
    <x v="0"/>
    <x v="0"/>
    <x v="2"/>
    <x v="3"/>
    <x v="4"/>
    <x v="5"/>
    <x v="0"/>
    <x v="220"/>
    <x v="220"/>
    <x v="219"/>
    <x v="219"/>
    <x v="219"/>
    <x v="1"/>
    <x v="133"/>
    <x v="0"/>
    <x v="123"/>
    <x v="21"/>
    <x v="21"/>
    <x v="220"/>
    <x v="220"/>
    <x v="220"/>
    <x v="220"/>
    <x v="220"/>
    <x v="220"/>
  </r>
  <r>
    <x v="220"/>
    <x v="199"/>
    <x v="6"/>
    <x v="199"/>
    <x v="3"/>
    <x v="203"/>
    <x v="203"/>
    <x v="1"/>
    <x v="1"/>
    <x v="2"/>
    <x v="10"/>
    <x v="39"/>
    <x v="1"/>
    <x v="2"/>
    <x v="2"/>
    <x v="6"/>
    <x v="221"/>
    <x v="221"/>
    <x v="220"/>
    <x v="220"/>
    <x v="220"/>
    <x v="0"/>
    <x v="53"/>
    <x v="1"/>
    <x v="50"/>
    <x v="27"/>
    <x v="27"/>
    <x v="221"/>
    <x v="221"/>
    <x v="221"/>
    <x v="221"/>
    <x v="221"/>
    <x v="221"/>
  </r>
  <r>
    <x v="221"/>
    <x v="200"/>
    <x v="11"/>
    <x v="200"/>
    <x v="3"/>
    <x v="204"/>
    <x v="204"/>
    <x v="14"/>
    <x v="0"/>
    <x v="0"/>
    <x v="11"/>
    <x v="33"/>
    <x v="2"/>
    <x v="4"/>
    <x v="13"/>
    <x v="0"/>
    <x v="222"/>
    <x v="222"/>
    <x v="221"/>
    <x v="221"/>
    <x v="221"/>
    <x v="0"/>
    <x v="142"/>
    <x v="0"/>
    <x v="131"/>
    <x v="11"/>
    <x v="11"/>
    <x v="222"/>
    <x v="222"/>
    <x v="222"/>
    <x v="222"/>
    <x v="222"/>
    <x v="222"/>
  </r>
  <r>
    <x v="222"/>
    <x v="201"/>
    <x v="8"/>
    <x v="201"/>
    <x v="3"/>
    <x v="205"/>
    <x v="205"/>
    <x v="25"/>
    <x v="1"/>
    <x v="0"/>
    <x v="11"/>
    <x v="25"/>
    <x v="4"/>
    <x v="3"/>
    <x v="5"/>
    <x v="2"/>
    <x v="223"/>
    <x v="223"/>
    <x v="222"/>
    <x v="222"/>
    <x v="222"/>
    <x v="2"/>
    <x v="130"/>
    <x v="0"/>
    <x v="121"/>
    <x v="22"/>
    <x v="22"/>
    <x v="223"/>
    <x v="223"/>
    <x v="223"/>
    <x v="223"/>
    <x v="223"/>
    <x v="223"/>
  </r>
  <r>
    <x v="223"/>
    <x v="43"/>
    <x v="7"/>
    <x v="43"/>
    <x v="2"/>
    <x v="206"/>
    <x v="206"/>
    <x v="5"/>
    <x v="0"/>
    <x v="3"/>
    <x v="8"/>
    <x v="12"/>
    <x v="5"/>
    <x v="0"/>
    <x v="13"/>
    <x v="4"/>
    <x v="224"/>
    <x v="224"/>
    <x v="223"/>
    <x v="223"/>
    <x v="223"/>
    <x v="1"/>
    <x v="130"/>
    <x v="0"/>
    <x v="121"/>
    <x v="4"/>
    <x v="4"/>
    <x v="224"/>
    <x v="224"/>
    <x v="224"/>
    <x v="224"/>
    <x v="224"/>
    <x v="224"/>
  </r>
  <r>
    <x v="224"/>
    <x v="202"/>
    <x v="3"/>
    <x v="202"/>
    <x v="1"/>
    <x v="207"/>
    <x v="207"/>
    <x v="25"/>
    <x v="1"/>
    <x v="2"/>
    <x v="5"/>
    <x v="30"/>
    <x v="3"/>
    <x v="3"/>
    <x v="1"/>
    <x v="3"/>
    <x v="225"/>
    <x v="225"/>
    <x v="224"/>
    <x v="224"/>
    <x v="224"/>
    <x v="2"/>
    <x v="6"/>
    <x v="0"/>
    <x v="6"/>
    <x v="11"/>
    <x v="11"/>
    <x v="225"/>
    <x v="225"/>
    <x v="225"/>
    <x v="225"/>
    <x v="225"/>
    <x v="225"/>
  </r>
  <r>
    <x v="225"/>
    <x v="203"/>
    <x v="8"/>
    <x v="203"/>
    <x v="3"/>
    <x v="208"/>
    <x v="208"/>
    <x v="11"/>
    <x v="0"/>
    <x v="1"/>
    <x v="2"/>
    <x v="32"/>
    <x v="1"/>
    <x v="2"/>
    <x v="8"/>
    <x v="2"/>
    <x v="226"/>
    <x v="226"/>
    <x v="225"/>
    <x v="225"/>
    <x v="225"/>
    <x v="2"/>
    <x v="2"/>
    <x v="0"/>
    <x v="2"/>
    <x v="20"/>
    <x v="20"/>
    <x v="226"/>
    <x v="226"/>
    <x v="226"/>
    <x v="226"/>
    <x v="226"/>
    <x v="226"/>
  </r>
  <r>
    <x v="226"/>
    <x v="204"/>
    <x v="1"/>
    <x v="204"/>
    <x v="1"/>
    <x v="209"/>
    <x v="209"/>
    <x v="2"/>
    <x v="0"/>
    <x v="2"/>
    <x v="10"/>
    <x v="24"/>
    <x v="4"/>
    <x v="3"/>
    <x v="7"/>
    <x v="6"/>
    <x v="227"/>
    <x v="227"/>
    <x v="226"/>
    <x v="226"/>
    <x v="226"/>
    <x v="1"/>
    <x v="143"/>
    <x v="0"/>
    <x v="132"/>
    <x v="6"/>
    <x v="6"/>
    <x v="227"/>
    <x v="227"/>
    <x v="227"/>
    <x v="227"/>
    <x v="227"/>
    <x v="227"/>
  </r>
  <r>
    <x v="227"/>
    <x v="205"/>
    <x v="11"/>
    <x v="205"/>
    <x v="3"/>
    <x v="210"/>
    <x v="210"/>
    <x v="8"/>
    <x v="0"/>
    <x v="2"/>
    <x v="10"/>
    <x v="24"/>
    <x v="0"/>
    <x v="2"/>
    <x v="11"/>
    <x v="1"/>
    <x v="228"/>
    <x v="228"/>
    <x v="227"/>
    <x v="227"/>
    <x v="227"/>
    <x v="1"/>
    <x v="82"/>
    <x v="0"/>
    <x v="76"/>
    <x v="20"/>
    <x v="20"/>
    <x v="228"/>
    <x v="228"/>
    <x v="228"/>
    <x v="228"/>
    <x v="228"/>
    <x v="228"/>
  </r>
  <r>
    <x v="228"/>
    <x v="206"/>
    <x v="0"/>
    <x v="206"/>
    <x v="0"/>
    <x v="211"/>
    <x v="211"/>
    <x v="2"/>
    <x v="0"/>
    <x v="0"/>
    <x v="0"/>
    <x v="2"/>
    <x v="3"/>
    <x v="2"/>
    <x v="14"/>
    <x v="1"/>
    <x v="229"/>
    <x v="229"/>
    <x v="228"/>
    <x v="228"/>
    <x v="228"/>
    <x v="1"/>
    <x v="51"/>
    <x v="0"/>
    <x v="48"/>
    <x v="11"/>
    <x v="11"/>
    <x v="229"/>
    <x v="229"/>
    <x v="229"/>
    <x v="229"/>
    <x v="229"/>
    <x v="229"/>
  </r>
  <r>
    <x v="229"/>
    <x v="207"/>
    <x v="5"/>
    <x v="207"/>
    <x v="2"/>
    <x v="212"/>
    <x v="212"/>
    <x v="5"/>
    <x v="0"/>
    <x v="1"/>
    <x v="9"/>
    <x v="23"/>
    <x v="0"/>
    <x v="3"/>
    <x v="6"/>
    <x v="0"/>
    <x v="230"/>
    <x v="230"/>
    <x v="229"/>
    <x v="229"/>
    <x v="229"/>
    <x v="0"/>
    <x v="135"/>
    <x v="0"/>
    <x v="125"/>
    <x v="13"/>
    <x v="13"/>
    <x v="230"/>
    <x v="230"/>
    <x v="230"/>
    <x v="230"/>
    <x v="230"/>
    <x v="230"/>
  </r>
  <r>
    <x v="230"/>
    <x v="208"/>
    <x v="7"/>
    <x v="208"/>
    <x v="2"/>
    <x v="69"/>
    <x v="69"/>
    <x v="7"/>
    <x v="0"/>
    <x v="2"/>
    <x v="5"/>
    <x v="10"/>
    <x v="3"/>
    <x v="1"/>
    <x v="0"/>
    <x v="3"/>
    <x v="231"/>
    <x v="231"/>
    <x v="230"/>
    <x v="230"/>
    <x v="230"/>
    <x v="1"/>
    <x v="14"/>
    <x v="0"/>
    <x v="14"/>
    <x v="5"/>
    <x v="5"/>
    <x v="231"/>
    <x v="231"/>
    <x v="231"/>
    <x v="231"/>
    <x v="231"/>
    <x v="231"/>
  </r>
  <r>
    <x v="231"/>
    <x v="209"/>
    <x v="6"/>
    <x v="209"/>
    <x v="3"/>
    <x v="213"/>
    <x v="213"/>
    <x v="15"/>
    <x v="1"/>
    <x v="0"/>
    <x v="1"/>
    <x v="3"/>
    <x v="4"/>
    <x v="4"/>
    <x v="11"/>
    <x v="1"/>
    <x v="232"/>
    <x v="232"/>
    <x v="231"/>
    <x v="231"/>
    <x v="231"/>
    <x v="0"/>
    <x v="144"/>
    <x v="0"/>
    <x v="133"/>
    <x v="11"/>
    <x v="11"/>
    <x v="232"/>
    <x v="232"/>
    <x v="232"/>
    <x v="232"/>
    <x v="232"/>
    <x v="232"/>
  </r>
  <r>
    <x v="232"/>
    <x v="210"/>
    <x v="6"/>
    <x v="210"/>
    <x v="3"/>
    <x v="74"/>
    <x v="74"/>
    <x v="8"/>
    <x v="0"/>
    <x v="1"/>
    <x v="2"/>
    <x v="4"/>
    <x v="5"/>
    <x v="3"/>
    <x v="14"/>
    <x v="5"/>
    <x v="233"/>
    <x v="233"/>
    <x v="232"/>
    <x v="232"/>
    <x v="232"/>
    <x v="0"/>
    <x v="37"/>
    <x v="0"/>
    <x v="37"/>
    <x v="13"/>
    <x v="13"/>
    <x v="233"/>
    <x v="233"/>
    <x v="233"/>
    <x v="233"/>
    <x v="233"/>
    <x v="233"/>
  </r>
  <r>
    <x v="233"/>
    <x v="211"/>
    <x v="0"/>
    <x v="211"/>
    <x v="0"/>
    <x v="214"/>
    <x v="214"/>
    <x v="12"/>
    <x v="0"/>
    <x v="0"/>
    <x v="11"/>
    <x v="33"/>
    <x v="3"/>
    <x v="3"/>
    <x v="11"/>
    <x v="0"/>
    <x v="234"/>
    <x v="234"/>
    <x v="233"/>
    <x v="233"/>
    <x v="233"/>
    <x v="1"/>
    <x v="4"/>
    <x v="0"/>
    <x v="4"/>
    <x v="11"/>
    <x v="11"/>
    <x v="234"/>
    <x v="234"/>
    <x v="234"/>
    <x v="234"/>
    <x v="234"/>
    <x v="234"/>
  </r>
  <r>
    <x v="234"/>
    <x v="39"/>
    <x v="4"/>
    <x v="39"/>
    <x v="0"/>
    <x v="39"/>
    <x v="40"/>
    <x v="21"/>
    <x v="0"/>
    <x v="1"/>
    <x v="2"/>
    <x v="32"/>
    <x v="4"/>
    <x v="1"/>
    <x v="15"/>
    <x v="1"/>
    <x v="235"/>
    <x v="235"/>
    <x v="234"/>
    <x v="234"/>
    <x v="234"/>
    <x v="1"/>
    <x v="55"/>
    <x v="0"/>
    <x v="52"/>
    <x v="20"/>
    <x v="20"/>
    <x v="235"/>
    <x v="235"/>
    <x v="235"/>
    <x v="235"/>
    <x v="235"/>
    <x v="235"/>
  </r>
  <r>
    <x v="235"/>
    <x v="212"/>
    <x v="6"/>
    <x v="212"/>
    <x v="3"/>
    <x v="215"/>
    <x v="215"/>
    <x v="6"/>
    <x v="0"/>
    <x v="0"/>
    <x v="0"/>
    <x v="13"/>
    <x v="4"/>
    <x v="0"/>
    <x v="12"/>
    <x v="3"/>
    <x v="236"/>
    <x v="236"/>
    <x v="235"/>
    <x v="235"/>
    <x v="235"/>
    <x v="2"/>
    <x v="38"/>
    <x v="0"/>
    <x v="38"/>
    <x v="22"/>
    <x v="22"/>
    <x v="236"/>
    <x v="236"/>
    <x v="236"/>
    <x v="236"/>
    <x v="236"/>
    <x v="236"/>
  </r>
  <r>
    <x v="236"/>
    <x v="213"/>
    <x v="8"/>
    <x v="213"/>
    <x v="3"/>
    <x v="216"/>
    <x v="216"/>
    <x v="30"/>
    <x v="1"/>
    <x v="2"/>
    <x v="3"/>
    <x v="26"/>
    <x v="3"/>
    <x v="1"/>
    <x v="10"/>
    <x v="0"/>
    <x v="237"/>
    <x v="237"/>
    <x v="236"/>
    <x v="236"/>
    <x v="236"/>
    <x v="2"/>
    <x v="145"/>
    <x v="0"/>
    <x v="134"/>
    <x v="41"/>
    <x v="41"/>
    <x v="237"/>
    <x v="237"/>
    <x v="237"/>
    <x v="237"/>
    <x v="237"/>
    <x v="237"/>
  </r>
  <r>
    <x v="237"/>
    <x v="214"/>
    <x v="10"/>
    <x v="214"/>
    <x v="1"/>
    <x v="217"/>
    <x v="138"/>
    <x v="26"/>
    <x v="0"/>
    <x v="1"/>
    <x v="4"/>
    <x v="18"/>
    <x v="5"/>
    <x v="2"/>
    <x v="4"/>
    <x v="3"/>
    <x v="238"/>
    <x v="238"/>
    <x v="237"/>
    <x v="237"/>
    <x v="237"/>
    <x v="1"/>
    <x v="146"/>
    <x v="1"/>
    <x v="135"/>
    <x v="11"/>
    <x v="11"/>
    <x v="238"/>
    <x v="238"/>
    <x v="238"/>
    <x v="238"/>
    <x v="238"/>
    <x v="238"/>
  </r>
  <r>
    <x v="238"/>
    <x v="215"/>
    <x v="0"/>
    <x v="215"/>
    <x v="0"/>
    <x v="141"/>
    <x v="140"/>
    <x v="2"/>
    <x v="0"/>
    <x v="2"/>
    <x v="10"/>
    <x v="36"/>
    <x v="2"/>
    <x v="1"/>
    <x v="3"/>
    <x v="4"/>
    <x v="239"/>
    <x v="239"/>
    <x v="238"/>
    <x v="238"/>
    <x v="238"/>
    <x v="0"/>
    <x v="49"/>
    <x v="0"/>
    <x v="46"/>
    <x v="17"/>
    <x v="17"/>
    <x v="239"/>
    <x v="239"/>
    <x v="239"/>
    <x v="239"/>
    <x v="239"/>
    <x v="239"/>
  </r>
  <r>
    <x v="239"/>
    <x v="216"/>
    <x v="6"/>
    <x v="216"/>
    <x v="3"/>
    <x v="73"/>
    <x v="73"/>
    <x v="6"/>
    <x v="0"/>
    <x v="1"/>
    <x v="4"/>
    <x v="6"/>
    <x v="1"/>
    <x v="4"/>
    <x v="1"/>
    <x v="1"/>
    <x v="240"/>
    <x v="240"/>
    <x v="239"/>
    <x v="239"/>
    <x v="239"/>
    <x v="0"/>
    <x v="147"/>
    <x v="0"/>
    <x v="136"/>
    <x v="15"/>
    <x v="15"/>
    <x v="240"/>
    <x v="240"/>
    <x v="240"/>
    <x v="240"/>
    <x v="240"/>
    <x v="240"/>
  </r>
  <r>
    <x v="240"/>
    <x v="217"/>
    <x v="5"/>
    <x v="217"/>
    <x v="2"/>
    <x v="218"/>
    <x v="217"/>
    <x v="22"/>
    <x v="0"/>
    <x v="1"/>
    <x v="9"/>
    <x v="38"/>
    <x v="5"/>
    <x v="1"/>
    <x v="9"/>
    <x v="3"/>
    <x v="241"/>
    <x v="241"/>
    <x v="240"/>
    <x v="240"/>
    <x v="240"/>
    <x v="1"/>
    <x v="148"/>
    <x v="0"/>
    <x v="137"/>
    <x v="15"/>
    <x v="15"/>
    <x v="241"/>
    <x v="241"/>
    <x v="241"/>
    <x v="241"/>
    <x v="241"/>
    <x v="241"/>
  </r>
  <r>
    <x v="241"/>
    <x v="218"/>
    <x v="11"/>
    <x v="218"/>
    <x v="3"/>
    <x v="219"/>
    <x v="218"/>
    <x v="30"/>
    <x v="1"/>
    <x v="1"/>
    <x v="2"/>
    <x v="4"/>
    <x v="3"/>
    <x v="4"/>
    <x v="13"/>
    <x v="4"/>
    <x v="242"/>
    <x v="242"/>
    <x v="241"/>
    <x v="241"/>
    <x v="241"/>
    <x v="2"/>
    <x v="29"/>
    <x v="0"/>
    <x v="29"/>
    <x v="3"/>
    <x v="3"/>
    <x v="242"/>
    <x v="242"/>
    <x v="242"/>
    <x v="242"/>
    <x v="242"/>
    <x v="242"/>
  </r>
  <r>
    <x v="242"/>
    <x v="219"/>
    <x v="3"/>
    <x v="219"/>
    <x v="1"/>
    <x v="220"/>
    <x v="219"/>
    <x v="11"/>
    <x v="0"/>
    <x v="3"/>
    <x v="6"/>
    <x v="37"/>
    <x v="5"/>
    <x v="2"/>
    <x v="5"/>
    <x v="1"/>
    <x v="243"/>
    <x v="243"/>
    <x v="242"/>
    <x v="242"/>
    <x v="242"/>
    <x v="0"/>
    <x v="149"/>
    <x v="1"/>
    <x v="138"/>
    <x v="15"/>
    <x v="15"/>
    <x v="243"/>
    <x v="243"/>
    <x v="243"/>
    <x v="243"/>
    <x v="243"/>
    <x v="243"/>
  </r>
  <r>
    <x v="243"/>
    <x v="43"/>
    <x v="7"/>
    <x v="43"/>
    <x v="2"/>
    <x v="189"/>
    <x v="189"/>
    <x v="26"/>
    <x v="0"/>
    <x v="2"/>
    <x v="5"/>
    <x v="30"/>
    <x v="0"/>
    <x v="3"/>
    <x v="12"/>
    <x v="3"/>
    <x v="244"/>
    <x v="244"/>
    <x v="243"/>
    <x v="243"/>
    <x v="243"/>
    <x v="1"/>
    <x v="30"/>
    <x v="0"/>
    <x v="30"/>
    <x v="13"/>
    <x v="13"/>
    <x v="244"/>
    <x v="244"/>
    <x v="244"/>
    <x v="244"/>
    <x v="244"/>
    <x v="244"/>
  </r>
  <r>
    <x v="244"/>
    <x v="220"/>
    <x v="0"/>
    <x v="220"/>
    <x v="0"/>
    <x v="221"/>
    <x v="220"/>
    <x v="8"/>
    <x v="0"/>
    <x v="0"/>
    <x v="1"/>
    <x v="1"/>
    <x v="3"/>
    <x v="2"/>
    <x v="2"/>
    <x v="3"/>
    <x v="245"/>
    <x v="245"/>
    <x v="244"/>
    <x v="244"/>
    <x v="244"/>
    <x v="0"/>
    <x v="150"/>
    <x v="0"/>
    <x v="139"/>
    <x v="9"/>
    <x v="9"/>
    <x v="245"/>
    <x v="245"/>
    <x v="245"/>
    <x v="245"/>
    <x v="245"/>
    <x v="245"/>
  </r>
  <r>
    <x v="245"/>
    <x v="221"/>
    <x v="2"/>
    <x v="221"/>
    <x v="0"/>
    <x v="146"/>
    <x v="146"/>
    <x v="13"/>
    <x v="0"/>
    <x v="2"/>
    <x v="3"/>
    <x v="19"/>
    <x v="2"/>
    <x v="0"/>
    <x v="14"/>
    <x v="4"/>
    <x v="246"/>
    <x v="246"/>
    <x v="245"/>
    <x v="245"/>
    <x v="245"/>
    <x v="2"/>
    <x v="151"/>
    <x v="1"/>
    <x v="33"/>
    <x v="8"/>
    <x v="8"/>
    <x v="246"/>
    <x v="246"/>
    <x v="246"/>
    <x v="246"/>
    <x v="246"/>
    <x v="246"/>
  </r>
  <r>
    <x v="246"/>
    <x v="222"/>
    <x v="7"/>
    <x v="222"/>
    <x v="2"/>
    <x v="222"/>
    <x v="221"/>
    <x v="23"/>
    <x v="0"/>
    <x v="3"/>
    <x v="6"/>
    <x v="9"/>
    <x v="0"/>
    <x v="2"/>
    <x v="0"/>
    <x v="5"/>
    <x v="247"/>
    <x v="247"/>
    <x v="246"/>
    <x v="246"/>
    <x v="246"/>
    <x v="0"/>
    <x v="102"/>
    <x v="0"/>
    <x v="94"/>
    <x v="7"/>
    <x v="7"/>
    <x v="247"/>
    <x v="247"/>
    <x v="247"/>
    <x v="247"/>
    <x v="247"/>
    <x v="247"/>
  </r>
  <r>
    <x v="247"/>
    <x v="223"/>
    <x v="10"/>
    <x v="223"/>
    <x v="1"/>
    <x v="46"/>
    <x v="46"/>
    <x v="18"/>
    <x v="1"/>
    <x v="0"/>
    <x v="0"/>
    <x v="16"/>
    <x v="5"/>
    <x v="2"/>
    <x v="12"/>
    <x v="2"/>
    <x v="248"/>
    <x v="248"/>
    <x v="247"/>
    <x v="247"/>
    <x v="247"/>
    <x v="1"/>
    <x v="46"/>
    <x v="0"/>
    <x v="44"/>
    <x v="6"/>
    <x v="6"/>
    <x v="248"/>
    <x v="248"/>
    <x v="248"/>
    <x v="248"/>
    <x v="248"/>
    <x v="248"/>
  </r>
  <r>
    <x v="248"/>
    <x v="224"/>
    <x v="6"/>
    <x v="224"/>
    <x v="3"/>
    <x v="14"/>
    <x v="14"/>
    <x v="5"/>
    <x v="0"/>
    <x v="1"/>
    <x v="2"/>
    <x v="32"/>
    <x v="2"/>
    <x v="2"/>
    <x v="9"/>
    <x v="5"/>
    <x v="249"/>
    <x v="249"/>
    <x v="248"/>
    <x v="248"/>
    <x v="248"/>
    <x v="2"/>
    <x v="105"/>
    <x v="0"/>
    <x v="97"/>
    <x v="15"/>
    <x v="15"/>
    <x v="249"/>
    <x v="249"/>
    <x v="249"/>
    <x v="249"/>
    <x v="249"/>
    <x v="249"/>
  </r>
  <r>
    <x v="249"/>
    <x v="225"/>
    <x v="6"/>
    <x v="225"/>
    <x v="3"/>
    <x v="213"/>
    <x v="213"/>
    <x v="30"/>
    <x v="1"/>
    <x v="2"/>
    <x v="10"/>
    <x v="36"/>
    <x v="3"/>
    <x v="4"/>
    <x v="10"/>
    <x v="0"/>
    <x v="250"/>
    <x v="250"/>
    <x v="249"/>
    <x v="249"/>
    <x v="249"/>
    <x v="1"/>
    <x v="17"/>
    <x v="0"/>
    <x v="17"/>
    <x v="16"/>
    <x v="16"/>
    <x v="250"/>
    <x v="250"/>
    <x v="250"/>
    <x v="250"/>
    <x v="250"/>
    <x v="250"/>
  </r>
  <r>
    <x v="250"/>
    <x v="226"/>
    <x v="0"/>
    <x v="226"/>
    <x v="0"/>
    <x v="223"/>
    <x v="222"/>
    <x v="8"/>
    <x v="0"/>
    <x v="2"/>
    <x v="3"/>
    <x v="19"/>
    <x v="3"/>
    <x v="3"/>
    <x v="2"/>
    <x v="4"/>
    <x v="251"/>
    <x v="251"/>
    <x v="250"/>
    <x v="250"/>
    <x v="250"/>
    <x v="1"/>
    <x v="91"/>
    <x v="1"/>
    <x v="85"/>
    <x v="22"/>
    <x v="22"/>
    <x v="251"/>
    <x v="251"/>
    <x v="251"/>
    <x v="251"/>
    <x v="251"/>
    <x v="251"/>
  </r>
  <r>
    <x v="251"/>
    <x v="227"/>
    <x v="0"/>
    <x v="227"/>
    <x v="0"/>
    <x v="58"/>
    <x v="58"/>
    <x v="2"/>
    <x v="0"/>
    <x v="2"/>
    <x v="3"/>
    <x v="26"/>
    <x v="3"/>
    <x v="1"/>
    <x v="9"/>
    <x v="5"/>
    <x v="252"/>
    <x v="252"/>
    <x v="251"/>
    <x v="251"/>
    <x v="251"/>
    <x v="0"/>
    <x v="152"/>
    <x v="1"/>
    <x v="140"/>
    <x v="12"/>
    <x v="12"/>
    <x v="252"/>
    <x v="252"/>
    <x v="252"/>
    <x v="252"/>
    <x v="252"/>
    <x v="252"/>
  </r>
  <r>
    <x v="252"/>
    <x v="228"/>
    <x v="8"/>
    <x v="228"/>
    <x v="3"/>
    <x v="224"/>
    <x v="223"/>
    <x v="24"/>
    <x v="1"/>
    <x v="2"/>
    <x v="10"/>
    <x v="39"/>
    <x v="1"/>
    <x v="2"/>
    <x v="2"/>
    <x v="1"/>
    <x v="253"/>
    <x v="253"/>
    <x v="252"/>
    <x v="252"/>
    <x v="252"/>
    <x v="2"/>
    <x v="153"/>
    <x v="0"/>
    <x v="141"/>
    <x v="13"/>
    <x v="13"/>
    <x v="253"/>
    <x v="253"/>
    <x v="253"/>
    <x v="253"/>
    <x v="253"/>
    <x v="253"/>
  </r>
  <r>
    <x v="253"/>
    <x v="229"/>
    <x v="1"/>
    <x v="229"/>
    <x v="1"/>
    <x v="225"/>
    <x v="224"/>
    <x v="9"/>
    <x v="0"/>
    <x v="1"/>
    <x v="2"/>
    <x v="32"/>
    <x v="2"/>
    <x v="1"/>
    <x v="10"/>
    <x v="5"/>
    <x v="254"/>
    <x v="254"/>
    <x v="253"/>
    <x v="253"/>
    <x v="253"/>
    <x v="0"/>
    <x v="114"/>
    <x v="0"/>
    <x v="106"/>
    <x v="0"/>
    <x v="0"/>
    <x v="254"/>
    <x v="254"/>
    <x v="254"/>
    <x v="254"/>
    <x v="254"/>
    <x v="254"/>
  </r>
  <r>
    <x v="254"/>
    <x v="230"/>
    <x v="7"/>
    <x v="230"/>
    <x v="2"/>
    <x v="226"/>
    <x v="225"/>
    <x v="8"/>
    <x v="0"/>
    <x v="3"/>
    <x v="6"/>
    <x v="37"/>
    <x v="5"/>
    <x v="2"/>
    <x v="0"/>
    <x v="4"/>
    <x v="255"/>
    <x v="255"/>
    <x v="254"/>
    <x v="254"/>
    <x v="254"/>
    <x v="2"/>
    <x v="76"/>
    <x v="0"/>
    <x v="71"/>
    <x v="4"/>
    <x v="4"/>
    <x v="255"/>
    <x v="255"/>
    <x v="255"/>
    <x v="255"/>
    <x v="255"/>
    <x v="255"/>
  </r>
  <r>
    <x v="255"/>
    <x v="231"/>
    <x v="1"/>
    <x v="231"/>
    <x v="1"/>
    <x v="227"/>
    <x v="226"/>
    <x v="25"/>
    <x v="1"/>
    <x v="1"/>
    <x v="4"/>
    <x v="6"/>
    <x v="2"/>
    <x v="1"/>
    <x v="2"/>
    <x v="0"/>
    <x v="256"/>
    <x v="256"/>
    <x v="255"/>
    <x v="255"/>
    <x v="255"/>
    <x v="2"/>
    <x v="122"/>
    <x v="0"/>
    <x v="113"/>
    <x v="0"/>
    <x v="0"/>
    <x v="256"/>
    <x v="256"/>
    <x v="256"/>
    <x v="256"/>
    <x v="256"/>
    <x v="256"/>
  </r>
  <r>
    <x v="256"/>
    <x v="43"/>
    <x v="7"/>
    <x v="43"/>
    <x v="2"/>
    <x v="206"/>
    <x v="206"/>
    <x v="5"/>
    <x v="0"/>
    <x v="3"/>
    <x v="8"/>
    <x v="21"/>
    <x v="2"/>
    <x v="4"/>
    <x v="10"/>
    <x v="2"/>
    <x v="257"/>
    <x v="257"/>
    <x v="256"/>
    <x v="256"/>
    <x v="256"/>
    <x v="0"/>
    <x v="115"/>
    <x v="0"/>
    <x v="107"/>
    <x v="6"/>
    <x v="6"/>
    <x v="257"/>
    <x v="257"/>
    <x v="257"/>
    <x v="257"/>
    <x v="257"/>
    <x v="257"/>
  </r>
  <r>
    <x v="257"/>
    <x v="232"/>
    <x v="9"/>
    <x v="232"/>
    <x v="2"/>
    <x v="228"/>
    <x v="227"/>
    <x v="11"/>
    <x v="0"/>
    <x v="3"/>
    <x v="6"/>
    <x v="22"/>
    <x v="4"/>
    <x v="4"/>
    <x v="3"/>
    <x v="5"/>
    <x v="258"/>
    <x v="258"/>
    <x v="257"/>
    <x v="257"/>
    <x v="257"/>
    <x v="0"/>
    <x v="44"/>
    <x v="1"/>
    <x v="42"/>
    <x v="15"/>
    <x v="15"/>
    <x v="258"/>
    <x v="258"/>
    <x v="258"/>
    <x v="258"/>
    <x v="258"/>
    <x v="258"/>
  </r>
  <r>
    <x v="258"/>
    <x v="233"/>
    <x v="1"/>
    <x v="233"/>
    <x v="1"/>
    <x v="229"/>
    <x v="228"/>
    <x v="24"/>
    <x v="1"/>
    <x v="2"/>
    <x v="5"/>
    <x v="10"/>
    <x v="3"/>
    <x v="3"/>
    <x v="15"/>
    <x v="6"/>
    <x v="259"/>
    <x v="259"/>
    <x v="258"/>
    <x v="258"/>
    <x v="258"/>
    <x v="0"/>
    <x v="78"/>
    <x v="0"/>
    <x v="73"/>
    <x v="13"/>
    <x v="13"/>
    <x v="259"/>
    <x v="259"/>
    <x v="259"/>
    <x v="259"/>
    <x v="259"/>
    <x v="259"/>
  </r>
  <r>
    <x v="259"/>
    <x v="72"/>
    <x v="5"/>
    <x v="72"/>
    <x v="2"/>
    <x v="103"/>
    <x v="102"/>
    <x v="5"/>
    <x v="0"/>
    <x v="0"/>
    <x v="1"/>
    <x v="1"/>
    <x v="5"/>
    <x v="3"/>
    <x v="6"/>
    <x v="0"/>
    <x v="260"/>
    <x v="260"/>
    <x v="259"/>
    <x v="259"/>
    <x v="259"/>
    <x v="2"/>
    <x v="117"/>
    <x v="0"/>
    <x v="108"/>
    <x v="2"/>
    <x v="2"/>
    <x v="260"/>
    <x v="260"/>
    <x v="260"/>
    <x v="260"/>
    <x v="260"/>
    <x v="260"/>
  </r>
  <r>
    <x v="260"/>
    <x v="234"/>
    <x v="5"/>
    <x v="234"/>
    <x v="2"/>
    <x v="114"/>
    <x v="112"/>
    <x v="20"/>
    <x v="0"/>
    <x v="3"/>
    <x v="6"/>
    <x v="9"/>
    <x v="1"/>
    <x v="0"/>
    <x v="7"/>
    <x v="6"/>
    <x v="261"/>
    <x v="261"/>
    <x v="260"/>
    <x v="260"/>
    <x v="260"/>
    <x v="2"/>
    <x v="140"/>
    <x v="0"/>
    <x v="130"/>
    <x v="5"/>
    <x v="5"/>
    <x v="261"/>
    <x v="261"/>
    <x v="261"/>
    <x v="261"/>
    <x v="261"/>
    <x v="261"/>
  </r>
  <r>
    <x v="261"/>
    <x v="235"/>
    <x v="11"/>
    <x v="235"/>
    <x v="3"/>
    <x v="230"/>
    <x v="229"/>
    <x v="8"/>
    <x v="0"/>
    <x v="2"/>
    <x v="5"/>
    <x v="10"/>
    <x v="2"/>
    <x v="4"/>
    <x v="15"/>
    <x v="2"/>
    <x v="262"/>
    <x v="262"/>
    <x v="261"/>
    <x v="261"/>
    <x v="261"/>
    <x v="1"/>
    <x v="154"/>
    <x v="1"/>
    <x v="142"/>
    <x v="11"/>
    <x v="11"/>
    <x v="262"/>
    <x v="262"/>
    <x v="262"/>
    <x v="262"/>
    <x v="262"/>
    <x v="262"/>
  </r>
  <r>
    <x v="262"/>
    <x v="236"/>
    <x v="9"/>
    <x v="236"/>
    <x v="2"/>
    <x v="231"/>
    <x v="230"/>
    <x v="30"/>
    <x v="1"/>
    <x v="0"/>
    <x v="11"/>
    <x v="25"/>
    <x v="5"/>
    <x v="3"/>
    <x v="13"/>
    <x v="3"/>
    <x v="263"/>
    <x v="263"/>
    <x v="262"/>
    <x v="262"/>
    <x v="262"/>
    <x v="0"/>
    <x v="92"/>
    <x v="0"/>
    <x v="86"/>
    <x v="8"/>
    <x v="8"/>
    <x v="263"/>
    <x v="263"/>
    <x v="263"/>
    <x v="263"/>
    <x v="263"/>
    <x v="263"/>
  </r>
  <r>
    <x v="263"/>
    <x v="139"/>
    <x v="7"/>
    <x v="139"/>
    <x v="2"/>
    <x v="232"/>
    <x v="231"/>
    <x v="23"/>
    <x v="0"/>
    <x v="0"/>
    <x v="1"/>
    <x v="1"/>
    <x v="5"/>
    <x v="2"/>
    <x v="9"/>
    <x v="4"/>
    <x v="264"/>
    <x v="264"/>
    <x v="263"/>
    <x v="263"/>
    <x v="263"/>
    <x v="2"/>
    <x v="38"/>
    <x v="0"/>
    <x v="38"/>
    <x v="9"/>
    <x v="9"/>
    <x v="264"/>
    <x v="264"/>
    <x v="264"/>
    <x v="264"/>
    <x v="264"/>
    <x v="264"/>
  </r>
  <r>
    <x v="264"/>
    <x v="237"/>
    <x v="6"/>
    <x v="237"/>
    <x v="3"/>
    <x v="233"/>
    <x v="232"/>
    <x v="26"/>
    <x v="0"/>
    <x v="2"/>
    <x v="3"/>
    <x v="5"/>
    <x v="0"/>
    <x v="3"/>
    <x v="12"/>
    <x v="1"/>
    <x v="265"/>
    <x v="265"/>
    <x v="264"/>
    <x v="264"/>
    <x v="264"/>
    <x v="1"/>
    <x v="124"/>
    <x v="0"/>
    <x v="115"/>
    <x v="17"/>
    <x v="17"/>
    <x v="265"/>
    <x v="265"/>
    <x v="265"/>
    <x v="265"/>
    <x v="265"/>
    <x v="265"/>
  </r>
  <r>
    <x v="265"/>
    <x v="238"/>
    <x v="1"/>
    <x v="238"/>
    <x v="1"/>
    <x v="234"/>
    <x v="233"/>
    <x v="18"/>
    <x v="1"/>
    <x v="3"/>
    <x v="8"/>
    <x v="21"/>
    <x v="0"/>
    <x v="1"/>
    <x v="6"/>
    <x v="5"/>
    <x v="266"/>
    <x v="266"/>
    <x v="265"/>
    <x v="265"/>
    <x v="265"/>
    <x v="2"/>
    <x v="50"/>
    <x v="0"/>
    <x v="47"/>
    <x v="14"/>
    <x v="14"/>
    <x v="266"/>
    <x v="266"/>
    <x v="266"/>
    <x v="266"/>
    <x v="266"/>
    <x v="266"/>
  </r>
  <r>
    <x v="266"/>
    <x v="239"/>
    <x v="5"/>
    <x v="239"/>
    <x v="2"/>
    <x v="235"/>
    <x v="28"/>
    <x v="1"/>
    <x v="1"/>
    <x v="0"/>
    <x v="1"/>
    <x v="1"/>
    <x v="2"/>
    <x v="2"/>
    <x v="8"/>
    <x v="0"/>
    <x v="267"/>
    <x v="267"/>
    <x v="266"/>
    <x v="266"/>
    <x v="266"/>
    <x v="2"/>
    <x v="105"/>
    <x v="0"/>
    <x v="97"/>
    <x v="15"/>
    <x v="15"/>
    <x v="267"/>
    <x v="267"/>
    <x v="267"/>
    <x v="267"/>
    <x v="267"/>
    <x v="267"/>
  </r>
  <r>
    <x v="267"/>
    <x v="240"/>
    <x v="3"/>
    <x v="240"/>
    <x v="1"/>
    <x v="236"/>
    <x v="234"/>
    <x v="11"/>
    <x v="0"/>
    <x v="2"/>
    <x v="5"/>
    <x v="8"/>
    <x v="1"/>
    <x v="4"/>
    <x v="0"/>
    <x v="3"/>
    <x v="268"/>
    <x v="268"/>
    <x v="267"/>
    <x v="267"/>
    <x v="267"/>
    <x v="0"/>
    <x v="5"/>
    <x v="0"/>
    <x v="5"/>
    <x v="16"/>
    <x v="16"/>
    <x v="268"/>
    <x v="268"/>
    <x v="268"/>
    <x v="268"/>
    <x v="268"/>
    <x v="268"/>
  </r>
  <r>
    <x v="268"/>
    <x v="241"/>
    <x v="4"/>
    <x v="241"/>
    <x v="0"/>
    <x v="237"/>
    <x v="235"/>
    <x v="19"/>
    <x v="0"/>
    <x v="3"/>
    <x v="7"/>
    <x v="11"/>
    <x v="0"/>
    <x v="4"/>
    <x v="8"/>
    <x v="1"/>
    <x v="269"/>
    <x v="269"/>
    <x v="268"/>
    <x v="268"/>
    <x v="268"/>
    <x v="1"/>
    <x v="69"/>
    <x v="0"/>
    <x v="64"/>
    <x v="11"/>
    <x v="11"/>
    <x v="269"/>
    <x v="269"/>
    <x v="269"/>
    <x v="269"/>
    <x v="269"/>
    <x v="269"/>
  </r>
  <r>
    <x v="269"/>
    <x v="242"/>
    <x v="11"/>
    <x v="242"/>
    <x v="3"/>
    <x v="238"/>
    <x v="236"/>
    <x v="22"/>
    <x v="0"/>
    <x v="2"/>
    <x v="5"/>
    <x v="10"/>
    <x v="0"/>
    <x v="4"/>
    <x v="1"/>
    <x v="6"/>
    <x v="270"/>
    <x v="270"/>
    <x v="269"/>
    <x v="269"/>
    <x v="269"/>
    <x v="0"/>
    <x v="61"/>
    <x v="0"/>
    <x v="57"/>
    <x v="30"/>
    <x v="30"/>
    <x v="270"/>
    <x v="270"/>
    <x v="270"/>
    <x v="270"/>
    <x v="270"/>
    <x v="270"/>
  </r>
  <r>
    <x v="270"/>
    <x v="243"/>
    <x v="2"/>
    <x v="243"/>
    <x v="0"/>
    <x v="239"/>
    <x v="237"/>
    <x v="5"/>
    <x v="0"/>
    <x v="1"/>
    <x v="4"/>
    <x v="18"/>
    <x v="4"/>
    <x v="4"/>
    <x v="7"/>
    <x v="5"/>
    <x v="271"/>
    <x v="271"/>
    <x v="270"/>
    <x v="270"/>
    <x v="270"/>
    <x v="0"/>
    <x v="155"/>
    <x v="0"/>
    <x v="143"/>
    <x v="13"/>
    <x v="13"/>
    <x v="271"/>
    <x v="271"/>
    <x v="271"/>
    <x v="271"/>
    <x v="271"/>
    <x v="271"/>
  </r>
  <r>
    <x v="271"/>
    <x v="244"/>
    <x v="0"/>
    <x v="244"/>
    <x v="0"/>
    <x v="240"/>
    <x v="238"/>
    <x v="13"/>
    <x v="0"/>
    <x v="3"/>
    <x v="6"/>
    <x v="37"/>
    <x v="1"/>
    <x v="4"/>
    <x v="10"/>
    <x v="5"/>
    <x v="272"/>
    <x v="272"/>
    <x v="271"/>
    <x v="271"/>
    <x v="271"/>
    <x v="1"/>
    <x v="23"/>
    <x v="0"/>
    <x v="23"/>
    <x v="12"/>
    <x v="12"/>
    <x v="272"/>
    <x v="272"/>
    <x v="272"/>
    <x v="272"/>
    <x v="272"/>
    <x v="272"/>
  </r>
  <r>
    <x v="272"/>
    <x v="245"/>
    <x v="8"/>
    <x v="245"/>
    <x v="3"/>
    <x v="241"/>
    <x v="239"/>
    <x v="8"/>
    <x v="0"/>
    <x v="2"/>
    <x v="3"/>
    <x v="19"/>
    <x v="1"/>
    <x v="4"/>
    <x v="0"/>
    <x v="5"/>
    <x v="273"/>
    <x v="273"/>
    <x v="272"/>
    <x v="272"/>
    <x v="272"/>
    <x v="2"/>
    <x v="156"/>
    <x v="0"/>
    <x v="144"/>
    <x v="10"/>
    <x v="10"/>
    <x v="273"/>
    <x v="273"/>
    <x v="273"/>
    <x v="273"/>
    <x v="273"/>
    <x v="273"/>
  </r>
  <r>
    <x v="273"/>
    <x v="246"/>
    <x v="0"/>
    <x v="246"/>
    <x v="0"/>
    <x v="242"/>
    <x v="240"/>
    <x v="27"/>
    <x v="0"/>
    <x v="3"/>
    <x v="7"/>
    <x v="28"/>
    <x v="4"/>
    <x v="1"/>
    <x v="11"/>
    <x v="1"/>
    <x v="274"/>
    <x v="274"/>
    <x v="273"/>
    <x v="273"/>
    <x v="273"/>
    <x v="0"/>
    <x v="157"/>
    <x v="0"/>
    <x v="145"/>
    <x v="42"/>
    <x v="42"/>
    <x v="274"/>
    <x v="274"/>
    <x v="274"/>
    <x v="274"/>
    <x v="274"/>
    <x v="274"/>
  </r>
  <r>
    <x v="274"/>
    <x v="247"/>
    <x v="4"/>
    <x v="247"/>
    <x v="0"/>
    <x v="243"/>
    <x v="241"/>
    <x v="24"/>
    <x v="1"/>
    <x v="2"/>
    <x v="5"/>
    <x v="8"/>
    <x v="2"/>
    <x v="2"/>
    <x v="13"/>
    <x v="4"/>
    <x v="275"/>
    <x v="275"/>
    <x v="274"/>
    <x v="274"/>
    <x v="274"/>
    <x v="2"/>
    <x v="157"/>
    <x v="0"/>
    <x v="145"/>
    <x v="8"/>
    <x v="8"/>
    <x v="275"/>
    <x v="275"/>
    <x v="275"/>
    <x v="275"/>
    <x v="275"/>
    <x v="275"/>
  </r>
  <r>
    <x v="275"/>
    <x v="248"/>
    <x v="0"/>
    <x v="248"/>
    <x v="0"/>
    <x v="244"/>
    <x v="242"/>
    <x v="14"/>
    <x v="0"/>
    <x v="2"/>
    <x v="10"/>
    <x v="24"/>
    <x v="4"/>
    <x v="4"/>
    <x v="7"/>
    <x v="2"/>
    <x v="276"/>
    <x v="276"/>
    <x v="275"/>
    <x v="275"/>
    <x v="275"/>
    <x v="2"/>
    <x v="158"/>
    <x v="0"/>
    <x v="146"/>
    <x v="26"/>
    <x v="26"/>
    <x v="276"/>
    <x v="276"/>
    <x v="276"/>
    <x v="276"/>
    <x v="276"/>
    <x v="276"/>
  </r>
  <r>
    <x v="276"/>
    <x v="35"/>
    <x v="9"/>
    <x v="35"/>
    <x v="2"/>
    <x v="245"/>
    <x v="243"/>
    <x v="8"/>
    <x v="0"/>
    <x v="3"/>
    <x v="6"/>
    <x v="9"/>
    <x v="0"/>
    <x v="4"/>
    <x v="7"/>
    <x v="6"/>
    <x v="277"/>
    <x v="277"/>
    <x v="276"/>
    <x v="276"/>
    <x v="276"/>
    <x v="1"/>
    <x v="102"/>
    <x v="0"/>
    <x v="94"/>
    <x v="15"/>
    <x v="15"/>
    <x v="277"/>
    <x v="277"/>
    <x v="277"/>
    <x v="277"/>
    <x v="277"/>
    <x v="277"/>
  </r>
  <r>
    <x v="277"/>
    <x v="249"/>
    <x v="9"/>
    <x v="249"/>
    <x v="2"/>
    <x v="246"/>
    <x v="244"/>
    <x v="13"/>
    <x v="0"/>
    <x v="0"/>
    <x v="11"/>
    <x v="20"/>
    <x v="5"/>
    <x v="2"/>
    <x v="9"/>
    <x v="3"/>
    <x v="278"/>
    <x v="278"/>
    <x v="277"/>
    <x v="277"/>
    <x v="277"/>
    <x v="2"/>
    <x v="18"/>
    <x v="0"/>
    <x v="18"/>
    <x v="17"/>
    <x v="17"/>
    <x v="278"/>
    <x v="278"/>
    <x v="278"/>
    <x v="278"/>
    <x v="278"/>
    <x v="278"/>
  </r>
  <r>
    <x v="278"/>
    <x v="250"/>
    <x v="1"/>
    <x v="250"/>
    <x v="1"/>
    <x v="247"/>
    <x v="245"/>
    <x v="14"/>
    <x v="0"/>
    <x v="1"/>
    <x v="4"/>
    <x v="6"/>
    <x v="0"/>
    <x v="1"/>
    <x v="9"/>
    <x v="4"/>
    <x v="279"/>
    <x v="279"/>
    <x v="278"/>
    <x v="278"/>
    <x v="278"/>
    <x v="2"/>
    <x v="159"/>
    <x v="0"/>
    <x v="147"/>
    <x v="27"/>
    <x v="27"/>
    <x v="279"/>
    <x v="279"/>
    <x v="279"/>
    <x v="279"/>
    <x v="279"/>
    <x v="279"/>
  </r>
  <r>
    <x v="279"/>
    <x v="251"/>
    <x v="9"/>
    <x v="251"/>
    <x v="2"/>
    <x v="90"/>
    <x v="246"/>
    <x v="11"/>
    <x v="0"/>
    <x v="2"/>
    <x v="10"/>
    <x v="24"/>
    <x v="3"/>
    <x v="3"/>
    <x v="7"/>
    <x v="5"/>
    <x v="280"/>
    <x v="280"/>
    <x v="279"/>
    <x v="279"/>
    <x v="279"/>
    <x v="2"/>
    <x v="0"/>
    <x v="0"/>
    <x v="0"/>
    <x v="0"/>
    <x v="0"/>
    <x v="280"/>
    <x v="280"/>
    <x v="280"/>
    <x v="280"/>
    <x v="280"/>
    <x v="280"/>
  </r>
  <r>
    <x v="280"/>
    <x v="252"/>
    <x v="0"/>
    <x v="252"/>
    <x v="0"/>
    <x v="248"/>
    <x v="247"/>
    <x v="14"/>
    <x v="0"/>
    <x v="1"/>
    <x v="2"/>
    <x v="27"/>
    <x v="2"/>
    <x v="4"/>
    <x v="10"/>
    <x v="2"/>
    <x v="281"/>
    <x v="281"/>
    <x v="280"/>
    <x v="280"/>
    <x v="280"/>
    <x v="2"/>
    <x v="160"/>
    <x v="1"/>
    <x v="33"/>
    <x v="5"/>
    <x v="5"/>
    <x v="281"/>
    <x v="281"/>
    <x v="281"/>
    <x v="281"/>
    <x v="281"/>
    <x v="281"/>
  </r>
  <r>
    <x v="281"/>
    <x v="183"/>
    <x v="11"/>
    <x v="183"/>
    <x v="3"/>
    <x v="136"/>
    <x v="135"/>
    <x v="23"/>
    <x v="0"/>
    <x v="0"/>
    <x v="0"/>
    <x v="2"/>
    <x v="4"/>
    <x v="0"/>
    <x v="13"/>
    <x v="3"/>
    <x v="282"/>
    <x v="282"/>
    <x v="281"/>
    <x v="281"/>
    <x v="281"/>
    <x v="0"/>
    <x v="5"/>
    <x v="0"/>
    <x v="5"/>
    <x v="8"/>
    <x v="8"/>
    <x v="282"/>
    <x v="282"/>
    <x v="282"/>
    <x v="282"/>
    <x v="282"/>
    <x v="282"/>
  </r>
  <r>
    <x v="282"/>
    <x v="253"/>
    <x v="5"/>
    <x v="253"/>
    <x v="2"/>
    <x v="249"/>
    <x v="19"/>
    <x v="22"/>
    <x v="0"/>
    <x v="1"/>
    <x v="4"/>
    <x v="6"/>
    <x v="0"/>
    <x v="3"/>
    <x v="5"/>
    <x v="4"/>
    <x v="283"/>
    <x v="283"/>
    <x v="282"/>
    <x v="282"/>
    <x v="282"/>
    <x v="1"/>
    <x v="60"/>
    <x v="0"/>
    <x v="56"/>
    <x v="2"/>
    <x v="2"/>
    <x v="283"/>
    <x v="283"/>
    <x v="283"/>
    <x v="283"/>
    <x v="283"/>
    <x v="283"/>
  </r>
  <r>
    <x v="283"/>
    <x v="94"/>
    <x v="4"/>
    <x v="94"/>
    <x v="0"/>
    <x v="250"/>
    <x v="248"/>
    <x v="20"/>
    <x v="0"/>
    <x v="3"/>
    <x v="6"/>
    <x v="37"/>
    <x v="1"/>
    <x v="4"/>
    <x v="5"/>
    <x v="4"/>
    <x v="284"/>
    <x v="284"/>
    <x v="283"/>
    <x v="283"/>
    <x v="283"/>
    <x v="1"/>
    <x v="131"/>
    <x v="0"/>
    <x v="122"/>
    <x v="2"/>
    <x v="2"/>
    <x v="284"/>
    <x v="284"/>
    <x v="284"/>
    <x v="284"/>
    <x v="284"/>
    <x v="284"/>
  </r>
  <r>
    <x v="284"/>
    <x v="87"/>
    <x v="9"/>
    <x v="87"/>
    <x v="2"/>
    <x v="172"/>
    <x v="172"/>
    <x v="29"/>
    <x v="0"/>
    <x v="1"/>
    <x v="2"/>
    <x v="32"/>
    <x v="3"/>
    <x v="2"/>
    <x v="1"/>
    <x v="3"/>
    <x v="285"/>
    <x v="285"/>
    <x v="284"/>
    <x v="284"/>
    <x v="284"/>
    <x v="0"/>
    <x v="97"/>
    <x v="1"/>
    <x v="91"/>
    <x v="5"/>
    <x v="5"/>
    <x v="285"/>
    <x v="285"/>
    <x v="285"/>
    <x v="285"/>
    <x v="285"/>
    <x v="285"/>
  </r>
  <r>
    <x v="285"/>
    <x v="254"/>
    <x v="7"/>
    <x v="254"/>
    <x v="2"/>
    <x v="251"/>
    <x v="249"/>
    <x v="26"/>
    <x v="0"/>
    <x v="3"/>
    <x v="6"/>
    <x v="22"/>
    <x v="3"/>
    <x v="2"/>
    <x v="9"/>
    <x v="3"/>
    <x v="286"/>
    <x v="286"/>
    <x v="285"/>
    <x v="285"/>
    <x v="285"/>
    <x v="0"/>
    <x v="61"/>
    <x v="0"/>
    <x v="57"/>
    <x v="16"/>
    <x v="16"/>
    <x v="286"/>
    <x v="286"/>
    <x v="286"/>
    <x v="286"/>
    <x v="286"/>
    <x v="286"/>
  </r>
  <r>
    <x v="286"/>
    <x v="255"/>
    <x v="6"/>
    <x v="255"/>
    <x v="3"/>
    <x v="252"/>
    <x v="250"/>
    <x v="18"/>
    <x v="1"/>
    <x v="1"/>
    <x v="4"/>
    <x v="29"/>
    <x v="1"/>
    <x v="3"/>
    <x v="5"/>
    <x v="2"/>
    <x v="287"/>
    <x v="287"/>
    <x v="286"/>
    <x v="286"/>
    <x v="286"/>
    <x v="2"/>
    <x v="61"/>
    <x v="0"/>
    <x v="57"/>
    <x v="0"/>
    <x v="0"/>
    <x v="287"/>
    <x v="287"/>
    <x v="287"/>
    <x v="287"/>
    <x v="287"/>
    <x v="287"/>
  </r>
  <r>
    <x v="287"/>
    <x v="10"/>
    <x v="4"/>
    <x v="10"/>
    <x v="0"/>
    <x v="253"/>
    <x v="251"/>
    <x v="24"/>
    <x v="1"/>
    <x v="0"/>
    <x v="11"/>
    <x v="33"/>
    <x v="3"/>
    <x v="4"/>
    <x v="9"/>
    <x v="6"/>
    <x v="288"/>
    <x v="288"/>
    <x v="287"/>
    <x v="287"/>
    <x v="287"/>
    <x v="1"/>
    <x v="72"/>
    <x v="0"/>
    <x v="67"/>
    <x v="7"/>
    <x v="7"/>
    <x v="288"/>
    <x v="288"/>
    <x v="288"/>
    <x v="288"/>
    <x v="288"/>
    <x v="288"/>
  </r>
  <r>
    <x v="288"/>
    <x v="256"/>
    <x v="8"/>
    <x v="256"/>
    <x v="3"/>
    <x v="254"/>
    <x v="252"/>
    <x v="20"/>
    <x v="0"/>
    <x v="0"/>
    <x v="11"/>
    <x v="20"/>
    <x v="4"/>
    <x v="0"/>
    <x v="4"/>
    <x v="0"/>
    <x v="289"/>
    <x v="289"/>
    <x v="288"/>
    <x v="288"/>
    <x v="288"/>
    <x v="1"/>
    <x v="98"/>
    <x v="0"/>
    <x v="92"/>
    <x v="20"/>
    <x v="20"/>
    <x v="289"/>
    <x v="289"/>
    <x v="289"/>
    <x v="289"/>
    <x v="289"/>
    <x v="289"/>
  </r>
  <r>
    <x v="289"/>
    <x v="257"/>
    <x v="11"/>
    <x v="257"/>
    <x v="3"/>
    <x v="255"/>
    <x v="253"/>
    <x v="1"/>
    <x v="1"/>
    <x v="0"/>
    <x v="1"/>
    <x v="1"/>
    <x v="4"/>
    <x v="0"/>
    <x v="8"/>
    <x v="6"/>
    <x v="290"/>
    <x v="290"/>
    <x v="289"/>
    <x v="289"/>
    <x v="289"/>
    <x v="1"/>
    <x v="34"/>
    <x v="0"/>
    <x v="34"/>
    <x v="7"/>
    <x v="7"/>
    <x v="290"/>
    <x v="290"/>
    <x v="290"/>
    <x v="290"/>
    <x v="290"/>
    <x v="290"/>
  </r>
  <r>
    <x v="290"/>
    <x v="258"/>
    <x v="0"/>
    <x v="258"/>
    <x v="0"/>
    <x v="256"/>
    <x v="254"/>
    <x v="11"/>
    <x v="0"/>
    <x v="2"/>
    <x v="5"/>
    <x v="8"/>
    <x v="2"/>
    <x v="4"/>
    <x v="4"/>
    <x v="1"/>
    <x v="291"/>
    <x v="291"/>
    <x v="290"/>
    <x v="290"/>
    <x v="290"/>
    <x v="0"/>
    <x v="161"/>
    <x v="0"/>
    <x v="148"/>
    <x v="21"/>
    <x v="21"/>
    <x v="291"/>
    <x v="291"/>
    <x v="291"/>
    <x v="291"/>
    <x v="291"/>
    <x v="291"/>
  </r>
  <r>
    <x v="291"/>
    <x v="259"/>
    <x v="1"/>
    <x v="259"/>
    <x v="1"/>
    <x v="257"/>
    <x v="255"/>
    <x v="6"/>
    <x v="0"/>
    <x v="3"/>
    <x v="8"/>
    <x v="21"/>
    <x v="2"/>
    <x v="4"/>
    <x v="8"/>
    <x v="6"/>
    <x v="292"/>
    <x v="292"/>
    <x v="291"/>
    <x v="291"/>
    <x v="291"/>
    <x v="2"/>
    <x v="162"/>
    <x v="1"/>
    <x v="149"/>
    <x v="16"/>
    <x v="16"/>
    <x v="292"/>
    <x v="292"/>
    <x v="292"/>
    <x v="292"/>
    <x v="292"/>
    <x v="292"/>
  </r>
  <r>
    <x v="292"/>
    <x v="260"/>
    <x v="11"/>
    <x v="260"/>
    <x v="3"/>
    <x v="258"/>
    <x v="256"/>
    <x v="17"/>
    <x v="0"/>
    <x v="3"/>
    <x v="8"/>
    <x v="21"/>
    <x v="3"/>
    <x v="3"/>
    <x v="7"/>
    <x v="6"/>
    <x v="293"/>
    <x v="293"/>
    <x v="292"/>
    <x v="292"/>
    <x v="292"/>
    <x v="0"/>
    <x v="163"/>
    <x v="0"/>
    <x v="150"/>
    <x v="4"/>
    <x v="4"/>
    <x v="293"/>
    <x v="293"/>
    <x v="293"/>
    <x v="293"/>
    <x v="293"/>
    <x v="293"/>
  </r>
  <r>
    <x v="293"/>
    <x v="261"/>
    <x v="7"/>
    <x v="261"/>
    <x v="2"/>
    <x v="164"/>
    <x v="164"/>
    <x v="20"/>
    <x v="0"/>
    <x v="1"/>
    <x v="2"/>
    <x v="4"/>
    <x v="4"/>
    <x v="1"/>
    <x v="12"/>
    <x v="0"/>
    <x v="294"/>
    <x v="294"/>
    <x v="293"/>
    <x v="293"/>
    <x v="293"/>
    <x v="1"/>
    <x v="164"/>
    <x v="0"/>
    <x v="151"/>
    <x v="0"/>
    <x v="0"/>
    <x v="294"/>
    <x v="294"/>
    <x v="294"/>
    <x v="294"/>
    <x v="294"/>
    <x v="294"/>
  </r>
  <r>
    <x v="294"/>
    <x v="262"/>
    <x v="9"/>
    <x v="262"/>
    <x v="2"/>
    <x v="231"/>
    <x v="230"/>
    <x v="0"/>
    <x v="0"/>
    <x v="3"/>
    <x v="6"/>
    <x v="22"/>
    <x v="3"/>
    <x v="3"/>
    <x v="6"/>
    <x v="4"/>
    <x v="295"/>
    <x v="295"/>
    <x v="294"/>
    <x v="294"/>
    <x v="294"/>
    <x v="2"/>
    <x v="139"/>
    <x v="0"/>
    <x v="129"/>
    <x v="5"/>
    <x v="5"/>
    <x v="295"/>
    <x v="295"/>
    <x v="295"/>
    <x v="295"/>
    <x v="295"/>
    <x v="295"/>
  </r>
  <r>
    <x v="295"/>
    <x v="263"/>
    <x v="0"/>
    <x v="263"/>
    <x v="0"/>
    <x v="259"/>
    <x v="257"/>
    <x v="16"/>
    <x v="0"/>
    <x v="2"/>
    <x v="3"/>
    <x v="26"/>
    <x v="2"/>
    <x v="4"/>
    <x v="7"/>
    <x v="1"/>
    <x v="296"/>
    <x v="296"/>
    <x v="295"/>
    <x v="295"/>
    <x v="295"/>
    <x v="0"/>
    <x v="36"/>
    <x v="0"/>
    <x v="36"/>
    <x v="21"/>
    <x v="21"/>
    <x v="296"/>
    <x v="296"/>
    <x v="296"/>
    <x v="296"/>
    <x v="296"/>
    <x v="296"/>
  </r>
  <r>
    <x v="296"/>
    <x v="264"/>
    <x v="9"/>
    <x v="264"/>
    <x v="2"/>
    <x v="260"/>
    <x v="258"/>
    <x v="5"/>
    <x v="0"/>
    <x v="2"/>
    <x v="10"/>
    <x v="36"/>
    <x v="2"/>
    <x v="4"/>
    <x v="9"/>
    <x v="5"/>
    <x v="297"/>
    <x v="297"/>
    <x v="296"/>
    <x v="296"/>
    <x v="296"/>
    <x v="0"/>
    <x v="86"/>
    <x v="0"/>
    <x v="80"/>
    <x v="5"/>
    <x v="5"/>
    <x v="297"/>
    <x v="297"/>
    <x v="297"/>
    <x v="297"/>
    <x v="297"/>
    <x v="297"/>
  </r>
  <r>
    <x v="297"/>
    <x v="265"/>
    <x v="0"/>
    <x v="265"/>
    <x v="0"/>
    <x v="261"/>
    <x v="259"/>
    <x v="23"/>
    <x v="0"/>
    <x v="2"/>
    <x v="10"/>
    <x v="36"/>
    <x v="3"/>
    <x v="4"/>
    <x v="1"/>
    <x v="5"/>
    <x v="298"/>
    <x v="298"/>
    <x v="297"/>
    <x v="297"/>
    <x v="297"/>
    <x v="0"/>
    <x v="45"/>
    <x v="0"/>
    <x v="43"/>
    <x v="7"/>
    <x v="7"/>
    <x v="298"/>
    <x v="298"/>
    <x v="298"/>
    <x v="298"/>
    <x v="298"/>
    <x v="298"/>
  </r>
  <r>
    <x v="298"/>
    <x v="266"/>
    <x v="4"/>
    <x v="266"/>
    <x v="0"/>
    <x v="262"/>
    <x v="260"/>
    <x v="18"/>
    <x v="1"/>
    <x v="3"/>
    <x v="7"/>
    <x v="17"/>
    <x v="4"/>
    <x v="1"/>
    <x v="5"/>
    <x v="6"/>
    <x v="299"/>
    <x v="299"/>
    <x v="298"/>
    <x v="298"/>
    <x v="298"/>
    <x v="0"/>
    <x v="5"/>
    <x v="0"/>
    <x v="5"/>
    <x v="3"/>
    <x v="3"/>
    <x v="299"/>
    <x v="299"/>
    <x v="299"/>
    <x v="299"/>
    <x v="299"/>
    <x v="299"/>
  </r>
  <r>
    <x v="299"/>
    <x v="267"/>
    <x v="5"/>
    <x v="267"/>
    <x v="2"/>
    <x v="218"/>
    <x v="217"/>
    <x v="13"/>
    <x v="0"/>
    <x v="2"/>
    <x v="3"/>
    <x v="26"/>
    <x v="1"/>
    <x v="4"/>
    <x v="0"/>
    <x v="0"/>
    <x v="300"/>
    <x v="300"/>
    <x v="299"/>
    <x v="299"/>
    <x v="299"/>
    <x v="1"/>
    <x v="121"/>
    <x v="0"/>
    <x v="112"/>
    <x v="14"/>
    <x v="14"/>
    <x v="300"/>
    <x v="300"/>
    <x v="300"/>
    <x v="300"/>
    <x v="300"/>
    <x v="300"/>
  </r>
  <r>
    <x v="300"/>
    <x v="231"/>
    <x v="1"/>
    <x v="231"/>
    <x v="1"/>
    <x v="263"/>
    <x v="261"/>
    <x v="0"/>
    <x v="0"/>
    <x v="1"/>
    <x v="9"/>
    <x v="23"/>
    <x v="3"/>
    <x v="5"/>
    <x v="1"/>
    <x v="1"/>
    <x v="301"/>
    <x v="301"/>
    <x v="300"/>
    <x v="300"/>
    <x v="300"/>
    <x v="1"/>
    <x v="7"/>
    <x v="0"/>
    <x v="7"/>
    <x v="0"/>
    <x v="0"/>
    <x v="301"/>
    <x v="301"/>
    <x v="301"/>
    <x v="301"/>
    <x v="301"/>
    <x v="301"/>
  </r>
  <r>
    <x v="301"/>
    <x v="256"/>
    <x v="8"/>
    <x v="256"/>
    <x v="3"/>
    <x v="264"/>
    <x v="262"/>
    <x v="3"/>
    <x v="1"/>
    <x v="2"/>
    <x v="5"/>
    <x v="8"/>
    <x v="3"/>
    <x v="4"/>
    <x v="9"/>
    <x v="2"/>
    <x v="302"/>
    <x v="302"/>
    <x v="301"/>
    <x v="301"/>
    <x v="301"/>
    <x v="2"/>
    <x v="31"/>
    <x v="0"/>
    <x v="31"/>
    <x v="3"/>
    <x v="3"/>
    <x v="302"/>
    <x v="302"/>
    <x v="302"/>
    <x v="302"/>
    <x v="302"/>
    <x v="302"/>
  </r>
  <r>
    <x v="302"/>
    <x v="268"/>
    <x v="9"/>
    <x v="268"/>
    <x v="2"/>
    <x v="265"/>
    <x v="263"/>
    <x v="12"/>
    <x v="0"/>
    <x v="3"/>
    <x v="8"/>
    <x v="21"/>
    <x v="1"/>
    <x v="4"/>
    <x v="8"/>
    <x v="3"/>
    <x v="303"/>
    <x v="303"/>
    <x v="302"/>
    <x v="302"/>
    <x v="302"/>
    <x v="1"/>
    <x v="155"/>
    <x v="0"/>
    <x v="143"/>
    <x v="11"/>
    <x v="11"/>
    <x v="303"/>
    <x v="303"/>
    <x v="303"/>
    <x v="303"/>
    <x v="303"/>
    <x v="303"/>
  </r>
  <r>
    <x v="303"/>
    <x v="269"/>
    <x v="9"/>
    <x v="269"/>
    <x v="2"/>
    <x v="266"/>
    <x v="264"/>
    <x v="25"/>
    <x v="1"/>
    <x v="0"/>
    <x v="0"/>
    <x v="0"/>
    <x v="4"/>
    <x v="4"/>
    <x v="1"/>
    <x v="4"/>
    <x v="304"/>
    <x v="304"/>
    <x v="303"/>
    <x v="303"/>
    <x v="303"/>
    <x v="0"/>
    <x v="164"/>
    <x v="0"/>
    <x v="151"/>
    <x v="2"/>
    <x v="2"/>
    <x v="304"/>
    <x v="304"/>
    <x v="304"/>
    <x v="304"/>
    <x v="304"/>
    <x v="304"/>
  </r>
  <r>
    <x v="304"/>
    <x v="69"/>
    <x v="7"/>
    <x v="69"/>
    <x v="2"/>
    <x v="267"/>
    <x v="265"/>
    <x v="4"/>
    <x v="1"/>
    <x v="3"/>
    <x v="7"/>
    <x v="17"/>
    <x v="4"/>
    <x v="3"/>
    <x v="10"/>
    <x v="5"/>
    <x v="305"/>
    <x v="305"/>
    <x v="304"/>
    <x v="304"/>
    <x v="304"/>
    <x v="0"/>
    <x v="16"/>
    <x v="0"/>
    <x v="16"/>
    <x v="15"/>
    <x v="15"/>
    <x v="305"/>
    <x v="305"/>
    <x v="305"/>
    <x v="305"/>
    <x v="305"/>
    <x v="305"/>
  </r>
  <r>
    <x v="305"/>
    <x v="80"/>
    <x v="0"/>
    <x v="80"/>
    <x v="0"/>
    <x v="268"/>
    <x v="266"/>
    <x v="25"/>
    <x v="1"/>
    <x v="0"/>
    <x v="1"/>
    <x v="3"/>
    <x v="1"/>
    <x v="3"/>
    <x v="3"/>
    <x v="6"/>
    <x v="306"/>
    <x v="306"/>
    <x v="305"/>
    <x v="305"/>
    <x v="305"/>
    <x v="2"/>
    <x v="165"/>
    <x v="0"/>
    <x v="152"/>
    <x v="22"/>
    <x v="22"/>
    <x v="306"/>
    <x v="306"/>
    <x v="306"/>
    <x v="306"/>
    <x v="306"/>
    <x v="306"/>
  </r>
  <r>
    <x v="306"/>
    <x v="270"/>
    <x v="5"/>
    <x v="270"/>
    <x v="2"/>
    <x v="9"/>
    <x v="9"/>
    <x v="21"/>
    <x v="0"/>
    <x v="2"/>
    <x v="10"/>
    <x v="39"/>
    <x v="3"/>
    <x v="0"/>
    <x v="10"/>
    <x v="2"/>
    <x v="307"/>
    <x v="307"/>
    <x v="306"/>
    <x v="306"/>
    <x v="306"/>
    <x v="0"/>
    <x v="166"/>
    <x v="0"/>
    <x v="153"/>
    <x v="15"/>
    <x v="15"/>
    <x v="307"/>
    <x v="307"/>
    <x v="307"/>
    <x v="307"/>
    <x v="307"/>
    <x v="307"/>
  </r>
  <r>
    <x v="307"/>
    <x v="266"/>
    <x v="4"/>
    <x v="266"/>
    <x v="0"/>
    <x v="269"/>
    <x v="267"/>
    <x v="19"/>
    <x v="0"/>
    <x v="1"/>
    <x v="2"/>
    <x v="27"/>
    <x v="4"/>
    <x v="3"/>
    <x v="4"/>
    <x v="1"/>
    <x v="308"/>
    <x v="308"/>
    <x v="307"/>
    <x v="307"/>
    <x v="307"/>
    <x v="0"/>
    <x v="125"/>
    <x v="0"/>
    <x v="116"/>
    <x v="12"/>
    <x v="12"/>
    <x v="308"/>
    <x v="308"/>
    <x v="308"/>
    <x v="308"/>
    <x v="308"/>
    <x v="308"/>
  </r>
  <r>
    <x v="308"/>
    <x v="271"/>
    <x v="4"/>
    <x v="271"/>
    <x v="0"/>
    <x v="270"/>
    <x v="199"/>
    <x v="6"/>
    <x v="0"/>
    <x v="3"/>
    <x v="7"/>
    <x v="17"/>
    <x v="2"/>
    <x v="4"/>
    <x v="14"/>
    <x v="4"/>
    <x v="309"/>
    <x v="309"/>
    <x v="308"/>
    <x v="308"/>
    <x v="308"/>
    <x v="0"/>
    <x v="25"/>
    <x v="0"/>
    <x v="25"/>
    <x v="16"/>
    <x v="16"/>
    <x v="309"/>
    <x v="309"/>
    <x v="309"/>
    <x v="309"/>
    <x v="309"/>
    <x v="309"/>
  </r>
  <r>
    <x v="309"/>
    <x v="272"/>
    <x v="3"/>
    <x v="272"/>
    <x v="1"/>
    <x v="131"/>
    <x v="129"/>
    <x v="16"/>
    <x v="0"/>
    <x v="3"/>
    <x v="8"/>
    <x v="31"/>
    <x v="0"/>
    <x v="4"/>
    <x v="5"/>
    <x v="5"/>
    <x v="310"/>
    <x v="310"/>
    <x v="309"/>
    <x v="309"/>
    <x v="309"/>
    <x v="2"/>
    <x v="57"/>
    <x v="0"/>
    <x v="54"/>
    <x v="2"/>
    <x v="2"/>
    <x v="310"/>
    <x v="310"/>
    <x v="310"/>
    <x v="310"/>
    <x v="310"/>
    <x v="310"/>
  </r>
  <r>
    <x v="310"/>
    <x v="154"/>
    <x v="5"/>
    <x v="154"/>
    <x v="2"/>
    <x v="65"/>
    <x v="65"/>
    <x v="16"/>
    <x v="0"/>
    <x v="2"/>
    <x v="5"/>
    <x v="30"/>
    <x v="2"/>
    <x v="1"/>
    <x v="2"/>
    <x v="2"/>
    <x v="311"/>
    <x v="311"/>
    <x v="310"/>
    <x v="310"/>
    <x v="310"/>
    <x v="0"/>
    <x v="107"/>
    <x v="0"/>
    <x v="99"/>
    <x v="13"/>
    <x v="13"/>
    <x v="311"/>
    <x v="311"/>
    <x v="311"/>
    <x v="311"/>
    <x v="311"/>
    <x v="311"/>
  </r>
  <r>
    <x v="311"/>
    <x v="87"/>
    <x v="9"/>
    <x v="87"/>
    <x v="2"/>
    <x v="271"/>
    <x v="89"/>
    <x v="1"/>
    <x v="1"/>
    <x v="2"/>
    <x v="3"/>
    <x v="5"/>
    <x v="2"/>
    <x v="0"/>
    <x v="12"/>
    <x v="6"/>
    <x v="312"/>
    <x v="312"/>
    <x v="311"/>
    <x v="311"/>
    <x v="311"/>
    <x v="0"/>
    <x v="167"/>
    <x v="0"/>
    <x v="154"/>
    <x v="4"/>
    <x v="4"/>
    <x v="312"/>
    <x v="312"/>
    <x v="312"/>
    <x v="312"/>
    <x v="312"/>
    <x v="312"/>
  </r>
  <r>
    <x v="312"/>
    <x v="273"/>
    <x v="10"/>
    <x v="273"/>
    <x v="1"/>
    <x v="272"/>
    <x v="268"/>
    <x v="25"/>
    <x v="1"/>
    <x v="3"/>
    <x v="8"/>
    <x v="21"/>
    <x v="0"/>
    <x v="0"/>
    <x v="12"/>
    <x v="1"/>
    <x v="313"/>
    <x v="313"/>
    <x v="312"/>
    <x v="312"/>
    <x v="312"/>
    <x v="1"/>
    <x v="5"/>
    <x v="0"/>
    <x v="5"/>
    <x v="19"/>
    <x v="19"/>
    <x v="313"/>
    <x v="313"/>
    <x v="313"/>
    <x v="313"/>
    <x v="313"/>
    <x v="313"/>
  </r>
  <r>
    <x v="313"/>
    <x v="274"/>
    <x v="9"/>
    <x v="274"/>
    <x v="2"/>
    <x v="273"/>
    <x v="269"/>
    <x v="12"/>
    <x v="0"/>
    <x v="0"/>
    <x v="11"/>
    <x v="25"/>
    <x v="1"/>
    <x v="3"/>
    <x v="10"/>
    <x v="5"/>
    <x v="314"/>
    <x v="314"/>
    <x v="313"/>
    <x v="313"/>
    <x v="313"/>
    <x v="0"/>
    <x v="8"/>
    <x v="0"/>
    <x v="8"/>
    <x v="5"/>
    <x v="5"/>
    <x v="314"/>
    <x v="314"/>
    <x v="314"/>
    <x v="314"/>
    <x v="314"/>
    <x v="314"/>
  </r>
  <r>
    <x v="314"/>
    <x v="262"/>
    <x v="9"/>
    <x v="262"/>
    <x v="2"/>
    <x v="274"/>
    <x v="270"/>
    <x v="15"/>
    <x v="1"/>
    <x v="3"/>
    <x v="7"/>
    <x v="28"/>
    <x v="3"/>
    <x v="3"/>
    <x v="3"/>
    <x v="0"/>
    <x v="315"/>
    <x v="315"/>
    <x v="314"/>
    <x v="314"/>
    <x v="314"/>
    <x v="0"/>
    <x v="168"/>
    <x v="0"/>
    <x v="155"/>
    <x v="20"/>
    <x v="20"/>
    <x v="315"/>
    <x v="315"/>
    <x v="315"/>
    <x v="315"/>
    <x v="315"/>
    <x v="315"/>
  </r>
  <r>
    <x v="315"/>
    <x v="275"/>
    <x v="5"/>
    <x v="275"/>
    <x v="2"/>
    <x v="28"/>
    <x v="28"/>
    <x v="11"/>
    <x v="0"/>
    <x v="1"/>
    <x v="2"/>
    <x v="4"/>
    <x v="5"/>
    <x v="2"/>
    <x v="5"/>
    <x v="3"/>
    <x v="316"/>
    <x v="316"/>
    <x v="315"/>
    <x v="315"/>
    <x v="315"/>
    <x v="0"/>
    <x v="169"/>
    <x v="0"/>
    <x v="156"/>
    <x v="3"/>
    <x v="3"/>
    <x v="316"/>
    <x v="316"/>
    <x v="316"/>
    <x v="316"/>
    <x v="316"/>
    <x v="316"/>
  </r>
  <r>
    <x v="316"/>
    <x v="276"/>
    <x v="10"/>
    <x v="276"/>
    <x v="1"/>
    <x v="275"/>
    <x v="271"/>
    <x v="12"/>
    <x v="0"/>
    <x v="2"/>
    <x v="5"/>
    <x v="8"/>
    <x v="5"/>
    <x v="4"/>
    <x v="11"/>
    <x v="2"/>
    <x v="317"/>
    <x v="317"/>
    <x v="316"/>
    <x v="316"/>
    <x v="316"/>
    <x v="1"/>
    <x v="43"/>
    <x v="0"/>
    <x v="41"/>
    <x v="4"/>
    <x v="4"/>
    <x v="317"/>
    <x v="317"/>
    <x v="317"/>
    <x v="317"/>
    <x v="317"/>
    <x v="317"/>
  </r>
  <r>
    <x v="317"/>
    <x v="277"/>
    <x v="7"/>
    <x v="277"/>
    <x v="2"/>
    <x v="276"/>
    <x v="272"/>
    <x v="0"/>
    <x v="0"/>
    <x v="2"/>
    <x v="10"/>
    <x v="24"/>
    <x v="0"/>
    <x v="4"/>
    <x v="2"/>
    <x v="5"/>
    <x v="318"/>
    <x v="318"/>
    <x v="317"/>
    <x v="317"/>
    <x v="317"/>
    <x v="0"/>
    <x v="170"/>
    <x v="0"/>
    <x v="157"/>
    <x v="20"/>
    <x v="20"/>
    <x v="318"/>
    <x v="318"/>
    <x v="318"/>
    <x v="318"/>
    <x v="318"/>
    <x v="318"/>
  </r>
  <r>
    <x v="318"/>
    <x v="278"/>
    <x v="0"/>
    <x v="278"/>
    <x v="0"/>
    <x v="277"/>
    <x v="273"/>
    <x v="20"/>
    <x v="0"/>
    <x v="0"/>
    <x v="0"/>
    <x v="13"/>
    <x v="4"/>
    <x v="0"/>
    <x v="0"/>
    <x v="6"/>
    <x v="319"/>
    <x v="319"/>
    <x v="318"/>
    <x v="318"/>
    <x v="318"/>
    <x v="1"/>
    <x v="102"/>
    <x v="0"/>
    <x v="94"/>
    <x v="43"/>
    <x v="43"/>
    <x v="319"/>
    <x v="319"/>
    <x v="319"/>
    <x v="319"/>
    <x v="319"/>
    <x v="319"/>
  </r>
  <r>
    <x v="319"/>
    <x v="91"/>
    <x v="5"/>
    <x v="91"/>
    <x v="2"/>
    <x v="278"/>
    <x v="274"/>
    <x v="28"/>
    <x v="0"/>
    <x v="3"/>
    <x v="6"/>
    <x v="37"/>
    <x v="4"/>
    <x v="1"/>
    <x v="6"/>
    <x v="3"/>
    <x v="320"/>
    <x v="320"/>
    <x v="319"/>
    <x v="319"/>
    <x v="319"/>
    <x v="2"/>
    <x v="171"/>
    <x v="0"/>
    <x v="158"/>
    <x v="11"/>
    <x v="11"/>
    <x v="320"/>
    <x v="320"/>
    <x v="320"/>
    <x v="320"/>
    <x v="320"/>
    <x v="320"/>
  </r>
  <r>
    <x v="320"/>
    <x v="279"/>
    <x v="4"/>
    <x v="279"/>
    <x v="0"/>
    <x v="236"/>
    <x v="275"/>
    <x v="1"/>
    <x v="1"/>
    <x v="2"/>
    <x v="10"/>
    <x v="15"/>
    <x v="1"/>
    <x v="2"/>
    <x v="5"/>
    <x v="2"/>
    <x v="321"/>
    <x v="321"/>
    <x v="320"/>
    <x v="320"/>
    <x v="320"/>
    <x v="0"/>
    <x v="66"/>
    <x v="1"/>
    <x v="61"/>
    <x v="3"/>
    <x v="3"/>
    <x v="321"/>
    <x v="321"/>
    <x v="321"/>
    <x v="321"/>
    <x v="321"/>
    <x v="321"/>
  </r>
  <r>
    <x v="321"/>
    <x v="2"/>
    <x v="2"/>
    <x v="2"/>
    <x v="0"/>
    <x v="279"/>
    <x v="276"/>
    <x v="1"/>
    <x v="1"/>
    <x v="3"/>
    <x v="7"/>
    <x v="11"/>
    <x v="0"/>
    <x v="0"/>
    <x v="11"/>
    <x v="2"/>
    <x v="322"/>
    <x v="322"/>
    <x v="321"/>
    <x v="321"/>
    <x v="321"/>
    <x v="2"/>
    <x v="172"/>
    <x v="0"/>
    <x v="159"/>
    <x v="16"/>
    <x v="16"/>
    <x v="322"/>
    <x v="322"/>
    <x v="322"/>
    <x v="322"/>
    <x v="322"/>
    <x v="322"/>
  </r>
  <r>
    <x v="322"/>
    <x v="142"/>
    <x v="2"/>
    <x v="142"/>
    <x v="0"/>
    <x v="280"/>
    <x v="277"/>
    <x v="21"/>
    <x v="0"/>
    <x v="2"/>
    <x v="5"/>
    <x v="8"/>
    <x v="3"/>
    <x v="1"/>
    <x v="8"/>
    <x v="0"/>
    <x v="323"/>
    <x v="323"/>
    <x v="322"/>
    <x v="322"/>
    <x v="322"/>
    <x v="0"/>
    <x v="166"/>
    <x v="0"/>
    <x v="153"/>
    <x v="20"/>
    <x v="20"/>
    <x v="323"/>
    <x v="323"/>
    <x v="323"/>
    <x v="323"/>
    <x v="323"/>
    <x v="323"/>
  </r>
  <r>
    <x v="323"/>
    <x v="191"/>
    <x v="6"/>
    <x v="191"/>
    <x v="3"/>
    <x v="234"/>
    <x v="233"/>
    <x v="10"/>
    <x v="0"/>
    <x v="2"/>
    <x v="5"/>
    <x v="8"/>
    <x v="1"/>
    <x v="4"/>
    <x v="1"/>
    <x v="0"/>
    <x v="324"/>
    <x v="324"/>
    <x v="323"/>
    <x v="323"/>
    <x v="323"/>
    <x v="2"/>
    <x v="130"/>
    <x v="0"/>
    <x v="121"/>
    <x v="21"/>
    <x v="21"/>
    <x v="324"/>
    <x v="324"/>
    <x v="324"/>
    <x v="324"/>
    <x v="324"/>
    <x v="324"/>
  </r>
  <r>
    <x v="324"/>
    <x v="239"/>
    <x v="5"/>
    <x v="239"/>
    <x v="2"/>
    <x v="281"/>
    <x v="278"/>
    <x v="21"/>
    <x v="0"/>
    <x v="0"/>
    <x v="11"/>
    <x v="25"/>
    <x v="1"/>
    <x v="3"/>
    <x v="11"/>
    <x v="6"/>
    <x v="325"/>
    <x v="325"/>
    <x v="324"/>
    <x v="324"/>
    <x v="324"/>
    <x v="1"/>
    <x v="173"/>
    <x v="0"/>
    <x v="160"/>
    <x v="2"/>
    <x v="2"/>
    <x v="325"/>
    <x v="325"/>
    <x v="325"/>
    <x v="325"/>
    <x v="325"/>
    <x v="325"/>
  </r>
  <r>
    <x v="325"/>
    <x v="182"/>
    <x v="4"/>
    <x v="182"/>
    <x v="0"/>
    <x v="186"/>
    <x v="186"/>
    <x v="13"/>
    <x v="0"/>
    <x v="1"/>
    <x v="4"/>
    <x v="34"/>
    <x v="4"/>
    <x v="4"/>
    <x v="5"/>
    <x v="0"/>
    <x v="326"/>
    <x v="326"/>
    <x v="325"/>
    <x v="325"/>
    <x v="325"/>
    <x v="0"/>
    <x v="174"/>
    <x v="0"/>
    <x v="161"/>
    <x v="6"/>
    <x v="6"/>
    <x v="326"/>
    <x v="326"/>
    <x v="326"/>
    <x v="326"/>
    <x v="326"/>
    <x v="326"/>
  </r>
  <r>
    <x v="326"/>
    <x v="280"/>
    <x v="9"/>
    <x v="280"/>
    <x v="2"/>
    <x v="282"/>
    <x v="279"/>
    <x v="11"/>
    <x v="0"/>
    <x v="0"/>
    <x v="0"/>
    <x v="16"/>
    <x v="5"/>
    <x v="4"/>
    <x v="10"/>
    <x v="3"/>
    <x v="327"/>
    <x v="327"/>
    <x v="326"/>
    <x v="326"/>
    <x v="326"/>
    <x v="1"/>
    <x v="14"/>
    <x v="0"/>
    <x v="14"/>
    <x v="28"/>
    <x v="28"/>
    <x v="327"/>
    <x v="327"/>
    <x v="327"/>
    <x v="327"/>
    <x v="327"/>
    <x v="327"/>
  </r>
  <r>
    <x v="327"/>
    <x v="281"/>
    <x v="5"/>
    <x v="281"/>
    <x v="2"/>
    <x v="283"/>
    <x v="280"/>
    <x v="1"/>
    <x v="1"/>
    <x v="2"/>
    <x v="5"/>
    <x v="8"/>
    <x v="4"/>
    <x v="3"/>
    <x v="4"/>
    <x v="5"/>
    <x v="328"/>
    <x v="328"/>
    <x v="327"/>
    <x v="327"/>
    <x v="327"/>
    <x v="1"/>
    <x v="175"/>
    <x v="1"/>
    <x v="33"/>
    <x v="11"/>
    <x v="11"/>
    <x v="328"/>
    <x v="328"/>
    <x v="328"/>
    <x v="328"/>
    <x v="328"/>
    <x v="328"/>
  </r>
  <r>
    <x v="328"/>
    <x v="282"/>
    <x v="1"/>
    <x v="282"/>
    <x v="1"/>
    <x v="284"/>
    <x v="281"/>
    <x v="2"/>
    <x v="0"/>
    <x v="2"/>
    <x v="3"/>
    <x v="5"/>
    <x v="4"/>
    <x v="2"/>
    <x v="2"/>
    <x v="4"/>
    <x v="329"/>
    <x v="329"/>
    <x v="328"/>
    <x v="328"/>
    <x v="328"/>
    <x v="2"/>
    <x v="47"/>
    <x v="0"/>
    <x v="45"/>
    <x v="21"/>
    <x v="21"/>
    <x v="329"/>
    <x v="329"/>
    <x v="329"/>
    <x v="329"/>
    <x v="329"/>
    <x v="329"/>
  </r>
  <r>
    <x v="329"/>
    <x v="283"/>
    <x v="4"/>
    <x v="283"/>
    <x v="0"/>
    <x v="11"/>
    <x v="11"/>
    <x v="7"/>
    <x v="0"/>
    <x v="2"/>
    <x v="10"/>
    <x v="36"/>
    <x v="3"/>
    <x v="3"/>
    <x v="10"/>
    <x v="3"/>
    <x v="330"/>
    <x v="330"/>
    <x v="329"/>
    <x v="329"/>
    <x v="329"/>
    <x v="0"/>
    <x v="176"/>
    <x v="0"/>
    <x v="162"/>
    <x v="2"/>
    <x v="2"/>
    <x v="330"/>
    <x v="330"/>
    <x v="330"/>
    <x v="330"/>
    <x v="330"/>
    <x v="330"/>
  </r>
  <r>
    <x v="330"/>
    <x v="284"/>
    <x v="6"/>
    <x v="284"/>
    <x v="3"/>
    <x v="285"/>
    <x v="282"/>
    <x v="7"/>
    <x v="0"/>
    <x v="3"/>
    <x v="8"/>
    <x v="21"/>
    <x v="4"/>
    <x v="4"/>
    <x v="13"/>
    <x v="2"/>
    <x v="331"/>
    <x v="331"/>
    <x v="330"/>
    <x v="330"/>
    <x v="330"/>
    <x v="0"/>
    <x v="177"/>
    <x v="1"/>
    <x v="163"/>
    <x v="20"/>
    <x v="20"/>
    <x v="331"/>
    <x v="331"/>
    <x v="331"/>
    <x v="331"/>
    <x v="331"/>
    <x v="331"/>
  </r>
  <r>
    <x v="331"/>
    <x v="52"/>
    <x v="11"/>
    <x v="52"/>
    <x v="3"/>
    <x v="286"/>
    <x v="283"/>
    <x v="3"/>
    <x v="1"/>
    <x v="1"/>
    <x v="4"/>
    <x v="18"/>
    <x v="4"/>
    <x v="2"/>
    <x v="4"/>
    <x v="6"/>
    <x v="332"/>
    <x v="332"/>
    <x v="331"/>
    <x v="331"/>
    <x v="331"/>
    <x v="2"/>
    <x v="178"/>
    <x v="1"/>
    <x v="33"/>
    <x v="6"/>
    <x v="6"/>
    <x v="332"/>
    <x v="332"/>
    <x v="332"/>
    <x v="332"/>
    <x v="332"/>
    <x v="332"/>
  </r>
  <r>
    <x v="332"/>
    <x v="285"/>
    <x v="10"/>
    <x v="285"/>
    <x v="1"/>
    <x v="287"/>
    <x v="284"/>
    <x v="28"/>
    <x v="0"/>
    <x v="3"/>
    <x v="8"/>
    <x v="31"/>
    <x v="1"/>
    <x v="4"/>
    <x v="10"/>
    <x v="6"/>
    <x v="333"/>
    <x v="333"/>
    <x v="332"/>
    <x v="332"/>
    <x v="332"/>
    <x v="1"/>
    <x v="179"/>
    <x v="0"/>
    <x v="164"/>
    <x v="27"/>
    <x v="27"/>
    <x v="333"/>
    <x v="333"/>
    <x v="333"/>
    <x v="333"/>
    <x v="333"/>
    <x v="333"/>
  </r>
  <r>
    <x v="333"/>
    <x v="60"/>
    <x v="7"/>
    <x v="60"/>
    <x v="2"/>
    <x v="218"/>
    <x v="217"/>
    <x v="17"/>
    <x v="0"/>
    <x v="1"/>
    <x v="4"/>
    <x v="35"/>
    <x v="5"/>
    <x v="2"/>
    <x v="10"/>
    <x v="3"/>
    <x v="334"/>
    <x v="334"/>
    <x v="333"/>
    <x v="333"/>
    <x v="333"/>
    <x v="1"/>
    <x v="180"/>
    <x v="0"/>
    <x v="165"/>
    <x v="27"/>
    <x v="27"/>
    <x v="334"/>
    <x v="334"/>
    <x v="334"/>
    <x v="334"/>
    <x v="334"/>
    <x v="334"/>
  </r>
  <r>
    <x v="334"/>
    <x v="286"/>
    <x v="7"/>
    <x v="286"/>
    <x v="2"/>
    <x v="288"/>
    <x v="285"/>
    <x v="26"/>
    <x v="0"/>
    <x v="3"/>
    <x v="7"/>
    <x v="17"/>
    <x v="3"/>
    <x v="1"/>
    <x v="6"/>
    <x v="1"/>
    <x v="335"/>
    <x v="335"/>
    <x v="334"/>
    <x v="334"/>
    <x v="334"/>
    <x v="2"/>
    <x v="181"/>
    <x v="0"/>
    <x v="166"/>
    <x v="5"/>
    <x v="5"/>
    <x v="335"/>
    <x v="335"/>
    <x v="335"/>
    <x v="335"/>
    <x v="335"/>
    <x v="335"/>
  </r>
  <r>
    <x v="335"/>
    <x v="287"/>
    <x v="8"/>
    <x v="287"/>
    <x v="3"/>
    <x v="224"/>
    <x v="223"/>
    <x v="8"/>
    <x v="0"/>
    <x v="1"/>
    <x v="9"/>
    <x v="14"/>
    <x v="3"/>
    <x v="1"/>
    <x v="3"/>
    <x v="3"/>
    <x v="336"/>
    <x v="336"/>
    <x v="335"/>
    <x v="335"/>
    <x v="335"/>
    <x v="1"/>
    <x v="72"/>
    <x v="0"/>
    <x v="67"/>
    <x v="3"/>
    <x v="3"/>
    <x v="336"/>
    <x v="336"/>
    <x v="336"/>
    <x v="336"/>
    <x v="336"/>
    <x v="336"/>
  </r>
  <r>
    <x v="336"/>
    <x v="142"/>
    <x v="2"/>
    <x v="142"/>
    <x v="0"/>
    <x v="182"/>
    <x v="182"/>
    <x v="16"/>
    <x v="0"/>
    <x v="2"/>
    <x v="5"/>
    <x v="35"/>
    <x v="5"/>
    <x v="3"/>
    <x v="8"/>
    <x v="1"/>
    <x v="337"/>
    <x v="337"/>
    <x v="336"/>
    <x v="336"/>
    <x v="336"/>
    <x v="1"/>
    <x v="182"/>
    <x v="1"/>
    <x v="167"/>
    <x v="18"/>
    <x v="18"/>
    <x v="337"/>
    <x v="337"/>
    <x v="337"/>
    <x v="337"/>
    <x v="337"/>
    <x v="337"/>
  </r>
  <r>
    <x v="337"/>
    <x v="288"/>
    <x v="8"/>
    <x v="288"/>
    <x v="3"/>
    <x v="254"/>
    <x v="252"/>
    <x v="12"/>
    <x v="0"/>
    <x v="0"/>
    <x v="1"/>
    <x v="1"/>
    <x v="0"/>
    <x v="3"/>
    <x v="2"/>
    <x v="6"/>
    <x v="338"/>
    <x v="338"/>
    <x v="337"/>
    <x v="337"/>
    <x v="337"/>
    <x v="0"/>
    <x v="183"/>
    <x v="1"/>
    <x v="168"/>
    <x v="0"/>
    <x v="0"/>
    <x v="338"/>
    <x v="338"/>
    <x v="338"/>
    <x v="338"/>
    <x v="338"/>
    <x v="338"/>
  </r>
  <r>
    <x v="338"/>
    <x v="289"/>
    <x v="8"/>
    <x v="289"/>
    <x v="3"/>
    <x v="172"/>
    <x v="172"/>
    <x v="1"/>
    <x v="1"/>
    <x v="0"/>
    <x v="11"/>
    <x v="25"/>
    <x v="5"/>
    <x v="2"/>
    <x v="15"/>
    <x v="5"/>
    <x v="339"/>
    <x v="339"/>
    <x v="338"/>
    <x v="338"/>
    <x v="338"/>
    <x v="1"/>
    <x v="184"/>
    <x v="1"/>
    <x v="33"/>
    <x v="12"/>
    <x v="12"/>
    <x v="339"/>
    <x v="339"/>
    <x v="339"/>
    <x v="339"/>
    <x v="339"/>
    <x v="339"/>
  </r>
  <r>
    <x v="339"/>
    <x v="245"/>
    <x v="8"/>
    <x v="245"/>
    <x v="3"/>
    <x v="289"/>
    <x v="286"/>
    <x v="0"/>
    <x v="0"/>
    <x v="0"/>
    <x v="0"/>
    <x v="2"/>
    <x v="5"/>
    <x v="3"/>
    <x v="12"/>
    <x v="6"/>
    <x v="340"/>
    <x v="340"/>
    <x v="339"/>
    <x v="339"/>
    <x v="339"/>
    <x v="1"/>
    <x v="185"/>
    <x v="1"/>
    <x v="33"/>
    <x v="22"/>
    <x v="22"/>
    <x v="340"/>
    <x v="340"/>
    <x v="340"/>
    <x v="340"/>
    <x v="340"/>
    <x v="340"/>
  </r>
  <r>
    <x v="340"/>
    <x v="290"/>
    <x v="7"/>
    <x v="290"/>
    <x v="2"/>
    <x v="290"/>
    <x v="287"/>
    <x v="1"/>
    <x v="1"/>
    <x v="2"/>
    <x v="10"/>
    <x v="24"/>
    <x v="1"/>
    <x v="2"/>
    <x v="3"/>
    <x v="2"/>
    <x v="341"/>
    <x v="341"/>
    <x v="340"/>
    <x v="340"/>
    <x v="340"/>
    <x v="0"/>
    <x v="186"/>
    <x v="1"/>
    <x v="33"/>
    <x v="3"/>
    <x v="3"/>
    <x v="341"/>
    <x v="341"/>
    <x v="341"/>
    <x v="341"/>
    <x v="341"/>
    <x v="341"/>
  </r>
  <r>
    <x v="341"/>
    <x v="291"/>
    <x v="1"/>
    <x v="291"/>
    <x v="1"/>
    <x v="291"/>
    <x v="288"/>
    <x v="30"/>
    <x v="1"/>
    <x v="0"/>
    <x v="0"/>
    <x v="2"/>
    <x v="0"/>
    <x v="3"/>
    <x v="12"/>
    <x v="1"/>
    <x v="342"/>
    <x v="342"/>
    <x v="341"/>
    <x v="341"/>
    <x v="341"/>
    <x v="2"/>
    <x v="5"/>
    <x v="0"/>
    <x v="5"/>
    <x v="21"/>
    <x v="21"/>
    <x v="342"/>
    <x v="342"/>
    <x v="342"/>
    <x v="342"/>
    <x v="342"/>
    <x v="342"/>
  </r>
  <r>
    <x v="342"/>
    <x v="292"/>
    <x v="2"/>
    <x v="292"/>
    <x v="0"/>
    <x v="146"/>
    <x v="146"/>
    <x v="12"/>
    <x v="0"/>
    <x v="1"/>
    <x v="4"/>
    <x v="18"/>
    <x v="4"/>
    <x v="2"/>
    <x v="9"/>
    <x v="3"/>
    <x v="343"/>
    <x v="343"/>
    <x v="342"/>
    <x v="342"/>
    <x v="342"/>
    <x v="2"/>
    <x v="187"/>
    <x v="1"/>
    <x v="33"/>
    <x v="8"/>
    <x v="8"/>
    <x v="343"/>
    <x v="343"/>
    <x v="343"/>
    <x v="343"/>
    <x v="343"/>
    <x v="343"/>
  </r>
  <r>
    <x v="343"/>
    <x v="293"/>
    <x v="8"/>
    <x v="293"/>
    <x v="3"/>
    <x v="292"/>
    <x v="289"/>
    <x v="1"/>
    <x v="1"/>
    <x v="1"/>
    <x v="2"/>
    <x v="32"/>
    <x v="4"/>
    <x v="2"/>
    <x v="9"/>
    <x v="2"/>
    <x v="344"/>
    <x v="344"/>
    <x v="343"/>
    <x v="343"/>
    <x v="343"/>
    <x v="0"/>
    <x v="88"/>
    <x v="0"/>
    <x v="82"/>
    <x v="16"/>
    <x v="16"/>
    <x v="344"/>
    <x v="344"/>
    <x v="344"/>
    <x v="344"/>
    <x v="344"/>
    <x v="344"/>
  </r>
  <r>
    <x v="344"/>
    <x v="294"/>
    <x v="3"/>
    <x v="294"/>
    <x v="1"/>
    <x v="293"/>
    <x v="290"/>
    <x v="13"/>
    <x v="0"/>
    <x v="1"/>
    <x v="2"/>
    <x v="32"/>
    <x v="4"/>
    <x v="4"/>
    <x v="13"/>
    <x v="4"/>
    <x v="345"/>
    <x v="345"/>
    <x v="344"/>
    <x v="344"/>
    <x v="344"/>
    <x v="2"/>
    <x v="113"/>
    <x v="0"/>
    <x v="105"/>
    <x v="27"/>
    <x v="27"/>
    <x v="345"/>
    <x v="345"/>
    <x v="345"/>
    <x v="345"/>
    <x v="345"/>
    <x v="345"/>
  </r>
  <r>
    <x v="345"/>
    <x v="19"/>
    <x v="8"/>
    <x v="19"/>
    <x v="3"/>
    <x v="294"/>
    <x v="291"/>
    <x v="11"/>
    <x v="0"/>
    <x v="2"/>
    <x v="3"/>
    <x v="19"/>
    <x v="3"/>
    <x v="4"/>
    <x v="1"/>
    <x v="6"/>
    <x v="346"/>
    <x v="346"/>
    <x v="345"/>
    <x v="345"/>
    <x v="345"/>
    <x v="2"/>
    <x v="172"/>
    <x v="0"/>
    <x v="159"/>
    <x v="44"/>
    <x v="44"/>
    <x v="346"/>
    <x v="346"/>
    <x v="346"/>
    <x v="346"/>
    <x v="346"/>
    <x v="346"/>
  </r>
  <r>
    <x v="346"/>
    <x v="177"/>
    <x v="5"/>
    <x v="177"/>
    <x v="2"/>
    <x v="295"/>
    <x v="292"/>
    <x v="7"/>
    <x v="0"/>
    <x v="0"/>
    <x v="1"/>
    <x v="7"/>
    <x v="4"/>
    <x v="2"/>
    <x v="1"/>
    <x v="3"/>
    <x v="347"/>
    <x v="347"/>
    <x v="346"/>
    <x v="346"/>
    <x v="346"/>
    <x v="0"/>
    <x v="5"/>
    <x v="0"/>
    <x v="5"/>
    <x v="4"/>
    <x v="4"/>
    <x v="347"/>
    <x v="347"/>
    <x v="347"/>
    <x v="347"/>
    <x v="347"/>
    <x v="347"/>
  </r>
  <r>
    <x v="347"/>
    <x v="295"/>
    <x v="3"/>
    <x v="295"/>
    <x v="1"/>
    <x v="296"/>
    <x v="293"/>
    <x v="12"/>
    <x v="0"/>
    <x v="0"/>
    <x v="1"/>
    <x v="35"/>
    <x v="0"/>
    <x v="2"/>
    <x v="11"/>
    <x v="0"/>
    <x v="348"/>
    <x v="348"/>
    <x v="347"/>
    <x v="347"/>
    <x v="347"/>
    <x v="2"/>
    <x v="41"/>
    <x v="0"/>
    <x v="39"/>
    <x v="13"/>
    <x v="13"/>
    <x v="348"/>
    <x v="348"/>
    <x v="348"/>
    <x v="348"/>
    <x v="348"/>
    <x v="348"/>
  </r>
  <r>
    <x v="348"/>
    <x v="296"/>
    <x v="9"/>
    <x v="296"/>
    <x v="2"/>
    <x v="228"/>
    <x v="227"/>
    <x v="5"/>
    <x v="0"/>
    <x v="1"/>
    <x v="4"/>
    <x v="18"/>
    <x v="3"/>
    <x v="2"/>
    <x v="4"/>
    <x v="4"/>
    <x v="349"/>
    <x v="349"/>
    <x v="348"/>
    <x v="348"/>
    <x v="348"/>
    <x v="2"/>
    <x v="139"/>
    <x v="0"/>
    <x v="129"/>
    <x v="8"/>
    <x v="8"/>
    <x v="349"/>
    <x v="349"/>
    <x v="349"/>
    <x v="349"/>
    <x v="349"/>
    <x v="349"/>
  </r>
  <r>
    <x v="349"/>
    <x v="29"/>
    <x v="2"/>
    <x v="29"/>
    <x v="0"/>
    <x v="297"/>
    <x v="294"/>
    <x v="19"/>
    <x v="0"/>
    <x v="3"/>
    <x v="8"/>
    <x v="31"/>
    <x v="4"/>
    <x v="4"/>
    <x v="0"/>
    <x v="1"/>
    <x v="350"/>
    <x v="350"/>
    <x v="349"/>
    <x v="349"/>
    <x v="349"/>
    <x v="0"/>
    <x v="70"/>
    <x v="0"/>
    <x v="65"/>
    <x v="21"/>
    <x v="21"/>
    <x v="350"/>
    <x v="350"/>
    <x v="350"/>
    <x v="350"/>
    <x v="350"/>
    <x v="350"/>
  </r>
  <r>
    <x v="350"/>
    <x v="297"/>
    <x v="3"/>
    <x v="297"/>
    <x v="1"/>
    <x v="298"/>
    <x v="295"/>
    <x v="16"/>
    <x v="0"/>
    <x v="3"/>
    <x v="6"/>
    <x v="37"/>
    <x v="1"/>
    <x v="4"/>
    <x v="13"/>
    <x v="5"/>
    <x v="351"/>
    <x v="351"/>
    <x v="350"/>
    <x v="350"/>
    <x v="350"/>
    <x v="1"/>
    <x v="139"/>
    <x v="0"/>
    <x v="129"/>
    <x v="17"/>
    <x v="17"/>
    <x v="351"/>
    <x v="351"/>
    <x v="351"/>
    <x v="351"/>
    <x v="351"/>
    <x v="351"/>
  </r>
  <r>
    <x v="351"/>
    <x v="289"/>
    <x v="8"/>
    <x v="289"/>
    <x v="3"/>
    <x v="138"/>
    <x v="137"/>
    <x v="18"/>
    <x v="1"/>
    <x v="0"/>
    <x v="1"/>
    <x v="3"/>
    <x v="1"/>
    <x v="0"/>
    <x v="2"/>
    <x v="6"/>
    <x v="352"/>
    <x v="352"/>
    <x v="351"/>
    <x v="351"/>
    <x v="351"/>
    <x v="1"/>
    <x v="188"/>
    <x v="0"/>
    <x v="169"/>
    <x v="14"/>
    <x v="14"/>
    <x v="352"/>
    <x v="352"/>
    <x v="352"/>
    <x v="352"/>
    <x v="352"/>
    <x v="352"/>
  </r>
  <r>
    <x v="352"/>
    <x v="298"/>
    <x v="11"/>
    <x v="298"/>
    <x v="3"/>
    <x v="299"/>
    <x v="296"/>
    <x v="7"/>
    <x v="0"/>
    <x v="1"/>
    <x v="2"/>
    <x v="4"/>
    <x v="4"/>
    <x v="0"/>
    <x v="10"/>
    <x v="2"/>
    <x v="353"/>
    <x v="353"/>
    <x v="352"/>
    <x v="352"/>
    <x v="352"/>
    <x v="2"/>
    <x v="94"/>
    <x v="0"/>
    <x v="88"/>
    <x v="10"/>
    <x v="10"/>
    <x v="353"/>
    <x v="353"/>
    <x v="353"/>
    <x v="353"/>
    <x v="353"/>
    <x v="353"/>
  </r>
  <r>
    <x v="353"/>
    <x v="299"/>
    <x v="10"/>
    <x v="299"/>
    <x v="1"/>
    <x v="300"/>
    <x v="297"/>
    <x v="6"/>
    <x v="0"/>
    <x v="2"/>
    <x v="5"/>
    <x v="30"/>
    <x v="2"/>
    <x v="3"/>
    <x v="1"/>
    <x v="1"/>
    <x v="354"/>
    <x v="354"/>
    <x v="353"/>
    <x v="353"/>
    <x v="353"/>
    <x v="0"/>
    <x v="137"/>
    <x v="0"/>
    <x v="127"/>
    <x v="11"/>
    <x v="11"/>
    <x v="354"/>
    <x v="354"/>
    <x v="354"/>
    <x v="354"/>
    <x v="354"/>
    <x v="354"/>
  </r>
  <r>
    <x v="354"/>
    <x v="300"/>
    <x v="4"/>
    <x v="300"/>
    <x v="0"/>
    <x v="243"/>
    <x v="241"/>
    <x v="0"/>
    <x v="0"/>
    <x v="3"/>
    <x v="8"/>
    <x v="31"/>
    <x v="1"/>
    <x v="3"/>
    <x v="14"/>
    <x v="6"/>
    <x v="355"/>
    <x v="355"/>
    <x v="354"/>
    <x v="354"/>
    <x v="354"/>
    <x v="1"/>
    <x v="150"/>
    <x v="0"/>
    <x v="139"/>
    <x v="42"/>
    <x v="42"/>
    <x v="355"/>
    <x v="355"/>
    <x v="355"/>
    <x v="355"/>
    <x v="355"/>
    <x v="355"/>
  </r>
  <r>
    <x v="355"/>
    <x v="301"/>
    <x v="11"/>
    <x v="301"/>
    <x v="3"/>
    <x v="233"/>
    <x v="232"/>
    <x v="27"/>
    <x v="0"/>
    <x v="2"/>
    <x v="5"/>
    <x v="8"/>
    <x v="2"/>
    <x v="4"/>
    <x v="9"/>
    <x v="1"/>
    <x v="356"/>
    <x v="356"/>
    <x v="355"/>
    <x v="355"/>
    <x v="355"/>
    <x v="2"/>
    <x v="5"/>
    <x v="0"/>
    <x v="5"/>
    <x v="7"/>
    <x v="7"/>
    <x v="356"/>
    <x v="356"/>
    <x v="356"/>
    <x v="356"/>
    <x v="356"/>
    <x v="356"/>
  </r>
  <r>
    <x v="356"/>
    <x v="149"/>
    <x v="7"/>
    <x v="149"/>
    <x v="2"/>
    <x v="301"/>
    <x v="298"/>
    <x v="5"/>
    <x v="0"/>
    <x v="2"/>
    <x v="5"/>
    <x v="10"/>
    <x v="4"/>
    <x v="3"/>
    <x v="5"/>
    <x v="2"/>
    <x v="357"/>
    <x v="357"/>
    <x v="356"/>
    <x v="356"/>
    <x v="356"/>
    <x v="2"/>
    <x v="189"/>
    <x v="0"/>
    <x v="170"/>
    <x v="19"/>
    <x v="19"/>
    <x v="357"/>
    <x v="357"/>
    <x v="357"/>
    <x v="357"/>
    <x v="357"/>
    <x v="357"/>
  </r>
  <r>
    <x v="357"/>
    <x v="302"/>
    <x v="10"/>
    <x v="302"/>
    <x v="1"/>
    <x v="302"/>
    <x v="299"/>
    <x v="7"/>
    <x v="0"/>
    <x v="1"/>
    <x v="9"/>
    <x v="23"/>
    <x v="0"/>
    <x v="3"/>
    <x v="8"/>
    <x v="6"/>
    <x v="358"/>
    <x v="358"/>
    <x v="357"/>
    <x v="357"/>
    <x v="357"/>
    <x v="0"/>
    <x v="5"/>
    <x v="0"/>
    <x v="5"/>
    <x v="27"/>
    <x v="27"/>
    <x v="358"/>
    <x v="358"/>
    <x v="358"/>
    <x v="358"/>
    <x v="358"/>
    <x v="358"/>
  </r>
  <r>
    <x v="358"/>
    <x v="303"/>
    <x v="4"/>
    <x v="303"/>
    <x v="0"/>
    <x v="303"/>
    <x v="300"/>
    <x v="12"/>
    <x v="0"/>
    <x v="0"/>
    <x v="11"/>
    <x v="33"/>
    <x v="2"/>
    <x v="3"/>
    <x v="4"/>
    <x v="1"/>
    <x v="359"/>
    <x v="359"/>
    <x v="358"/>
    <x v="358"/>
    <x v="358"/>
    <x v="1"/>
    <x v="166"/>
    <x v="0"/>
    <x v="153"/>
    <x v="20"/>
    <x v="20"/>
    <x v="359"/>
    <x v="359"/>
    <x v="359"/>
    <x v="359"/>
    <x v="359"/>
    <x v="359"/>
  </r>
  <r>
    <x v="359"/>
    <x v="304"/>
    <x v="9"/>
    <x v="304"/>
    <x v="2"/>
    <x v="304"/>
    <x v="301"/>
    <x v="24"/>
    <x v="1"/>
    <x v="3"/>
    <x v="8"/>
    <x v="12"/>
    <x v="4"/>
    <x v="2"/>
    <x v="4"/>
    <x v="6"/>
    <x v="360"/>
    <x v="360"/>
    <x v="359"/>
    <x v="359"/>
    <x v="359"/>
    <x v="2"/>
    <x v="46"/>
    <x v="0"/>
    <x v="44"/>
    <x v="22"/>
    <x v="22"/>
    <x v="360"/>
    <x v="360"/>
    <x v="360"/>
    <x v="360"/>
    <x v="360"/>
    <x v="360"/>
  </r>
  <r>
    <x v="360"/>
    <x v="305"/>
    <x v="9"/>
    <x v="305"/>
    <x v="2"/>
    <x v="35"/>
    <x v="36"/>
    <x v="14"/>
    <x v="0"/>
    <x v="3"/>
    <x v="8"/>
    <x v="12"/>
    <x v="2"/>
    <x v="2"/>
    <x v="14"/>
    <x v="3"/>
    <x v="361"/>
    <x v="361"/>
    <x v="360"/>
    <x v="360"/>
    <x v="360"/>
    <x v="0"/>
    <x v="117"/>
    <x v="0"/>
    <x v="108"/>
    <x v="20"/>
    <x v="20"/>
    <x v="361"/>
    <x v="361"/>
    <x v="361"/>
    <x v="361"/>
    <x v="361"/>
    <x v="361"/>
  </r>
  <r>
    <x v="361"/>
    <x v="306"/>
    <x v="8"/>
    <x v="306"/>
    <x v="3"/>
    <x v="260"/>
    <x v="258"/>
    <x v="1"/>
    <x v="1"/>
    <x v="0"/>
    <x v="1"/>
    <x v="1"/>
    <x v="0"/>
    <x v="0"/>
    <x v="8"/>
    <x v="4"/>
    <x v="362"/>
    <x v="362"/>
    <x v="361"/>
    <x v="361"/>
    <x v="361"/>
    <x v="2"/>
    <x v="170"/>
    <x v="0"/>
    <x v="157"/>
    <x v="36"/>
    <x v="36"/>
    <x v="362"/>
    <x v="362"/>
    <x v="362"/>
    <x v="362"/>
    <x v="362"/>
    <x v="362"/>
  </r>
  <r>
    <x v="362"/>
    <x v="307"/>
    <x v="0"/>
    <x v="307"/>
    <x v="0"/>
    <x v="221"/>
    <x v="220"/>
    <x v="13"/>
    <x v="0"/>
    <x v="1"/>
    <x v="9"/>
    <x v="14"/>
    <x v="5"/>
    <x v="1"/>
    <x v="11"/>
    <x v="5"/>
    <x v="363"/>
    <x v="363"/>
    <x v="362"/>
    <x v="362"/>
    <x v="362"/>
    <x v="1"/>
    <x v="190"/>
    <x v="1"/>
    <x v="33"/>
    <x v="0"/>
    <x v="0"/>
    <x v="363"/>
    <x v="363"/>
    <x v="363"/>
    <x v="363"/>
    <x v="363"/>
    <x v="363"/>
  </r>
  <r>
    <x v="363"/>
    <x v="308"/>
    <x v="9"/>
    <x v="308"/>
    <x v="2"/>
    <x v="305"/>
    <x v="302"/>
    <x v="20"/>
    <x v="0"/>
    <x v="3"/>
    <x v="8"/>
    <x v="12"/>
    <x v="0"/>
    <x v="4"/>
    <x v="11"/>
    <x v="1"/>
    <x v="364"/>
    <x v="364"/>
    <x v="363"/>
    <x v="363"/>
    <x v="363"/>
    <x v="0"/>
    <x v="191"/>
    <x v="0"/>
    <x v="171"/>
    <x v="14"/>
    <x v="14"/>
    <x v="364"/>
    <x v="364"/>
    <x v="364"/>
    <x v="364"/>
    <x v="364"/>
    <x v="364"/>
  </r>
  <r>
    <x v="364"/>
    <x v="309"/>
    <x v="0"/>
    <x v="309"/>
    <x v="0"/>
    <x v="306"/>
    <x v="303"/>
    <x v="6"/>
    <x v="0"/>
    <x v="1"/>
    <x v="2"/>
    <x v="27"/>
    <x v="4"/>
    <x v="3"/>
    <x v="6"/>
    <x v="0"/>
    <x v="365"/>
    <x v="365"/>
    <x v="364"/>
    <x v="364"/>
    <x v="364"/>
    <x v="1"/>
    <x v="99"/>
    <x v="0"/>
    <x v="93"/>
    <x v="7"/>
    <x v="7"/>
    <x v="365"/>
    <x v="365"/>
    <x v="365"/>
    <x v="365"/>
    <x v="365"/>
    <x v="365"/>
  </r>
  <r>
    <x v="365"/>
    <x v="101"/>
    <x v="9"/>
    <x v="101"/>
    <x v="2"/>
    <x v="307"/>
    <x v="304"/>
    <x v="19"/>
    <x v="0"/>
    <x v="0"/>
    <x v="0"/>
    <x v="13"/>
    <x v="1"/>
    <x v="1"/>
    <x v="7"/>
    <x v="3"/>
    <x v="366"/>
    <x v="366"/>
    <x v="365"/>
    <x v="365"/>
    <x v="365"/>
    <x v="2"/>
    <x v="98"/>
    <x v="0"/>
    <x v="92"/>
    <x v="15"/>
    <x v="15"/>
    <x v="366"/>
    <x v="366"/>
    <x v="366"/>
    <x v="366"/>
    <x v="366"/>
    <x v="366"/>
  </r>
  <r>
    <x v="366"/>
    <x v="310"/>
    <x v="0"/>
    <x v="310"/>
    <x v="0"/>
    <x v="248"/>
    <x v="247"/>
    <x v="16"/>
    <x v="0"/>
    <x v="1"/>
    <x v="4"/>
    <x v="29"/>
    <x v="5"/>
    <x v="4"/>
    <x v="0"/>
    <x v="0"/>
    <x v="367"/>
    <x v="367"/>
    <x v="366"/>
    <x v="366"/>
    <x v="366"/>
    <x v="2"/>
    <x v="52"/>
    <x v="0"/>
    <x v="49"/>
    <x v="0"/>
    <x v="0"/>
    <x v="367"/>
    <x v="367"/>
    <x v="367"/>
    <x v="367"/>
    <x v="367"/>
    <x v="367"/>
  </r>
  <r>
    <x v="367"/>
    <x v="199"/>
    <x v="6"/>
    <x v="199"/>
    <x v="3"/>
    <x v="308"/>
    <x v="305"/>
    <x v="16"/>
    <x v="0"/>
    <x v="2"/>
    <x v="10"/>
    <x v="39"/>
    <x v="4"/>
    <x v="2"/>
    <x v="1"/>
    <x v="4"/>
    <x v="368"/>
    <x v="368"/>
    <x v="367"/>
    <x v="367"/>
    <x v="367"/>
    <x v="2"/>
    <x v="192"/>
    <x v="0"/>
    <x v="172"/>
    <x v="27"/>
    <x v="27"/>
    <x v="368"/>
    <x v="368"/>
    <x v="368"/>
    <x v="368"/>
    <x v="368"/>
    <x v="368"/>
  </r>
  <r>
    <x v="368"/>
    <x v="35"/>
    <x v="9"/>
    <x v="35"/>
    <x v="2"/>
    <x v="216"/>
    <x v="216"/>
    <x v="10"/>
    <x v="0"/>
    <x v="2"/>
    <x v="3"/>
    <x v="26"/>
    <x v="2"/>
    <x v="2"/>
    <x v="2"/>
    <x v="1"/>
    <x v="369"/>
    <x v="369"/>
    <x v="368"/>
    <x v="368"/>
    <x v="368"/>
    <x v="0"/>
    <x v="158"/>
    <x v="0"/>
    <x v="146"/>
    <x v="13"/>
    <x v="13"/>
    <x v="369"/>
    <x v="369"/>
    <x v="369"/>
    <x v="369"/>
    <x v="369"/>
    <x v="369"/>
  </r>
  <r>
    <x v="369"/>
    <x v="311"/>
    <x v="3"/>
    <x v="311"/>
    <x v="1"/>
    <x v="309"/>
    <x v="306"/>
    <x v="11"/>
    <x v="0"/>
    <x v="3"/>
    <x v="7"/>
    <x v="17"/>
    <x v="4"/>
    <x v="0"/>
    <x v="12"/>
    <x v="4"/>
    <x v="370"/>
    <x v="370"/>
    <x v="369"/>
    <x v="369"/>
    <x v="369"/>
    <x v="0"/>
    <x v="193"/>
    <x v="0"/>
    <x v="173"/>
    <x v="8"/>
    <x v="8"/>
    <x v="370"/>
    <x v="370"/>
    <x v="370"/>
    <x v="370"/>
    <x v="370"/>
    <x v="370"/>
  </r>
  <r>
    <x v="370"/>
    <x v="312"/>
    <x v="2"/>
    <x v="312"/>
    <x v="0"/>
    <x v="174"/>
    <x v="174"/>
    <x v="20"/>
    <x v="0"/>
    <x v="2"/>
    <x v="10"/>
    <x v="36"/>
    <x v="2"/>
    <x v="3"/>
    <x v="4"/>
    <x v="3"/>
    <x v="371"/>
    <x v="371"/>
    <x v="370"/>
    <x v="370"/>
    <x v="370"/>
    <x v="1"/>
    <x v="5"/>
    <x v="0"/>
    <x v="5"/>
    <x v="21"/>
    <x v="21"/>
    <x v="371"/>
    <x v="371"/>
    <x v="371"/>
    <x v="371"/>
    <x v="371"/>
    <x v="371"/>
  </r>
  <r>
    <x v="371"/>
    <x v="89"/>
    <x v="7"/>
    <x v="89"/>
    <x v="2"/>
    <x v="310"/>
    <x v="307"/>
    <x v="24"/>
    <x v="1"/>
    <x v="0"/>
    <x v="1"/>
    <x v="7"/>
    <x v="4"/>
    <x v="2"/>
    <x v="11"/>
    <x v="5"/>
    <x v="372"/>
    <x v="372"/>
    <x v="371"/>
    <x v="371"/>
    <x v="371"/>
    <x v="1"/>
    <x v="105"/>
    <x v="0"/>
    <x v="97"/>
    <x v="9"/>
    <x v="9"/>
    <x v="372"/>
    <x v="372"/>
    <x v="372"/>
    <x v="372"/>
    <x v="372"/>
    <x v="372"/>
  </r>
  <r>
    <x v="372"/>
    <x v="254"/>
    <x v="7"/>
    <x v="254"/>
    <x v="2"/>
    <x v="311"/>
    <x v="308"/>
    <x v="30"/>
    <x v="1"/>
    <x v="3"/>
    <x v="8"/>
    <x v="12"/>
    <x v="2"/>
    <x v="4"/>
    <x v="13"/>
    <x v="1"/>
    <x v="373"/>
    <x v="373"/>
    <x v="372"/>
    <x v="372"/>
    <x v="372"/>
    <x v="0"/>
    <x v="76"/>
    <x v="0"/>
    <x v="71"/>
    <x v="17"/>
    <x v="17"/>
    <x v="373"/>
    <x v="373"/>
    <x v="373"/>
    <x v="373"/>
    <x v="373"/>
    <x v="373"/>
  </r>
  <r>
    <x v="373"/>
    <x v="313"/>
    <x v="5"/>
    <x v="313"/>
    <x v="2"/>
    <x v="102"/>
    <x v="101"/>
    <x v="23"/>
    <x v="0"/>
    <x v="2"/>
    <x v="10"/>
    <x v="36"/>
    <x v="2"/>
    <x v="1"/>
    <x v="0"/>
    <x v="3"/>
    <x v="374"/>
    <x v="374"/>
    <x v="373"/>
    <x v="373"/>
    <x v="373"/>
    <x v="2"/>
    <x v="194"/>
    <x v="1"/>
    <x v="33"/>
    <x v="2"/>
    <x v="2"/>
    <x v="374"/>
    <x v="374"/>
    <x v="374"/>
    <x v="374"/>
    <x v="374"/>
    <x v="374"/>
  </r>
  <r>
    <x v="374"/>
    <x v="314"/>
    <x v="0"/>
    <x v="314"/>
    <x v="0"/>
    <x v="312"/>
    <x v="309"/>
    <x v="12"/>
    <x v="0"/>
    <x v="1"/>
    <x v="9"/>
    <x v="38"/>
    <x v="3"/>
    <x v="3"/>
    <x v="3"/>
    <x v="3"/>
    <x v="375"/>
    <x v="375"/>
    <x v="374"/>
    <x v="374"/>
    <x v="374"/>
    <x v="1"/>
    <x v="96"/>
    <x v="0"/>
    <x v="90"/>
    <x v="45"/>
    <x v="45"/>
    <x v="375"/>
    <x v="375"/>
    <x v="375"/>
    <x v="375"/>
    <x v="375"/>
    <x v="375"/>
  </r>
  <r>
    <x v="375"/>
    <x v="232"/>
    <x v="9"/>
    <x v="232"/>
    <x v="2"/>
    <x v="313"/>
    <x v="310"/>
    <x v="16"/>
    <x v="0"/>
    <x v="1"/>
    <x v="9"/>
    <x v="23"/>
    <x v="4"/>
    <x v="2"/>
    <x v="4"/>
    <x v="2"/>
    <x v="376"/>
    <x v="376"/>
    <x v="375"/>
    <x v="375"/>
    <x v="375"/>
    <x v="2"/>
    <x v="74"/>
    <x v="0"/>
    <x v="69"/>
    <x v="3"/>
    <x v="3"/>
    <x v="376"/>
    <x v="376"/>
    <x v="376"/>
    <x v="376"/>
    <x v="376"/>
    <x v="376"/>
  </r>
  <r>
    <x v="376"/>
    <x v="315"/>
    <x v="0"/>
    <x v="315"/>
    <x v="0"/>
    <x v="314"/>
    <x v="311"/>
    <x v="21"/>
    <x v="0"/>
    <x v="0"/>
    <x v="11"/>
    <x v="25"/>
    <x v="4"/>
    <x v="0"/>
    <x v="8"/>
    <x v="0"/>
    <x v="377"/>
    <x v="377"/>
    <x v="376"/>
    <x v="376"/>
    <x v="376"/>
    <x v="1"/>
    <x v="23"/>
    <x v="0"/>
    <x v="23"/>
    <x v="21"/>
    <x v="21"/>
    <x v="377"/>
    <x v="377"/>
    <x v="377"/>
    <x v="377"/>
    <x v="377"/>
    <x v="377"/>
  </r>
  <r>
    <x v="377"/>
    <x v="316"/>
    <x v="4"/>
    <x v="316"/>
    <x v="0"/>
    <x v="315"/>
    <x v="312"/>
    <x v="19"/>
    <x v="0"/>
    <x v="0"/>
    <x v="11"/>
    <x v="33"/>
    <x v="0"/>
    <x v="4"/>
    <x v="11"/>
    <x v="2"/>
    <x v="378"/>
    <x v="378"/>
    <x v="377"/>
    <x v="377"/>
    <x v="377"/>
    <x v="1"/>
    <x v="77"/>
    <x v="0"/>
    <x v="72"/>
    <x v="5"/>
    <x v="5"/>
    <x v="378"/>
    <x v="378"/>
    <x v="378"/>
    <x v="378"/>
    <x v="378"/>
    <x v="378"/>
  </r>
  <r>
    <x v="378"/>
    <x v="317"/>
    <x v="2"/>
    <x v="317"/>
    <x v="0"/>
    <x v="97"/>
    <x v="96"/>
    <x v="26"/>
    <x v="0"/>
    <x v="2"/>
    <x v="5"/>
    <x v="8"/>
    <x v="2"/>
    <x v="3"/>
    <x v="9"/>
    <x v="2"/>
    <x v="379"/>
    <x v="379"/>
    <x v="378"/>
    <x v="378"/>
    <x v="378"/>
    <x v="2"/>
    <x v="195"/>
    <x v="0"/>
    <x v="174"/>
    <x v="7"/>
    <x v="7"/>
    <x v="379"/>
    <x v="379"/>
    <x v="379"/>
    <x v="379"/>
    <x v="379"/>
    <x v="379"/>
  </r>
  <r>
    <x v="379"/>
    <x v="318"/>
    <x v="4"/>
    <x v="318"/>
    <x v="0"/>
    <x v="316"/>
    <x v="313"/>
    <x v="13"/>
    <x v="0"/>
    <x v="3"/>
    <x v="8"/>
    <x v="21"/>
    <x v="5"/>
    <x v="0"/>
    <x v="10"/>
    <x v="0"/>
    <x v="78"/>
    <x v="380"/>
    <x v="379"/>
    <x v="379"/>
    <x v="379"/>
    <x v="0"/>
    <x v="196"/>
    <x v="0"/>
    <x v="175"/>
    <x v="30"/>
    <x v="30"/>
    <x v="380"/>
    <x v="380"/>
    <x v="380"/>
    <x v="380"/>
    <x v="380"/>
    <x v="380"/>
  </r>
  <r>
    <x v="380"/>
    <x v="83"/>
    <x v="11"/>
    <x v="83"/>
    <x v="3"/>
    <x v="317"/>
    <x v="314"/>
    <x v="17"/>
    <x v="0"/>
    <x v="2"/>
    <x v="3"/>
    <x v="19"/>
    <x v="1"/>
    <x v="4"/>
    <x v="12"/>
    <x v="2"/>
    <x v="380"/>
    <x v="381"/>
    <x v="380"/>
    <x v="380"/>
    <x v="380"/>
    <x v="1"/>
    <x v="166"/>
    <x v="0"/>
    <x v="153"/>
    <x v="16"/>
    <x v="16"/>
    <x v="381"/>
    <x v="381"/>
    <x v="381"/>
    <x v="381"/>
    <x v="381"/>
    <x v="381"/>
  </r>
  <r>
    <x v="381"/>
    <x v="319"/>
    <x v="8"/>
    <x v="319"/>
    <x v="3"/>
    <x v="318"/>
    <x v="315"/>
    <x v="2"/>
    <x v="0"/>
    <x v="3"/>
    <x v="8"/>
    <x v="12"/>
    <x v="1"/>
    <x v="1"/>
    <x v="2"/>
    <x v="1"/>
    <x v="381"/>
    <x v="382"/>
    <x v="381"/>
    <x v="381"/>
    <x v="381"/>
    <x v="1"/>
    <x v="117"/>
    <x v="0"/>
    <x v="108"/>
    <x v="12"/>
    <x v="12"/>
    <x v="382"/>
    <x v="382"/>
    <x v="382"/>
    <x v="382"/>
    <x v="382"/>
    <x v="382"/>
  </r>
  <r>
    <x v="382"/>
    <x v="264"/>
    <x v="9"/>
    <x v="264"/>
    <x v="2"/>
    <x v="260"/>
    <x v="258"/>
    <x v="5"/>
    <x v="0"/>
    <x v="2"/>
    <x v="10"/>
    <x v="39"/>
    <x v="3"/>
    <x v="2"/>
    <x v="7"/>
    <x v="2"/>
    <x v="382"/>
    <x v="383"/>
    <x v="382"/>
    <x v="382"/>
    <x v="382"/>
    <x v="1"/>
    <x v="168"/>
    <x v="0"/>
    <x v="155"/>
    <x v="39"/>
    <x v="39"/>
    <x v="383"/>
    <x v="383"/>
    <x v="383"/>
    <x v="383"/>
    <x v="383"/>
    <x v="383"/>
  </r>
  <r>
    <x v="383"/>
    <x v="320"/>
    <x v="8"/>
    <x v="320"/>
    <x v="3"/>
    <x v="319"/>
    <x v="316"/>
    <x v="8"/>
    <x v="0"/>
    <x v="3"/>
    <x v="7"/>
    <x v="11"/>
    <x v="0"/>
    <x v="0"/>
    <x v="9"/>
    <x v="5"/>
    <x v="383"/>
    <x v="384"/>
    <x v="383"/>
    <x v="383"/>
    <x v="383"/>
    <x v="1"/>
    <x v="193"/>
    <x v="0"/>
    <x v="173"/>
    <x v="7"/>
    <x v="7"/>
    <x v="384"/>
    <x v="384"/>
    <x v="384"/>
    <x v="384"/>
    <x v="384"/>
    <x v="384"/>
  </r>
  <r>
    <x v="384"/>
    <x v="72"/>
    <x v="5"/>
    <x v="72"/>
    <x v="2"/>
    <x v="114"/>
    <x v="112"/>
    <x v="17"/>
    <x v="0"/>
    <x v="1"/>
    <x v="4"/>
    <x v="18"/>
    <x v="2"/>
    <x v="2"/>
    <x v="10"/>
    <x v="4"/>
    <x v="384"/>
    <x v="385"/>
    <x v="384"/>
    <x v="384"/>
    <x v="384"/>
    <x v="1"/>
    <x v="197"/>
    <x v="0"/>
    <x v="176"/>
    <x v="1"/>
    <x v="1"/>
    <x v="385"/>
    <x v="385"/>
    <x v="385"/>
    <x v="385"/>
    <x v="385"/>
    <x v="385"/>
  </r>
  <r>
    <x v="385"/>
    <x v="321"/>
    <x v="5"/>
    <x v="321"/>
    <x v="2"/>
    <x v="320"/>
    <x v="280"/>
    <x v="16"/>
    <x v="0"/>
    <x v="1"/>
    <x v="4"/>
    <x v="34"/>
    <x v="0"/>
    <x v="2"/>
    <x v="3"/>
    <x v="1"/>
    <x v="385"/>
    <x v="386"/>
    <x v="385"/>
    <x v="385"/>
    <x v="385"/>
    <x v="0"/>
    <x v="67"/>
    <x v="0"/>
    <x v="62"/>
    <x v="7"/>
    <x v="7"/>
    <x v="386"/>
    <x v="386"/>
    <x v="386"/>
    <x v="386"/>
    <x v="386"/>
    <x v="386"/>
  </r>
  <r>
    <x v="386"/>
    <x v="322"/>
    <x v="5"/>
    <x v="322"/>
    <x v="2"/>
    <x v="321"/>
    <x v="317"/>
    <x v="15"/>
    <x v="1"/>
    <x v="0"/>
    <x v="1"/>
    <x v="7"/>
    <x v="2"/>
    <x v="3"/>
    <x v="4"/>
    <x v="4"/>
    <x v="386"/>
    <x v="387"/>
    <x v="386"/>
    <x v="386"/>
    <x v="386"/>
    <x v="1"/>
    <x v="110"/>
    <x v="0"/>
    <x v="102"/>
    <x v="16"/>
    <x v="16"/>
    <x v="387"/>
    <x v="387"/>
    <x v="387"/>
    <x v="387"/>
    <x v="387"/>
    <x v="387"/>
  </r>
  <r>
    <x v="387"/>
    <x v="323"/>
    <x v="6"/>
    <x v="323"/>
    <x v="3"/>
    <x v="322"/>
    <x v="318"/>
    <x v="4"/>
    <x v="1"/>
    <x v="1"/>
    <x v="9"/>
    <x v="38"/>
    <x v="2"/>
    <x v="0"/>
    <x v="1"/>
    <x v="4"/>
    <x v="387"/>
    <x v="388"/>
    <x v="387"/>
    <x v="387"/>
    <x v="387"/>
    <x v="1"/>
    <x v="6"/>
    <x v="0"/>
    <x v="6"/>
    <x v="17"/>
    <x v="17"/>
    <x v="388"/>
    <x v="388"/>
    <x v="388"/>
    <x v="388"/>
    <x v="388"/>
    <x v="388"/>
  </r>
  <r>
    <x v="388"/>
    <x v="324"/>
    <x v="1"/>
    <x v="324"/>
    <x v="1"/>
    <x v="323"/>
    <x v="319"/>
    <x v="23"/>
    <x v="0"/>
    <x v="0"/>
    <x v="11"/>
    <x v="33"/>
    <x v="2"/>
    <x v="1"/>
    <x v="2"/>
    <x v="4"/>
    <x v="388"/>
    <x v="389"/>
    <x v="388"/>
    <x v="388"/>
    <x v="388"/>
    <x v="0"/>
    <x v="3"/>
    <x v="0"/>
    <x v="3"/>
    <x v="21"/>
    <x v="21"/>
    <x v="389"/>
    <x v="389"/>
    <x v="389"/>
    <x v="389"/>
    <x v="389"/>
    <x v="389"/>
  </r>
  <r>
    <x v="389"/>
    <x v="325"/>
    <x v="9"/>
    <x v="325"/>
    <x v="2"/>
    <x v="324"/>
    <x v="320"/>
    <x v="14"/>
    <x v="0"/>
    <x v="0"/>
    <x v="11"/>
    <x v="20"/>
    <x v="4"/>
    <x v="4"/>
    <x v="0"/>
    <x v="5"/>
    <x v="389"/>
    <x v="390"/>
    <x v="389"/>
    <x v="389"/>
    <x v="389"/>
    <x v="1"/>
    <x v="99"/>
    <x v="0"/>
    <x v="93"/>
    <x v="21"/>
    <x v="21"/>
    <x v="390"/>
    <x v="390"/>
    <x v="390"/>
    <x v="390"/>
    <x v="390"/>
    <x v="390"/>
  </r>
  <r>
    <x v="390"/>
    <x v="326"/>
    <x v="11"/>
    <x v="326"/>
    <x v="3"/>
    <x v="252"/>
    <x v="250"/>
    <x v="27"/>
    <x v="0"/>
    <x v="3"/>
    <x v="7"/>
    <x v="11"/>
    <x v="2"/>
    <x v="4"/>
    <x v="9"/>
    <x v="1"/>
    <x v="390"/>
    <x v="391"/>
    <x v="390"/>
    <x v="390"/>
    <x v="390"/>
    <x v="0"/>
    <x v="52"/>
    <x v="0"/>
    <x v="49"/>
    <x v="27"/>
    <x v="27"/>
    <x v="391"/>
    <x v="391"/>
    <x v="391"/>
    <x v="391"/>
    <x v="391"/>
    <x v="391"/>
  </r>
  <r>
    <x v="391"/>
    <x v="327"/>
    <x v="1"/>
    <x v="327"/>
    <x v="1"/>
    <x v="325"/>
    <x v="321"/>
    <x v="13"/>
    <x v="0"/>
    <x v="1"/>
    <x v="9"/>
    <x v="23"/>
    <x v="3"/>
    <x v="2"/>
    <x v="0"/>
    <x v="0"/>
    <x v="391"/>
    <x v="392"/>
    <x v="391"/>
    <x v="391"/>
    <x v="391"/>
    <x v="2"/>
    <x v="198"/>
    <x v="1"/>
    <x v="33"/>
    <x v="46"/>
    <x v="46"/>
    <x v="392"/>
    <x v="392"/>
    <x v="392"/>
    <x v="392"/>
    <x v="392"/>
    <x v="392"/>
  </r>
  <r>
    <x v="392"/>
    <x v="307"/>
    <x v="0"/>
    <x v="307"/>
    <x v="0"/>
    <x v="221"/>
    <x v="220"/>
    <x v="13"/>
    <x v="0"/>
    <x v="2"/>
    <x v="10"/>
    <x v="24"/>
    <x v="1"/>
    <x v="4"/>
    <x v="2"/>
    <x v="3"/>
    <x v="392"/>
    <x v="393"/>
    <x v="392"/>
    <x v="392"/>
    <x v="392"/>
    <x v="2"/>
    <x v="116"/>
    <x v="1"/>
    <x v="33"/>
    <x v="0"/>
    <x v="0"/>
    <x v="393"/>
    <x v="393"/>
    <x v="393"/>
    <x v="393"/>
    <x v="393"/>
    <x v="393"/>
  </r>
  <r>
    <x v="393"/>
    <x v="328"/>
    <x v="5"/>
    <x v="328"/>
    <x v="2"/>
    <x v="326"/>
    <x v="322"/>
    <x v="21"/>
    <x v="0"/>
    <x v="3"/>
    <x v="8"/>
    <x v="21"/>
    <x v="4"/>
    <x v="4"/>
    <x v="11"/>
    <x v="0"/>
    <x v="393"/>
    <x v="394"/>
    <x v="393"/>
    <x v="393"/>
    <x v="393"/>
    <x v="2"/>
    <x v="135"/>
    <x v="0"/>
    <x v="125"/>
    <x v="15"/>
    <x v="15"/>
    <x v="394"/>
    <x v="394"/>
    <x v="394"/>
    <x v="394"/>
    <x v="394"/>
    <x v="394"/>
  </r>
  <r>
    <x v="394"/>
    <x v="329"/>
    <x v="5"/>
    <x v="329"/>
    <x v="2"/>
    <x v="327"/>
    <x v="323"/>
    <x v="7"/>
    <x v="0"/>
    <x v="1"/>
    <x v="2"/>
    <x v="4"/>
    <x v="0"/>
    <x v="0"/>
    <x v="10"/>
    <x v="6"/>
    <x v="394"/>
    <x v="395"/>
    <x v="394"/>
    <x v="394"/>
    <x v="394"/>
    <x v="0"/>
    <x v="199"/>
    <x v="0"/>
    <x v="177"/>
    <x v="14"/>
    <x v="14"/>
    <x v="395"/>
    <x v="395"/>
    <x v="395"/>
    <x v="395"/>
    <x v="395"/>
    <x v="395"/>
  </r>
  <r>
    <x v="395"/>
    <x v="164"/>
    <x v="11"/>
    <x v="164"/>
    <x v="3"/>
    <x v="328"/>
    <x v="324"/>
    <x v="9"/>
    <x v="0"/>
    <x v="3"/>
    <x v="6"/>
    <x v="9"/>
    <x v="2"/>
    <x v="1"/>
    <x v="8"/>
    <x v="5"/>
    <x v="395"/>
    <x v="396"/>
    <x v="395"/>
    <x v="395"/>
    <x v="395"/>
    <x v="2"/>
    <x v="172"/>
    <x v="0"/>
    <x v="159"/>
    <x v="10"/>
    <x v="10"/>
    <x v="396"/>
    <x v="396"/>
    <x v="396"/>
    <x v="396"/>
    <x v="396"/>
    <x v="396"/>
  </r>
  <r>
    <x v="396"/>
    <x v="330"/>
    <x v="3"/>
    <x v="330"/>
    <x v="1"/>
    <x v="71"/>
    <x v="71"/>
    <x v="11"/>
    <x v="0"/>
    <x v="1"/>
    <x v="2"/>
    <x v="27"/>
    <x v="0"/>
    <x v="0"/>
    <x v="5"/>
    <x v="4"/>
    <x v="396"/>
    <x v="397"/>
    <x v="396"/>
    <x v="396"/>
    <x v="396"/>
    <x v="1"/>
    <x v="65"/>
    <x v="1"/>
    <x v="60"/>
    <x v="17"/>
    <x v="17"/>
    <x v="397"/>
    <x v="397"/>
    <x v="397"/>
    <x v="397"/>
    <x v="397"/>
    <x v="397"/>
  </r>
  <r>
    <x v="397"/>
    <x v="284"/>
    <x v="6"/>
    <x v="284"/>
    <x v="3"/>
    <x v="329"/>
    <x v="325"/>
    <x v="26"/>
    <x v="0"/>
    <x v="0"/>
    <x v="11"/>
    <x v="25"/>
    <x v="2"/>
    <x v="1"/>
    <x v="14"/>
    <x v="0"/>
    <x v="397"/>
    <x v="398"/>
    <x v="397"/>
    <x v="397"/>
    <x v="397"/>
    <x v="2"/>
    <x v="200"/>
    <x v="0"/>
    <x v="178"/>
    <x v="27"/>
    <x v="27"/>
    <x v="398"/>
    <x v="398"/>
    <x v="398"/>
    <x v="398"/>
    <x v="398"/>
    <x v="398"/>
  </r>
  <r>
    <x v="398"/>
    <x v="331"/>
    <x v="6"/>
    <x v="331"/>
    <x v="3"/>
    <x v="330"/>
    <x v="326"/>
    <x v="27"/>
    <x v="0"/>
    <x v="0"/>
    <x v="11"/>
    <x v="33"/>
    <x v="0"/>
    <x v="2"/>
    <x v="14"/>
    <x v="5"/>
    <x v="398"/>
    <x v="399"/>
    <x v="398"/>
    <x v="398"/>
    <x v="398"/>
    <x v="1"/>
    <x v="153"/>
    <x v="0"/>
    <x v="141"/>
    <x v="0"/>
    <x v="0"/>
    <x v="399"/>
    <x v="399"/>
    <x v="399"/>
    <x v="399"/>
    <x v="399"/>
    <x v="399"/>
  </r>
  <r>
    <x v="399"/>
    <x v="332"/>
    <x v="7"/>
    <x v="332"/>
    <x v="2"/>
    <x v="53"/>
    <x v="53"/>
    <x v="5"/>
    <x v="0"/>
    <x v="0"/>
    <x v="0"/>
    <x v="0"/>
    <x v="0"/>
    <x v="2"/>
    <x v="9"/>
    <x v="2"/>
    <x v="399"/>
    <x v="400"/>
    <x v="399"/>
    <x v="399"/>
    <x v="399"/>
    <x v="1"/>
    <x v="109"/>
    <x v="0"/>
    <x v="101"/>
    <x v="16"/>
    <x v="16"/>
    <x v="400"/>
    <x v="400"/>
    <x v="400"/>
    <x v="400"/>
    <x v="400"/>
    <x v="400"/>
  </r>
  <r>
    <x v="400"/>
    <x v="175"/>
    <x v="11"/>
    <x v="175"/>
    <x v="3"/>
    <x v="331"/>
    <x v="327"/>
    <x v="4"/>
    <x v="1"/>
    <x v="2"/>
    <x v="10"/>
    <x v="15"/>
    <x v="0"/>
    <x v="2"/>
    <x v="14"/>
    <x v="1"/>
    <x v="400"/>
    <x v="401"/>
    <x v="400"/>
    <x v="400"/>
    <x v="400"/>
    <x v="1"/>
    <x v="79"/>
    <x v="0"/>
    <x v="74"/>
    <x v="14"/>
    <x v="14"/>
    <x v="401"/>
    <x v="401"/>
    <x v="401"/>
    <x v="401"/>
    <x v="401"/>
    <x v="401"/>
  </r>
  <r>
    <x v="401"/>
    <x v="333"/>
    <x v="10"/>
    <x v="333"/>
    <x v="1"/>
    <x v="46"/>
    <x v="46"/>
    <x v="4"/>
    <x v="1"/>
    <x v="2"/>
    <x v="3"/>
    <x v="5"/>
    <x v="1"/>
    <x v="2"/>
    <x v="7"/>
    <x v="0"/>
    <x v="401"/>
    <x v="402"/>
    <x v="401"/>
    <x v="401"/>
    <x v="401"/>
    <x v="1"/>
    <x v="192"/>
    <x v="0"/>
    <x v="172"/>
    <x v="13"/>
    <x v="13"/>
    <x v="402"/>
    <x v="402"/>
    <x v="402"/>
    <x v="402"/>
    <x v="402"/>
    <x v="402"/>
  </r>
  <r>
    <x v="402"/>
    <x v="334"/>
    <x v="8"/>
    <x v="334"/>
    <x v="3"/>
    <x v="332"/>
    <x v="328"/>
    <x v="14"/>
    <x v="0"/>
    <x v="3"/>
    <x v="7"/>
    <x v="11"/>
    <x v="5"/>
    <x v="2"/>
    <x v="10"/>
    <x v="4"/>
    <x v="402"/>
    <x v="403"/>
    <x v="402"/>
    <x v="402"/>
    <x v="402"/>
    <x v="1"/>
    <x v="38"/>
    <x v="0"/>
    <x v="38"/>
    <x v="27"/>
    <x v="27"/>
    <x v="403"/>
    <x v="403"/>
    <x v="403"/>
    <x v="403"/>
    <x v="403"/>
    <x v="403"/>
  </r>
  <r>
    <x v="403"/>
    <x v="335"/>
    <x v="4"/>
    <x v="335"/>
    <x v="0"/>
    <x v="333"/>
    <x v="329"/>
    <x v="16"/>
    <x v="0"/>
    <x v="2"/>
    <x v="5"/>
    <x v="10"/>
    <x v="5"/>
    <x v="2"/>
    <x v="9"/>
    <x v="0"/>
    <x v="403"/>
    <x v="404"/>
    <x v="403"/>
    <x v="403"/>
    <x v="403"/>
    <x v="1"/>
    <x v="95"/>
    <x v="0"/>
    <x v="89"/>
    <x v="11"/>
    <x v="11"/>
    <x v="404"/>
    <x v="404"/>
    <x v="404"/>
    <x v="404"/>
    <x v="404"/>
    <x v="404"/>
  </r>
  <r>
    <x v="404"/>
    <x v="336"/>
    <x v="0"/>
    <x v="336"/>
    <x v="0"/>
    <x v="314"/>
    <x v="311"/>
    <x v="10"/>
    <x v="0"/>
    <x v="1"/>
    <x v="9"/>
    <x v="38"/>
    <x v="4"/>
    <x v="4"/>
    <x v="0"/>
    <x v="5"/>
    <x v="404"/>
    <x v="405"/>
    <x v="404"/>
    <x v="404"/>
    <x v="404"/>
    <x v="2"/>
    <x v="201"/>
    <x v="0"/>
    <x v="179"/>
    <x v="5"/>
    <x v="5"/>
    <x v="405"/>
    <x v="405"/>
    <x v="405"/>
    <x v="405"/>
    <x v="405"/>
    <x v="405"/>
  </r>
  <r>
    <x v="405"/>
    <x v="337"/>
    <x v="3"/>
    <x v="337"/>
    <x v="1"/>
    <x v="6"/>
    <x v="6"/>
    <x v="2"/>
    <x v="0"/>
    <x v="1"/>
    <x v="4"/>
    <x v="18"/>
    <x v="4"/>
    <x v="0"/>
    <x v="12"/>
    <x v="1"/>
    <x v="405"/>
    <x v="406"/>
    <x v="405"/>
    <x v="405"/>
    <x v="405"/>
    <x v="2"/>
    <x v="202"/>
    <x v="0"/>
    <x v="180"/>
    <x v="16"/>
    <x v="16"/>
    <x v="406"/>
    <x v="406"/>
    <x v="406"/>
    <x v="406"/>
    <x v="406"/>
    <x v="406"/>
  </r>
  <r>
    <x v="406"/>
    <x v="338"/>
    <x v="2"/>
    <x v="338"/>
    <x v="0"/>
    <x v="334"/>
    <x v="330"/>
    <x v="27"/>
    <x v="0"/>
    <x v="0"/>
    <x v="1"/>
    <x v="7"/>
    <x v="5"/>
    <x v="2"/>
    <x v="2"/>
    <x v="3"/>
    <x v="406"/>
    <x v="407"/>
    <x v="406"/>
    <x v="406"/>
    <x v="406"/>
    <x v="1"/>
    <x v="159"/>
    <x v="0"/>
    <x v="147"/>
    <x v="7"/>
    <x v="7"/>
    <x v="407"/>
    <x v="407"/>
    <x v="407"/>
    <x v="407"/>
    <x v="407"/>
    <x v="407"/>
  </r>
  <r>
    <x v="407"/>
    <x v="339"/>
    <x v="0"/>
    <x v="339"/>
    <x v="0"/>
    <x v="335"/>
    <x v="331"/>
    <x v="1"/>
    <x v="1"/>
    <x v="1"/>
    <x v="4"/>
    <x v="6"/>
    <x v="0"/>
    <x v="3"/>
    <x v="11"/>
    <x v="4"/>
    <x v="407"/>
    <x v="408"/>
    <x v="407"/>
    <x v="407"/>
    <x v="407"/>
    <x v="0"/>
    <x v="124"/>
    <x v="0"/>
    <x v="115"/>
    <x v="21"/>
    <x v="21"/>
    <x v="408"/>
    <x v="408"/>
    <x v="408"/>
    <x v="408"/>
    <x v="408"/>
    <x v="408"/>
  </r>
  <r>
    <x v="408"/>
    <x v="340"/>
    <x v="3"/>
    <x v="340"/>
    <x v="1"/>
    <x v="336"/>
    <x v="332"/>
    <x v="4"/>
    <x v="1"/>
    <x v="1"/>
    <x v="9"/>
    <x v="38"/>
    <x v="1"/>
    <x v="0"/>
    <x v="8"/>
    <x v="6"/>
    <x v="408"/>
    <x v="409"/>
    <x v="408"/>
    <x v="408"/>
    <x v="408"/>
    <x v="2"/>
    <x v="5"/>
    <x v="0"/>
    <x v="5"/>
    <x v="2"/>
    <x v="2"/>
    <x v="409"/>
    <x v="409"/>
    <x v="409"/>
    <x v="409"/>
    <x v="409"/>
    <x v="409"/>
  </r>
  <r>
    <x v="409"/>
    <x v="341"/>
    <x v="11"/>
    <x v="341"/>
    <x v="3"/>
    <x v="337"/>
    <x v="333"/>
    <x v="30"/>
    <x v="1"/>
    <x v="1"/>
    <x v="2"/>
    <x v="32"/>
    <x v="1"/>
    <x v="1"/>
    <x v="13"/>
    <x v="4"/>
    <x v="409"/>
    <x v="410"/>
    <x v="409"/>
    <x v="409"/>
    <x v="409"/>
    <x v="1"/>
    <x v="65"/>
    <x v="1"/>
    <x v="60"/>
    <x v="15"/>
    <x v="15"/>
    <x v="410"/>
    <x v="410"/>
    <x v="410"/>
    <x v="410"/>
    <x v="410"/>
    <x v="410"/>
  </r>
  <r>
    <x v="410"/>
    <x v="22"/>
    <x v="5"/>
    <x v="22"/>
    <x v="2"/>
    <x v="338"/>
    <x v="334"/>
    <x v="4"/>
    <x v="1"/>
    <x v="3"/>
    <x v="7"/>
    <x v="11"/>
    <x v="2"/>
    <x v="2"/>
    <x v="14"/>
    <x v="1"/>
    <x v="410"/>
    <x v="411"/>
    <x v="410"/>
    <x v="410"/>
    <x v="410"/>
    <x v="0"/>
    <x v="177"/>
    <x v="1"/>
    <x v="163"/>
    <x v="21"/>
    <x v="21"/>
    <x v="411"/>
    <x v="411"/>
    <x v="411"/>
    <x v="411"/>
    <x v="411"/>
    <x v="411"/>
  </r>
  <r>
    <x v="411"/>
    <x v="342"/>
    <x v="0"/>
    <x v="342"/>
    <x v="0"/>
    <x v="339"/>
    <x v="335"/>
    <x v="8"/>
    <x v="0"/>
    <x v="3"/>
    <x v="6"/>
    <x v="22"/>
    <x v="3"/>
    <x v="0"/>
    <x v="7"/>
    <x v="3"/>
    <x v="411"/>
    <x v="412"/>
    <x v="411"/>
    <x v="411"/>
    <x v="411"/>
    <x v="1"/>
    <x v="0"/>
    <x v="0"/>
    <x v="0"/>
    <x v="33"/>
    <x v="33"/>
    <x v="412"/>
    <x v="412"/>
    <x v="412"/>
    <x v="412"/>
    <x v="412"/>
    <x v="412"/>
  </r>
  <r>
    <x v="412"/>
    <x v="343"/>
    <x v="11"/>
    <x v="343"/>
    <x v="3"/>
    <x v="142"/>
    <x v="141"/>
    <x v="21"/>
    <x v="0"/>
    <x v="0"/>
    <x v="1"/>
    <x v="7"/>
    <x v="0"/>
    <x v="2"/>
    <x v="4"/>
    <x v="3"/>
    <x v="412"/>
    <x v="413"/>
    <x v="412"/>
    <x v="412"/>
    <x v="412"/>
    <x v="2"/>
    <x v="200"/>
    <x v="0"/>
    <x v="178"/>
    <x v="5"/>
    <x v="5"/>
    <x v="413"/>
    <x v="413"/>
    <x v="413"/>
    <x v="413"/>
    <x v="413"/>
    <x v="413"/>
  </r>
  <r>
    <x v="413"/>
    <x v="344"/>
    <x v="9"/>
    <x v="344"/>
    <x v="2"/>
    <x v="273"/>
    <x v="269"/>
    <x v="5"/>
    <x v="0"/>
    <x v="1"/>
    <x v="4"/>
    <x v="6"/>
    <x v="4"/>
    <x v="4"/>
    <x v="10"/>
    <x v="2"/>
    <x v="413"/>
    <x v="414"/>
    <x v="413"/>
    <x v="413"/>
    <x v="413"/>
    <x v="2"/>
    <x v="3"/>
    <x v="0"/>
    <x v="3"/>
    <x v="21"/>
    <x v="21"/>
    <x v="414"/>
    <x v="414"/>
    <x v="414"/>
    <x v="414"/>
    <x v="414"/>
    <x v="414"/>
  </r>
  <r>
    <x v="414"/>
    <x v="345"/>
    <x v="11"/>
    <x v="345"/>
    <x v="3"/>
    <x v="340"/>
    <x v="336"/>
    <x v="14"/>
    <x v="0"/>
    <x v="2"/>
    <x v="3"/>
    <x v="26"/>
    <x v="4"/>
    <x v="2"/>
    <x v="7"/>
    <x v="1"/>
    <x v="414"/>
    <x v="415"/>
    <x v="414"/>
    <x v="414"/>
    <x v="414"/>
    <x v="2"/>
    <x v="195"/>
    <x v="0"/>
    <x v="174"/>
    <x v="5"/>
    <x v="5"/>
    <x v="415"/>
    <x v="415"/>
    <x v="415"/>
    <x v="415"/>
    <x v="415"/>
    <x v="415"/>
  </r>
  <r>
    <x v="415"/>
    <x v="25"/>
    <x v="10"/>
    <x v="25"/>
    <x v="1"/>
    <x v="341"/>
    <x v="337"/>
    <x v="23"/>
    <x v="0"/>
    <x v="1"/>
    <x v="4"/>
    <x v="34"/>
    <x v="4"/>
    <x v="0"/>
    <x v="9"/>
    <x v="6"/>
    <x v="415"/>
    <x v="416"/>
    <x v="415"/>
    <x v="415"/>
    <x v="415"/>
    <x v="1"/>
    <x v="103"/>
    <x v="1"/>
    <x v="95"/>
    <x v="13"/>
    <x v="13"/>
    <x v="416"/>
    <x v="416"/>
    <x v="416"/>
    <x v="416"/>
    <x v="416"/>
    <x v="416"/>
  </r>
  <r>
    <x v="416"/>
    <x v="346"/>
    <x v="9"/>
    <x v="346"/>
    <x v="2"/>
    <x v="342"/>
    <x v="338"/>
    <x v="26"/>
    <x v="0"/>
    <x v="1"/>
    <x v="4"/>
    <x v="18"/>
    <x v="2"/>
    <x v="0"/>
    <x v="8"/>
    <x v="6"/>
    <x v="416"/>
    <x v="417"/>
    <x v="416"/>
    <x v="416"/>
    <x v="416"/>
    <x v="0"/>
    <x v="168"/>
    <x v="0"/>
    <x v="155"/>
    <x v="21"/>
    <x v="21"/>
    <x v="417"/>
    <x v="417"/>
    <x v="417"/>
    <x v="417"/>
    <x v="417"/>
    <x v="417"/>
  </r>
  <r>
    <x v="417"/>
    <x v="252"/>
    <x v="0"/>
    <x v="252"/>
    <x v="0"/>
    <x v="343"/>
    <x v="339"/>
    <x v="2"/>
    <x v="0"/>
    <x v="1"/>
    <x v="9"/>
    <x v="35"/>
    <x v="0"/>
    <x v="3"/>
    <x v="14"/>
    <x v="1"/>
    <x v="417"/>
    <x v="418"/>
    <x v="417"/>
    <x v="417"/>
    <x v="417"/>
    <x v="0"/>
    <x v="203"/>
    <x v="1"/>
    <x v="181"/>
    <x v="8"/>
    <x v="8"/>
    <x v="418"/>
    <x v="418"/>
    <x v="418"/>
    <x v="418"/>
    <x v="418"/>
    <x v="418"/>
  </r>
  <r>
    <x v="418"/>
    <x v="347"/>
    <x v="4"/>
    <x v="347"/>
    <x v="0"/>
    <x v="344"/>
    <x v="340"/>
    <x v="0"/>
    <x v="0"/>
    <x v="3"/>
    <x v="6"/>
    <x v="37"/>
    <x v="2"/>
    <x v="3"/>
    <x v="6"/>
    <x v="5"/>
    <x v="418"/>
    <x v="419"/>
    <x v="418"/>
    <x v="418"/>
    <x v="418"/>
    <x v="0"/>
    <x v="204"/>
    <x v="1"/>
    <x v="182"/>
    <x v="4"/>
    <x v="4"/>
    <x v="419"/>
    <x v="419"/>
    <x v="419"/>
    <x v="419"/>
    <x v="419"/>
    <x v="419"/>
  </r>
  <r>
    <x v="419"/>
    <x v="348"/>
    <x v="1"/>
    <x v="348"/>
    <x v="1"/>
    <x v="209"/>
    <x v="209"/>
    <x v="13"/>
    <x v="0"/>
    <x v="1"/>
    <x v="2"/>
    <x v="32"/>
    <x v="2"/>
    <x v="4"/>
    <x v="10"/>
    <x v="3"/>
    <x v="419"/>
    <x v="420"/>
    <x v="419"/>
    <x v="419"/>
    <x v="419"/>
    <x v="2"/>
    <x v="102"/>
    <x v="0"/>
    <x v="94"/>
    <x v="11"/>
    <x v="11"/>
    <x v="420"/>
    <x v="420"/>
    <x v="420"/>
    <x v="420"/>
    <x v="420"/>
    <x v="420"/>
  </r>
  <r>
    <x v="420"/>
    <x v="349"/>
    <x v="2"/>
    <x v="349"/>
    <x v="0"/>
    <x v="345"/>
    <x v="341"/>
    <x v="8"/>
    <x v="0"/>
    <x v="2"/>
    <x v="10"/>
    <x v="24"/>
    <x v="2"/>
    <x v="2"/>
    <x v="10"/>
    <x v="3"/>
    <x v="420"/>
    <x v="421"/>
    <x v="420"/>
    <x v="420"/>
    <x v="420"/>
    <x v="2"/>
    <x v="205"/>
    <x v="0"/>
    <x v="183"/>
    <x v="8"/>
    <x v="8"/>
    <x v="421"/>
    <x v="421"/>
    <x v="421"/>
    <x v="421"/>
    <x v="421"/>
    <x v="421"/>
  </r>
  <r>
    <x v="421"/>
    <x v="350"/>
    <x v="8"/>
    <x v="350"/>
    <x v="3"/>
    <x v="346"/>
    <x v="342"/>
    <x v="4"/>
    <x v="1"/>
    <x v="0"/>
    <x v="1"/>
    <x v="3"/>
    <x v="3"/>
    <x v="1"/>
    <x v="15"/>
    <x v="4"/>
    <x v="421"/>
    <x v="422"/>
    <x v="421"/>
    <x v="421"/>
    <x v="421"/>
    <x v="2"/>
    <x v="87"/>
    <x v="0"/>
    <x v="81"/>
    <x v="47"/>
    <x v="47"/>
    <x v="422"/>
    <x v="422"/>
    <x v="422"/>
    <x v="422"/>
    <x v="422"/>
    <x v="422"/>
  </r>
  <r>
    <x v="422"/>
    <x v="165"/>
    <x v="6"/>
    <x v="165"/>
    <x v="3"/>
    <x v="347"/>
    <x v="343"/>
    <x v="23"/>
    <x v="0"/>
    <x v="1"/>
    <x v="4"/>
    <x v="18"/>
    <x v="3"/>
    <x v="0"/>
    <x v="8"/>
    <x v="3"/>
    <x v="422"/>
    <x v="423"/>
    <x v="422"/>
    <x v="422"/>
    <x v="422"/>
    <x v="1"/>
    <x v="21"/>
    <x v="0"/>
    <x v="21"/>
    <x v="22"/>
    <x v="22"/>
    <x v="423"/>
    <x v="423"/>
    <x v="423"/>
    <x v="423"/>
    <x v="423"/>
    <x v="423"/>
  </r>
  <r>
    <x v="423"/>
    <x v="351"/>
    <x v="2"/>
    <x v="351"/>
    <x v="0"/>
    <x v="348"/>
    <x v="344"/>
    <x v="12"/>
    <x v="0"/>
    <x v="1"/>
    <x v="9"/>
    <x v="38"/>
    <x v="1"/>
    <x v="2"/>
    <x v="7"/>
    <x v="1"/>
    <x v="423"/>
    <x v="424"/>
    <x v="423"/>
    <x v="423"/>
    <x v="423"/>
    <x v="2"/>
    <x v="28"/>
    <x v="1"/>
    <x v="28"/>
    <x v="22"/>
    <x v="22"/>
    <x v="424"/>
    <x v="424"/>
    <x v="424"/>
    <x v="424"/>
    <x v="424"/>
    <x v="424"/>
  </r>
  <r>
    <x v="424"/>
    <x v="352"/>
    <x v="2"/>
    <x v="352"/>
    <x v="0"/>
    <x v="221"/>
    <x v="220"/>
    <x v="27"/>
    <x v="0"/>
    <x v="1"/>
    <x v="4"/>
    <x v="29"/>
    <x v="1"/>
    <x v="2"/>
    <x v="3"/>
    <x v="4"/>
    <x v="424"/>
    <x v="425"/>
    <x v="424"/>
    <x v="424"/>
    <x v="424"/>
    <x v="2"/>
    <x v="122"/>
    <x v="0"/>
    <x v="113"/>
    <x v="15"/>
    <x v="15"/>
    <x v="425"/>
    <x v="425"/>
    <x v="425"/>
    <x v="425"/>
    <x v="425"/>
    <x v="425"/>
  </r>
  <r>
    <x v="425"/>
    <x v="257"/>
    <x v="11"/>
    <x v="257"/>
    <x v="3"/>
    <x v="349"/>
    <x v="345"/>
    <x v="11"/>
    <x v="0"/>
    <x v="0"/>
    <x v="1"/>
    <x v="1"/>
    <x v="4"/>
    <x v="2"/>
    <x v="6"/>
    <x v="4"/>
    <x v="425"/>
    <x v="426"/>
    <x v="425"/>
    <x v="425"/>
    <x v="425"/>
    <x v="2"/>
    <x v="11"/>
    <x v="1"/>
    <x v="11"/>
    <x v="42"/>
    <x v="42"/>
    <x v="426"/>
    <x v="426"/>
    <x v="426"/>
    <x v="426"/>
    <x v="426"/>
    <x v="426"/>
  </r>
  <r>
    <x v="426"/>
    <x v="353"/>
    <x v="11"/>
    <x v="353"/>
    <x v="3"/>
    <x v="350"/>
    <x v="346"/>
    <x v="2"/>
    <x v="0"/>
    <x v="1"/>
    <x v="4"/>
    <x v="29"/>
    <x v="3"/>
    <x v="2"/>
    <x v="0"/>
    <x v="3"/>
    <x v="426"/>
    <x v="427"/>
    <x v="426"/>
    <x v="426"/>
    <x v="426"/>
    <x v="1"/>
    <x v="206"/>
    <x v="1"/>
    <x v="33"/>
    <x v="7"/>
    <x v="7"/>
    <x v="427"/>
    <x v="427"/>
    <x v="427"/>
    <x v="427"/>
    <x v="427"/>
    <x v="427"/>
  </r>
  <r>
    <x v="427"/>
    <x v="354"/>
    <x v="2"/>
    <x v="354"/>
    <x v="0"/>
    <x v="351"/>
    <x v="347"/>
    <x v="19"/>
    <x v="0"/>
    <x v="3"/>
    <x v="7"/>
    <x v="11"/>
    <x v="4"/>
    <x v="3"/>
    <x v="6"/>
    <x v="5"/>
    <x v="427"/>
    <x v="428"/>
    <x v="427"/>
    <x v="427"/>
    <x v="427"/>
    <x v="0"/>
    <x v="5"/>
    <x v="0"/>
    <x v="5"/>
    <x v="45"/>
    <x v="45"/>
    <x v="428"/>
    <x v="428"/>
    <x v="428"/>
    <x v="428"/>
    <x v="428"/>
    <x v="428"/>
  </r>
  <r>
    <x v="428"/>
    <x v="355"/>
    <x v="5"/>
    <x v="355"/>
    <x v="2"/>
    <x v="57"/>
    <x v="57"/>
    <x v="30"/>
    <x v="1"/>
    <x v="1"/>
    <x v="4"/>
    <x v="6"/>
    <x v="5"/>
    <x v="4"/>
    <x v="1"/>
    <x v="3"/>
    <x v="428"/>
    <x v="429"/>
    <x v="428"/>
    <x v="428"/>
    <x v="428"/>
    <x v="2"/>
    <x v="30"/>
    <x v="0"/>
    <x v="30"/>
    <x v="22"/>
    <x v="22"/>
    <x v="429"/>
    <x v="429"/>
    <x v="429"/>
    <x v="429"/>
    <x v="429"/>
    <x v="429"/>
  </r>
  <r>
    <x v="429"/>
    <x v="356"/>
    <x v="10"/>
    <x v="356"/>
    <x v="1"/>
    <x v="352"/>
    <x v="348"/>
    <x v="22"/>
    <x v="0"/>
    <x v="3"/>
    <x v="6"/>
    <x v="37"/>
    <x v="3"/>
    <x v="1"/>
    <x v="5"/>
    <x v="1"/>
    <x v="429"/>
    <x v="430"/>
    <x v="429"/>
    <x v="429"/>
    <x v="429"/>
    <x v="1"/>
    <x v="158"/>
    <x v="0"/>
    <x v="146"/>
    <x v="21"/>
    <x v="21"/>
    <x v="430"/>
    <x v="430"/>
    <x v="430"/>
    <x v="430"/>
    <x v="430"/>
    <x v="430"/>
  </r>
  <r>
    <x v="430"/>
    <x v="357"/>
    <x v="3"/>
    <x v="357"/>
    <x v="1"/>
    <x v="16"/>
    <x v="16"/>
    <x v="22"/>
    <x v="0"/>
    <x v="1"/>
    <x v="9"/>
    <x v="14"/>
    <x v="5"/>
    <x v="1"/>
    <x v="11"/>
    <x v="4"/>
    <x v="430"/>
    <x v="431"/>
    <x v="430"/>
    <x v="430"/>
    <x v="430"/>
    <x v="2"/>
    <x v="5"/>
    <x v="0"/>
    <x v="5"/>
    <x v="42"/>
    <x v="42"/>
    <x v="431"/>
    <x v="431"/>
    <x v="431"/>
    <x v="431"/>
    <x v="431"/>
    <x v="431"/>
  </r>
  <r>
    <x v="431"/>
    <x v="259"/>
    <x v="1"/>
    <x v="259"/>
    <x v="1"/>
    <x v="353"/>
    <x v="349"/>
    <x v="18"/>
    <x v="1"/>
    <x v="3"/>
    <x v="8"/>
    <x v="31"/>
    <x v="5"/>
    <x v="3"/>
    <x v="1"/>
    <x v="5"/>
    <x v="431"/>
    <x v="432"/>
    <x v="431"/>
    <x v="431"/>
    <x v="431"/>
    <x v="0"/>
    <x v="121"/>
    <x v="0"/>
    <x v="112"/>
    <x v="11"/>
    <x v="11"/>
    <x v="432"/>
    <x v="432"/>
    <x v="432"/>
    <x v="432"/>
    <x v="432"/>
    <x v="432"/>
  </r>
  <r>
    <x v="432"/>
    <x v="16"/>
    <x v="3"/>
    <x v="16"/>
    <x v="1"/>
    <x v="354"/>
    <x v="350"/>
    <x v="26"/>
    <x v="0"/>
    <x v="0"/>
    <x v="1"/>
    <x v="3"/>
    <x v="0"/>
    <x v="0"/>
    <x v="7"/>
    <x v="5"/>
    <x v="432"/>
    <x v="433"/>
    <x v="432"/>
    <x v="432"/>
    <x v="432"/>
    <x v="1"/>
    <x v="163"/>
    <x v="0"/>
    <x v="150"/>
    <x v="16"/>
    <x v="16"/>
    <x v="433"/>
    <x v="433"/>
    <x v="433"/>
    <x v="433"/>
    <x v="433"/>
    <x v="433"/>
  </r>
  <r>
    <x v="433"/>
    <x v="255"/>
    <x v="6"/>
    <x v="255"/>
    <x v="3"/>
    <x v="150"/>
    <x v="150"/>
    <x v="22"/>
    <x v="0"/>
    <x v="1"/>
    <x v="9"/>
    <x v="38"/>
    <x v="3"/>
    <x v="3"/>
    <x v="7"/>
    <x v="2"/>
    <x v="433"/>
    <x v="434"/>
    <x v="433"/>
    <x v="433"/>
    <x v="433"/>
    <x v="0"/>
    <x v="207"/>
    <x v="1"/>
    <x v="184"/>
    <x v="20"/>
    <x v="20"/>
    <x v="434"/>
    <x v="434"/>
    <x v="434"/>
    <x v="434"/>
    <x v="434"/>
    <x v="434"/>
  </r>
  <r>
    <x v="434"/>
    <x v="358"/>
    <x v="1"/>
    <x v="358"/>
    <x v="1"/>
    <x v="355"/>
    <x v="351"/>
    <x v="24"/>
    <x v="1"/>
    <x v="0"/>
    <x v="0"/>
    <x v="0"/>
    <x v="3"/>
    <x v="0"/>
    <x v="1"/>
    <x v="3"/>
    <x v="434"/>
    <x v="435"/>
    <x v="434"/>
    <x v="434"/>
    <x v="434"/>
    <x v="1"/>
    <x v="5"/>
    <x v="0"/>
    <x v="5"/>
    <x v="31"/>
    <x v="31"/>
    <x v="435"/>
    <x v="435"/>
    <x v="435"/>
    <x v="435"/>
    <x v="435"/>
    <x v="435"/>
  </r>
  <r>
    <x v="435"/>
    <x v="359"/>
    <x v="3"/>
    <x v="359"/>
    <x v="1"/>
    <x v="356"/>
    <x v="352"/>
    <x v="8"/>
    <x v="0"/>
    <x v="1"/>
    <x v="4"/>
    <x v="6"/>
    <x v="0"/>
    <x v="2"/>
    <x v="14"/>
    <x v="2"/>
    <x v="435"/>
    <x v="436"/>
    <x v="435"/>
    <x v="435"/>
    <x v="435"/>
    <x v="0"/>
    <x v="139"/>
    <x v="0"/>
    <x v="129"/>
    <x v="3"/>
    <x v="3"/>
    <x v="436"/>
    <x v="436"/>
    <x v="436"/>
    <x v="436"/>
    <x v="436"/>
    <x v="436"/>
  </r>
  <r>
    <x v="436"/>
    <x v="67"/>
    <x v="7"/>
    <x v="67"/>
    <x v="2"/>
    <x v="357"/>
    <x v="189"/>
    <x v="1"/>
    <x v="1"/>
    <x v="1"/>
    <x v="2"/>
    <x v="32"/>
    <x v="4"/>
    <x v="4"/>
    <x v="12"/>
    <x v="0"/>
    <x v="436"/>
    <x v="437"/>
    <x v="436"/>
    <x v="436"/>
    <x v="436"/>
    <x v="1"/>
    <x v="6"/>
    <x v="0"/>
    <x v="6"/>
    <x v="5"/>
    <x v="5"/>
    <x v="437"/>
    <x v="437"/>
    <x v="437"/>
    <x v="437"/>
    <x v="437"/>
    <x v="437"/>
  </r>
  <r>
    <x v="437"/>
    <x v="360"/>
    <x v="3"/>
    <x v="360"/>
    <x v="1"/>
    <x v="358"/>
    <x v="353"/>
    <x v="26"/>
    <x v="0"/>
    <x v="3"/>
    <x v="7"/>
    <x v="11"/>
    <x v="3"/>
    <x v="2"/>
    <x v="4"/>
    <x v="6"/>
    <x v="437"/>
    <x v="438"/>
    <x v="437"/>
    <x v="437"/>
    <x v="437"/>
    <x v="1"/>
    <x v="155"/>
    <x v="0"/>
    <x v="143"/>
    <x v="22"/>
    <x v="22"/>
    <x v="438"/>
    <x v="438"/>
    <x v="438"/>
    <x v="438"/>
    <x v="438"/>
    <x v="438"/>
  </r>
  <r>
    <x v="438"/>
    <x v="361"/>
    <x v="2"/>
    <x v="361"/>
    <x v="0"/>
    <x v="157"/>
    <x v="157"/>
    <x v="6"/>
    <x v="0"/>
    <x v="0"/>
    <x v="0"/>
    <x v="16"/>
    <x v="0"/>
    <x v="1"/>
    <x v="9"/>
    <x v="2"/>
    <x v="438"/>
    <x v="439"/>
    <x v="438"/>
    <x v="438"/>
    <x v="438"/>
    <x v="0"/>
    <x v="208"/>
    <x v="0"/>
    <x v="185"/>
    <x v="8"/>
    <x v="8"/>
    <x v="439"/>
    <x v="439"/>
    <x v="439"/>
    <x v="439"/>
    <x v="439"/>
    <x v="439"/>
  </r>
  <r>
    <x v="439"/>
    <x v="362"/>
    <x v="5"/>
    <x v="362"/>
    <x v="2"/>
    <x v="359"/>
    <x v="354"/>
    <x v="13"/>
    <x v="0"/>
    <x v="1"/>
    <x v="9"/>
    <x v="38"/>
    <x v="2"/>
    <x v="3"/>
    <x v="12"/>
    <x v="1"/>
    <x v="439"/>
    <x v="440"/>
    <x v="439"/>
    <x v="439"/>
    <x v="439"/>
    <x v="2"/>
    <x v="209"/>
    <x v="0"/>
    <x v="186"/>
    <x v="21"/>
    <x v="21"/>
    <x v="440"/>
    <x v="440"/>
    <x v="440"/>
    <x v="440"/>
    <x v="440"/>
    <x v="440"/>
  </r>
  <r>
    <x v="440"/>
    <x v="363"/>
    <x v="0"/>
    <x v="363"/>
    <x v="0"/>
    <x v="221"/>
    <x v="220"/>
    <x v="4"/>
    <x v="1"/>
    <x v="1"/>
    <x v="4"/>
    <x v="6"/>
    <x v="1"/>
    <x v="4"/>
    <x v="3"/>
    <x v="3"/>
    <x v="440"/>
    <x v="441"/>
    <x v="440"/>
    <x v="440"/>
    <x v="440"/>
    <x v="0"/>
    <x v="135"/>
    <x v="0"/>
    <x v="125"/>
    <x v="29"/>
    <x v="29"/>
    <x v="441"/>
    <x v="441"/>
    <x v="441"/>
    <x v="441"/>
    <x v="441"/>
    <x v="441"/>
  </r>
  <r>
    <x v="441"/>
    <x v="364"/>
    <x v="6"/>
    <x v="364"/>
    <x v="3"/>
    <x v="360"/>
    <x v="355"/>
    <x v="11"/>
    <x v="0"/>
    <x v="1"/>
    <x v="4"/>
    <x v="35"/>
    <x v="0"/>
    <x v="5"/>
    <x v="5"/>
    <x v="6"/>
    <x v="441"/>
    <x v="442"/>
    <x v="441"/>
    <x v="441"/>
    <x v="441"/>
    <x v="2"/>
    <x v="87"/>
    <x v="0"/>
    <x v="81"/>
    <x v="21"/>
    <x v="21"/>
    <x v="442"/>
    <x v="442"/>
    <x v="442"/>
    <x v="442"/>
    <x v="442"/>
    <x v="442"/>
  </r>
  <r>
    <x v="442"/>
    <x v="365"/>
    <x v="11"/>
    <x v="365"/>
    <x v="3"/>
    <x v="104"/>
    <x v="103"/>
    <x v="19"/>
    <x v="0"/>
    <x v="3"/>
    <x v="6"/>
    <x v="37"/>
    <x v="2"/>
    <x v="0"/>
    <x v="4"/>
    <x v="1"/>
    <x v="442"/>
    <x v="443"/>
    <x v="442"/>
    <x v="442"/>
    <x v="442"/>
    <x v="0"/>
    <x v="89"/>
    <x v="0"/>
    <x v="83"/>
    <x v="48"/>
    <x v="48"/>
    <x v="443"/>
    <x v="443"/>
    <x v="443"/>
    <x v="443"/>
    <x v="443"/>
    <x v="443"/>
  </r>
  <r>
    <x v="443"/>
    <x v="366"/>
    <x v="6"/>
    <x v="366"/>
    <x v="3"/>
    <x v="361"/>
    <x v="356"/>
    <x v="11"/>
    <x v="0"/>
    <x v="2"/>
    <x v="3"/>
    <x v="5"/>
    <x v="3"/>
    <x v="1"/>
    <x v="6"/>
    <x v="1"/>
    <x v="443"/>
    <x v="444"/>
    <x v="443"/>
    <x v="443"/>
    <x v="443"/>
    <x v="1"/>
    <x v="5"/>
    <x v="0"/>
    <x v="5"/>
    <x v="42"/>
    <x v="42"/>
    <x v="444"/>
    <x v="444"/>
    <x v="444"/>
    <x v="444"/>
    <x v="444"/>
    <x v="444"/>
  </r>
  <r>
    <x v="444"/>
    <x v="367"/>
    <x v="9"/>
    <x v="367"/>
    <x v="2"/>
    <x v="37"/>
    <x v="38"/>
    <x v="22"/>
    <x v="0"/>
    <x v="2"/>
    <x v="3"/>
    <x v="5"/>
    <x v="0"/>
    <x v="1"/>
    <x v="0"/>
    <x v="1"/>
    <x v="444"/>
    <x v="445"/>
    <x v="444"/>
    <x v="444"/>
    <x v="444"/>
    <x v="0"/>
    <x v="179"/>
    <x v="0"/>
    <x v="164"/>
    <x v="6"/>
    <x v="6"/>
    <x v="445"/>
    <x v="445"/>
    <x v="445"/>
    <x v="445"/>
    <x v="445"/>
    <x v="445"/>
  </r>
  <r>
    <x v="445"/>
    <x v="240"/>
    <x v="3"/>
    <x v="240"/>
    <x v="1"/>
    <x v="362"/>
    <x v="357"/>
    <x v="8"/>
    <x v="0"/>
    <x v="1"/>
    <x v="2"/>
    <x v="32"/>
    <x v="1"/>
    <x v="4"/>
    <x v="5"/>
    <x v="4"/>
    <x v="445"/>
    <x v="446"/>
    <x v="445"/>
    <x v="445"/>
    <x v="445"/>
    <x v="1"/>
    <x v="13"/>
    <x v="0"/>
    <x v="13"/>
    <x v="15"/>
    <x v="15"/>
    <x v="446"/>
    <x v="446"/>
    <x v="446"/>
    <x v="446"/>
    <x v="446"/>
    <x v="446"/>
  </r>
  <r>
    <x v="446"/>
    <x v="258"/>
    <x v="0"/>
    <x v="258"/>
    <x v="0"/>
    <x v="363"/>
    <x v="358"/>
    <x v="17"/>
    <x v="0"/>
    <x v="0"/>
    <x v="11"/>
    <x v="25"/>
    <x v="3"/>
    <x v="2"/>
    <x v="1"/>
    <x v="5"/>
    <x v="446"/>
    <x v="447"/>
    <x v="446"/>
    <x v="446"/>
    <x v="446"/>
    <x v="0"/>
    <x v="210"/>
    <x v="1"/>
    <x v="33"/>
    <x v="30"/>
    <x v="30"/>
    <x v="447"/>
    <x v="447"/>
    <x v="447"/>
    <x v="447"/>
    <x v="447"/>
    <x v="447"/>
  </r>
  <r>
    <x v="447"/>
    <x v="368"/>
    <x v="9"/>
    <x v="368"/>
    <x v="2"/>
    <x v="273"/>
    <x v="269"/>
    <x v="28"/>
    <x v="0"/>
    <x v="2"/>
    <x v="3"/>
    <x v="5"/>
    <x v="4"/>
    <x v="4"/>
    <x v="3"/>
    <x v="5"/>
    <x v="447"/>
    <x v="448"/>
    <x v="447"/>
    <x v="447"/>
    <x v="447"/>
    <x v="2"/>
    <x v="67"/>
    <x v="0"/>
    <x v="62"/>
    <x v="9"/>
    <x v="9"/>
    <x v="448"/>
    <x v="448"/>
    <x v="448"/>
    <x v="448"/>
    <x v="448"/>
    <x v="448"/>
  </r>
  <r>
    <x v="448"/>
    <x v="369"/>
    <x v="9"/>
    <x v="369"/>
    <x v="2"/>
    <x v="364"/>
    <x v="359"/>
    <x v="27"/>
    <x v="0"/>
    <x v="0"/>
    <x v="1"/>
    <x v="1"/>
    <x v="0"/>
    <x v="2"/>
    <x v="2"/>
    <x v="3"/>
    <x v="448"/>
    <x v="449"/>
    <x v="448"/>
    <x v="448"/>
    <x v="448"/>
    <x v="1"/>
    <x v="154"/>
    <x v="1"/>
    <x v="142"/>
    <x v="4"/>
    <x v="4"/>
    <x v="449"/>
    <x v="449"/>
    <x v="449"/>
    <x v="449"/>
    <x v="449"/>
    <x v="449"/>
  </r>
  <r>
    <x v="449"/>
    <x v="370"/>
    <x v="8"/>
    <x v="370"/>
    <x v="3"/>
    <x v="172"/>
    <x v="360"/>
    <x v="1"/>
    <x v="1"/>
    <x v="1"/>
    <x v="4"/>
    <x v="18"/>
    <x v="4"/>
    <x v="3"/>
    <x v="6"/>
    <x v="1"/>
    <x v="449"/>
    <x v="450"/>
    <x v="449"/>
    <x v="449"/>
    <x v="449"/>
    <x v="2"/>
    <x v="211"/>
    <x v="0"/>
    <x v="187"/>
    <x v="5"/>
    <x v="5"/>
    <x v="450"/>
    <x v="450"/>
    <x v="450"/>
    <x v="450"/>
    <x v="450"/>
    <x v="450"/>
  </r>
  <r>
    <x v="450"/>
    <x v="371"/>
    <x v="4"/>
    <x v="371"/>
    <x v="0"/>
    <x v="187"/>
    <x v="187"/>
    <x v="14"/>
    <x v="0"/>
    <x v="3"/>
    <x v="8"/>
    <x v="21"/>
    <x v="5"/>
    <x v="3"/>
    <x v="3"/>
    <x v="6"/>
    <x v="450"/>
    <x v="451"/>
    <x v="450"/>
    <x v="450"/>
    <x v="450"/>
    <x v="2"/>
    <x v="72"/>
    <x v="0"/>
    <x v="67"/>
    <x v="11"/>
    <x v="11"/>
    <x v="451"/>
    <x v="451"/>
    <x v="451"/>
    <x v="451"/>
    <x v="451"/>
    <x v="451"/>
  </r>
  <r>
    <x v="451"/>
    <x v="372"/>
    <x v="5"/>
    <x v="372"/>
    <x v="2"/>
    <x v="365"/>
    <x v="361"/>
    <x v="14"/>
    <x v="0"/>
    <x v="1"/>
    <x v="4"/>
    <x v="6"/>
    <x v="4"/>
    <x v="0"/>
    <x v="4"/>
    <x v="0"/>
    <x v="451"/>
    <x v="452"/>
    <x v="451"/>
    <x v="451"/>
    <x v="451"/>
    <x v="2"/>
    <x v="88"/>
    <x v="0"/>
    <x v="82"/>
    <x v="2"/>
    <x v="2"/>
    <x v="452"/>
    <x v="452"/>
    <x v="452"/>
    <x v="452"/>
    <x v="452"/>
    <x v="452"/>
  </r>
  <r>
    <x v="452"/>
    <x v="56"/>
    <x v="9"/>
    <x v="56"/>
    <x v="2"/>
    <x v="366"/>
    <x v="362"/>
    <x v="14"/>
    <x v="0"/>
    <x v="1"/>
    <x v="2"/>
    <x v="32"/>
    <x v="0"/>
    <x v="4"/>
    <x v="5"/>
    <x v="3"/>
    <x v="452"/>
    <x v="453"/>
    <x v="452"/>
    <x v="452"/>
    <x v="452"/>
    <x v="0"/>
    <x v="158"/>
    <x v="0"/>
    <x v="146"/>
    <x v="14"/>
    <x v="14"/>
    <x v="453"/>
    <x v="453"/>
    <x v="453"/>
    <x v="453"/>
    <x v="453"/>
    <x v="453"/>
  </r>
  <r>
    <x v="453"/>
    <x v="373"/>
    <x v="5"/>
    <x v="373"/>
    <x v="2"/>
    <x v="367"/>
    <x v="363"/>
    <x v="27"/>
    <x v="0"/>
    <x v="2"/>
    <x v="10"/>
    <x v="36"/>
    <x v="4"/>
    <x v="2"/>
    <x v="3"/>
    <x v="5"/>
    <x v="453"/>
    <x v="454"/>
    <x v="453"/>
    <x v="453"/>
    <x v="453"/>
    <x v="1"/>
    <x v="212"/>
    <x v="0"/>
    <x v="188"/>
    <x v="4"/>
    <x v="4"/>
    <x v="454"/>
    <x v="454"/>
    <x v="454"/>
    <x v="454"/>
    <x v="454"/>
    <x v="454"/>
  </r>
  <r>
    <x v="454"/>
    <x v="6"/>
    <x v="3"/>
    <x v="6"/>
    <x v="1"/>
    <x v="368"/>
    <x v="364"/>
    <x v="24"/>
    <x v="1"/>
    <x v="2"/>
    <x v="3"/>
    <x v="26"/>
    <x v="5"/>
    <x v="2"/>
    <x v="0"/>
    <x v="6"/>
    <x v="454"/>
    <x v="455"/>
    <x v="454"/>
    <x v="454"/>
    <x v="454"/>
    <x v="2"/>
    <x v="95"/>
    <x v="0"/>
    <x v="89"/>
    <x v="15"/>
    <x v="15"/>
    <x v="455"/>
    <x v="455"/>
    <x v="455"/>
    <x v="455"/>
    <x v="455"/>
    <x v="455"/>
  </r>
  <r>
    <x v="455"/>
    <x v="374"/>
    <x v="3"/>
    <x v="374"/>
    <x v="1"/>
    <x v="369"/>
    <x v="365"/>
    <x v="1"/>
    <x v="1"/>
    <x v="2"/>
    <x v="5"/>
    <x v="10"/>
    <x v="0"/>
    <x v="4"/>
    <x v="9"/>
    <x v="3"/>
    <x v="455"/>
    <x v="456"/>
    <x v="444"/>
    <x v="444"/>
    <x v="444"/>
    <x v="0"/>
    <x v="5"/>
    <x v="0"/>
    <x v="5"/>
    <x v="47"/>
    <x v="47"/>
    <x v="456"/>
    <x v="456"/>
    <x v="456"/>
    <x v="456"/>
    <x v="456"/>
    <x v="456"/>
  </r>
  <r>
    <x v="456"/>
    <x v="129"/>
    <x v="5"/>
    <x v="129"/>
    <x v="2"/>
    <x v="370"/>
    <x v="366"/>
    <x v="13"/>
    <x v="0"/>
    <x v="1"/>
    <x v="9"/>
    <x v="23"/>
    <x v="2"/>
    <x v="4"/>
    <x v="1"/>
    <x v="5"/>
    <x v="456"/>
    <x v="457"/>
    <x v="455"/>
    <x v="455"/>
    <x v="455"/>
    <x v="0"/>
    <x v="29"/>
    <x v="0"/>
    <x v="29"/>
    <x v="2"/>
    <x v="2"/>
    <x v="457"/>
    <x v="457"/>
    <x v="457"/>
    <x v="457"/>
    <x v="457"/>
    <x v="457"/>
  </r>
  <r>
    <x v="457"/>
    <x v="134"/>
    <x v="10"/>
    <x v="134"/>
    <x v="1"/>
    <x v="371"/>
    <x v="367"/>
    <x v="23"/>
    <x v="0"/>
    <x v="3"/>
    <x v="6"/>
    <x v="22"/>
    <x v="4"/>
    <x v="4"/>
    <x v="9"/>
    <x v="4"/>
    <x v="457"/>
    <x v="458"/>
    <x v="456"/>
    <x v="456"/>
    <x v="456"/>
    <x v="0"/>
    <x v="22"/>
    <x v="0"/>
    <x v="22"/>
    <x v="42"/>
    <x v="42"/>
    <x v="458"/>
    <x v="458"/>
    <x v="458"/>
    <x v="458"/>
    <x v="458"/>
    <x v="458"/>
  </r>
  <r>
    <x v="458"/>
    <x v="375"/>
    <x v="5"/>
    <x v="375"/>
    <x v="2"/>
    <x v="372"/>
    <x v="368"/>
    <x v="19"/>
    <x v="0"/>
    <x v="3"/>
    <x v="7"/>
    <x v="11"/>
    <x v="0"/>
    <x v="2"/>
    <x v="8"/>
    <x v="0"/>
    <x v="458"/>
    <x v="459"/>
    <x v="457"/>
    <x v="457"/>
    <x v="457"/>
    <x v="2"/>
    <x v="5"/>
    <x v="0"/>
    <x v="5"/>
    <x v="20"/>
    <x v="20"/>
    <x v="459"/>
    <x v="459"/>
    <x v="459"/>
    <x v="459"/>
    <x v="459"/>
    <x v="459"/>
  </r>
  <r>
    <x v="459"/>
    <x v="376"/>
    <x v="8"/>
    <x v="376"/>
    <x v="3"/>
    <x v="373"/>
    <x v="369"/>
    <x v="23"/>
    <x v="0"/>
    <x v="1"/>
    <x v="2"/>
    <x v="27"/>
    <x v="5"/>
    <x v="3"/>
    <x v="13"/>
    <x v="0"/>
    <x v="459"/>
    <x v="460"/>
    <x v="458"/>
    <x v="458"/>
    <x v="458"/>
    <x v="0"/>
    <x v="105"/>
    <x v="0"/>
    <x v="97"/>
    <x v="0"/>
    <x v="0"/>
    <x v="460"/>
    <x v="460"/>
    <x v="460"/>
    <x v="460"/>
    <x v="460"/>
    <x v="460"/>
  </r>
  <r>
    <x v="460"/>
    <x v="362"/>
    <x v="5"/>
    <x v="362"/>
    <x v="2"/>
    <x v="374"/>
    <x v="370"/>
    <x v="10"/>
    <x v="0"/>
    <x v="0"/>
    <x v="11"/>
    <x v="25"/>
    <x v="5"/>
    <x v="0"/>
    <x v="11"/>
    <x v="6"/>
    <x v="460"/>
    <x v="461"/>
    <x v="459"/>
    <x v="459"/>
    <x v="459"/>
    <x v="0"/>
    <x v="31"/>
    <x v="0"/>
    <x v="31"/>
    <x v="17"/>
    <x v="17"/>
    <x v="461"/>
    <x v="461"/>
    <x v="461"/>
    <x v="461"/>
    <x v="461"/>
    <x v="461"/>
  </r>
  <r>
    <x v="461"/>
    <x v="34"/>
    <x v="0"/>
    <x v="34"/>
    <x v="0"/>
    <x v="375"/>
    <x v="371"/>
    <x v="29"/>
    <x v="0"/>
    <x v="3"/>
    <x v="6"/>
    <x v="37"/>
    <x v="0"/>
    <x v="4"/>
    <x v="12"/>
    <x v="1"/>
    <x v="461"/>
    <x v="462"/>
    <x v="460"/>
    <x v="460"/>
    <x v="460"/>
    <x v="1"/>
    <x v="136"/>
    <x v="0"/>
    <x v="126"/>
    <x v="27"/>
    <x v="27"/>
    <x v="462"/>
    <x v="462"/>
    <x v="462"/>
    <x v="462"/>
    <x v="462"/>
    <x v="462"/>
  </r>
  <r>
    <x v="462"/>
    <x v="377"/>
    <x v="7"/>
    <x v="377"/>
    <x v="2"/>
    <x v="376"/>
    <x v="372"/>
    <x v="26"/>
    <x v="0"/>
    <x v="0"/>
    <x v="11"/>
    <x v="25"/>
    <x v="5"/>
    <x v="5"/>
    <x v="3"/>
    <x v="2"/>
    <x v="462"/>
    <x v="463"/>
    <x v="461"/>
    <x v="461"/>
    <x v="461"/>
    <x v="0"/>
    <x v="213"/>
    <x v="0"/>
    <x v="189"/>
    <x v="20"/>
    <x v="20"/>
    <x v="463"/>
    <x v="463"/>
    <x v="463"/>
    <x v="463"/>
    <x v="463"/>
    <x v="463"/>
  </r>
  <r>
    <x v="463"/>
    <x v="378"/>
    <x v="8"/>
    <x v="378"/>
    <x v="3"/>
    <x v="377"/>
    <x v="373"/>
    <x v="6"/>
    <x v="0"/>
    <x v="1"/>
    <x v="2"/>
    <x v="27"/>
    <x v="4"/>
    <x v="2"/>
    <x v="1"/>
    <x v="0"/>
    <x v="463"/>
    <x v="464"/>
    <x v="462"/>
    <x v="462"/>
    <x v="462"/>
    <x v="0"/>
    <x v="62"/>
    <x v="1"/>
    <x v="33"/>
    <x v="6"/>
    <x v="6"/>
    <x v="464"/>
    <x v="464"/>
    <x v="464"/>
    <x v="464"/>
    <x v="464"/>
    <x v="464"/>
  </r>
  <r>
    <x v="464"/>
    <x v="379"/>
    <x v="10"/>
    <x v="379"/>
    <x v="1"/>
    <x v="133"/>
    <x v="131"/>
    <x v="20"/>
    <x v="0"/>
    <x v="0"/>
    <x v="0"/>
    <x v="13"/>
    <x v="2"/>
    <x v="3"/>
    <x v="0"/>
    <x v="0"/>
    <x v="464"/>
    <x v="465"/>
    <x v="463"/>
    <x v="463"/>
    <x v="463"/>
    <x v="2"/>
    <x v="126"/>
    <x v="1"/>
    <x v="117"/>
    <x v="26"/>
    <x v="26"/>
    <x v="465"/>
    <x v="465"/>
    <x v="465"/>
    <x v="465"/>
    <x v="465"/>
    <x v="465"/>
  </r>
  <r>
    <x v="465"/>
    <x v="304"/>
    <x v="9"/>
    <x v="304"/>
    <x v="2"/>
    <x v="75"/>
    <x v="374"/>
    <x v="15"/>
    <x v="1"/>
    <x v="0"/>
    <x v="1"/>
    <x v="1"/>
    <x v="2"/>
    <x v="4"/>
    <x v="12"/>
    <x v="6"/>
    <x v="465"/>
    <x v="466"/>
    <x v="464"/>
    <x v="464"/>
    <x v="464"/>
    <x v="0"/>
    <x v="83"/>
    <x v="1"/>
    <x v="77"/>
    <x v="8"/>
    <x v="8"/>
    <x v="466"/>
    <x v="466"/>
    <x v="466"/>
    <x v="466"/>
    <x v="466"/>
    <x v="466"/>
  </r>
  <r>
    <x v="466"/>
    <x v="380"/>
    <x v="3"/>
    <x v="380"/>
    <x v="1"/>
    <x v="198"/>
    <x v="198"/>
    <x v="29"/>
    <x v="0"/>
    <x v="1"/>
    <x v="4"/>
    <x v="29"/>
    <x v="3"/>
    <x v="3"/>
    <x v="14"/>
    <x v="2"/>
    <x v="466"/>
    <x v="467"/>
    <x v="465"/>
    <x v="465"/>
    <x v="465"/>
    <x v="2"/>
    <x v="88"/>
    <x v="0"/>
    <x v="82"/>
    <x v="5"/>
    <x v="5"/>
    <x v="467"/>
    <x v="467"/>
    <x v="467"/>
    <x v="467"/>
    <x v="467"/>
    <x v="467"/>
  </r>
  <r>
    <x v="467"/>
    <x v="262"/>
    <x v="9"/>
    <x v="262"/>
    <x v="2"/>
    <x v="378"/>
    <x v="375"/>
    <x v="3"/>
    <x v="1"/>
    <x v="3"/>
    <x v="6"/>
    <x v="22"/>
    <x v="5"/>
    <x v="4"/>
    <x v="12"/>
    <x v="0"/>
    <x v="467"/>
    <x v="468"/>
    <x v="466"/>
    <x v="466"/>
    <x v="466"/>
    <x v="2"/>
    <x v="214"/>
    <x v="1"/>
    <x v="33"/>
    <x v="4"/>
    <x v="4"/>
    <x v="468"/>
    <x v="468"/>
    <x v="468"/>
    <x v="468"/>
    <x v="468"/>
    <x v="468"/>
  </r>
  <r>
    <x v="468"/>
    <x v="381"/>
    <x v="0"/>
    <x v="381"/>
    <x v="0"/>
    <x v="3"/>
    <x v="3"/>
    <x v="23"/>
    <x v="0"/>
    <x v="3"/>
    <x v="6"/>
    <x v="9"/>
    <x v="5"/>
    <x v="1"/>
    <x v="6"/>
    <x v="1"/>
    <x v="468"/>
    <x v="469"/>
    <x v="467"/>
    <x v="467"/>
    <x v="467"/>
    <x v="1"/>
    <x v="215"/>
    <x v="0"/>
    <x v="190"/>
    <x v="17"/>
    <x v="17"/>
    <x v="469"/>
    <x v="469"/>
    <x v="469"/>
    <x v="469"/>
    <x v="469"/>
    <x v="469"/>
  </r>
  <r>
    <x v="469"/>
    <x v="382"/>
    <x v="5"/>
    <x v="382"/>
    <x v="2"/>
    <x v="379"/>
    <x v="376"/>
    <x v="11"/>
    <x v="0"/>
    <x v="0"/>
    <x v="0"/>
    <x v="13"/>
    <x v="4"/>
    <x v="3"/>
    <x v="9"/>
    <x v="1"/>
    <x v="469"/>
    <x v="470"/>
    <x v="468"/>
    <x v="468"/>
    <x v="468"/>
    <x v="1"/>
    <x v="216"/>
    <x v="0"/>
    <x v="191"/>
    <x v="2"/>
    <x v="2"/>
    <x v="470"/>
    <x v="470"/>
    <x v="470"/>
    <x v="470"/>
    <x v="470"/>
    <x v="470"/>
  </r>
  <r>
    <x v="470"/>
    <x v="345"/>
    <x v="11"/>
    <x v="345"/>
    <x v="3"/>
    <x v="380"/>
    <x v="377"/>
    <x v="28"/>
    <x v="0"/>
    <x v="3"/>
    <x v="7"/>
    <x v="17"/>
    <x v="4"/>
    <x v="4"/>
    <x v="5"/>
    <x v="1"/>
    <x v="470"/>
    <x v="471"/>
    <x v="469"/>
    <x v="469"/>
    <x v="469"/>
    <x v="2"/>
    <x v="159"/>
    <x v="0"/>
    <x v="147"/>
    <x v="9"/>
    <x v="9"/>
    <x v="471"/>
    <x v="471"/>
    <x v="471"/>
    <x v="471"/>
    <x v="471"/>
    <x v="471"/>
  </r>
  <r>
    <x v="471"/>
    <x v="350"/>
    <x v="8"/>
    <x v="350"/>
    <x v="3"/>
    <x v="216"/>
    <x v="216"/>
    <x v="8"/>
    <x v="0"/>
    <x v="1"/>
    <x v="9"/>
    <x v="38"/>
    <x v="4"/>
    <x v="1"/>
    <x v="12"/>
    <x v="0"/>
    <x v="471"/>
    <x v="472"/>
    <x v="470"/>
    <x v="470"/>
    <x v="470"/>
    <x v="1"/>
    <x v="13"/>
    <x v="0"/>
    <x v="13"/>
    <x v="2"/>
    <x v="2"/>
    <x v="472"/>
    <x v="472"/>
    <x v="472"/>
    <x v="472"/>
    <x v="472"/>
    <x v="472"/>
  </r>
  <r>
    <x v="472"/>
    <x v="383"/>
    <x v="2"/>
    <x v="383"/>
    <x v="0"/>
    <x v="381"/>
    <x v="378"/>
    <x v="21"/>
    <x v="0"/>
    <x v="0"/>
    <x v="0"/>
    <x v="0"/>
    <x v="2"/>
    <x v="1"/>
    <x v="11"/>
    <x v="5"/>
    <x v="472"/>
    <x v="473"/>
    <x v="471"/>
    <x v="471"/>
    <x v="471"/>
    <x v="1"/>
    <x v="38"/>
    <x v="0"/>
    <x v="38"/>
    <x v="8"/>
    <x v="8"/>
    <x v="473"/>
    <x v="473"/>
    <x v="473"/>
    <x v="473"/>
    <x v="473"/>
    <x v="473"/>
  </r>
  <r>
    <x v="473"/>
    <x v="384"/>
    <x v="11"/>
    <x v="384"/>
    <x v="3"/>
    <x v="382"/>
    <x v="379"/>
    <x v="28"/>
    <x v="0"/>
    <x v="3"/>
    <x v="7"/>
    <x v="28"/>
    <x v="1"/>
    <x v="0"/>
    <x v="2"/>
    <x v="3"/>
    <x v="473"/>
    <x v="474"/>
    <x v="472"/>
    <x v="472"/>
    <x v="472"/>
    <x v="1"/>
    <x v="44"/>
    <x v="1"/>
    <x v="42"/>
    <x v="7"/>
    <x v="7"/>
    <x v="474"/>
    <x v="474"/>
    <x v="474"/>
    <x v="474"/>
    <x v="474"/>
    <x v="474"/>
  </r>
  <r>
    <x v="474"/>
    <x v="207"/>
    <x v="5"/>
    <x v="207"/>
    <x v="2"/>
    <x v="383"/>
    <x v="380"/>
    <x v="24"/>
    <x v="1"/>
    <x v="2"/>
    <x v="5"/>
    <x v="30"/>
    <x v="5"/>
    <x v="0"/>
    <x v="12"/>
    <x v="1"/>
    <x v="474"/>
    <x v="475"/>
    <x v="473"/>
    <x v="473"/>
    <x v="473"/>
    <x v="1"/>
    <x v="174"/>
    <x v="0"/>
    <x v="161"/>
    <x v="3"/>
    <x v="3"/>
    <x v="475"/>
    <x v="475"/>
    <x v="475"/>
    <x v="475"/>
    <x v="475"/>
    <x v="475"/>
  </r>
  <r>
    <x v="475"/>
    <x v="385"/>
    <x v="5"/>
    <x v="385"/>
    <x v="2"/>
    <x v="365"/>
    <x v="361"/>
    <x v="30"/>
    <x v="1"/>
    <x v="3"/>
    <x v="8"/>
    <x v="12"/>
    <x v="2"/>
    <x v="4"/>
    <x v="3"/>
    <x v="4"/>
    <x v="475"/>
    <x v="476"/>
    <x v="474"/>
    <x v="474"/>
    <x v="474"/>
    <x v="0"/>
    <x v="25"/>
    <x v="0"/>
    <x v="25"/>
    <x v="27"/>
    <x v="27"/>
    <x v="476"/>
    <x v="476"/>
    <x v="476"/>
    <x v="476"/>
    <x v="476"/>
    <x v="476"/>
  </r>
  <r>
    <x v="476"/>
    <x v="211"/>
    <x v="0"/>
    <x v="211"/>
    <x v="0"/>
    <x v="384"/>
    <x v="381"/>
    <x v="3"/>
    <x v="1"/>
    <x v="3"/>
    <x v="6"/>
    <x v="37"/>
    <x v="5"/>
    <x v="4"/>
    <x v="8"/>
    <x v="0"/>
    <x v="476"/>
    <x v="477"/>
    <x v="475"/>
    <x v="475"/>
    <x v="475"/>
    <x v="0"/>
    <x v="211"/>
    <x v="0"/>
    <x v="187"/>
    <x v="16"/>
    <x v="16"/>
    <x v="477"/>
    <x v="477"/>
    <x v="477"/>
    <x v="477"/>
    <x v="477"/>
    <x v="477"/>
  </r>
  <r>
    <x v="477"/>
    <x v="386"/>
    <x v="8"/>
    <x v="386"/>
    <x v="3"/>
    <x v="241"/>
    <x v="239"/>
    <x v="27"/>
    <x v="0"/>
    <x v="3"/>
    <x v="8"/>
    <x v="31"/>
    <x v="2"/>
    <x v="1"/>
    <x v="1"/>
    <x v="4"/>
    <x v="477"/>
    <x v="478"/>
    <x v="476"/>
    <x v="476"/>
    <x v="476"/>
    <x v="2"/>
    <x v="154"/>
    <x v="1"/>
    <x v="142"/>
    <x v="42"/>
    <x v="42"/>
    <x v="478"/>
    <x v="478"/>
    <x v="478"/>
    <x v="478"/>
    <x v="478"/>
    <x v="478"/>
  </r>
  <r>
    <x v="478"/>
    <x v="387"/>
    <x v="7"/>
    <x v="387"/>
    <x v="2"/>
    <x v="357"/>
    <x v="382"/>
    <x v="4"/>
    <x v="1"/>
    <x v="3"/>
    <x v="6"/>
    <x v="22"/>
    <x v="0"/>
    <x v="4"/>
    <x v="5"/>
    <x v="6"/>
    <x v="478"/>
    <x v="479"/>
    <x v="477"/>
    <x v="477"/>
    <x v="477"/>
    <x v="0"/>
    <x v="113"/>
    <x v="0"/>
    <x v="105"/>
    <x v="49"/>
    <x v="49"/>
    <x v="479"/>
    <x v="479"/>
    <x v="479"/>
    <x v="479"/>
    <x v="479"/>
    <x v="479"/>
  </r>
  <r>
    <x v="479"/>
    <x v="279"/>
    <x v="4"/>
    <x v="279"/>
    <x v="0"/>
    <x v="385"/>
    <x v="383"/>
    <x v="19"/>
    <x v="0"/>
    <x v="1"/>
    <x v="2"/>
    <x v="32"/>
    <x v="4"/>
    <x v="2"/>
    <x v="3"/>
    <x v="2"/>
    <x v="479"/>
    <x v="480"/>
    <x v="478"/>
    <x v="478"/>
    <x v="478"/>
    <x v="2"/>
    <x v="171"/>
    <x v="0"/>
    <x v="158"/>
    <x v="13"/>
    <x v="13"/>
    <x v="480"/>
    <x v="480"/>
    <x v="480"/>
    <x v="480"/>
    <x v="480"/>
    <x v="480"/>
  </r>
  <r>
    <x v="480"/>
    <x v="209"/>
    <x v="6"/>
    <x v="209"/>
    <x v="3"/>
    <x v="252"/>
    <x v="250"/>
    <x v="3"/>
    <x v="1"/>
    <x v="1"/>
    <x v="2"/>
    <x v="27"/>
    <x v="4"/>
    <x v="3"/>
    <x v="13"/>
    <x v="1"/>
    <x v="480"/>
    <x v="481"/>
    <x v="479"/>
    <x v="479"/>
    <x v="479"/>
    <x v="0"/>
    <x v="119"/>
    <x v="0"/>
    <x v="110"/>
    <x v="50"/>
    <x v="50"/>
    <x v="481"/>
    <x v="481"/>
    <x v="481"/>
    <x v="481"/>
    <x v="481"/>
    <x v="481"/>
  </r>
  <r>
    <x v="481"/>
    <x v="388"/>
    <x v="11"/>
    <x v="388"/>
    <x v="3"/>
    <x v="382"/>
    <x v="379"/>
    <x v="3"/>
    <x v="1"/>
    <x v="3"/>
    <x v="7"/>
    <x v="11"/>
    <x v="4"/>
    <x v="2"/>
    <x v="1"/>
    <x v="4"/>
    <x v="481"/>
    <x v="482"/>
    <x v="480"/>
    <x v="480"/>
    <x v="480"/>
    <x v="2"/>
    <x v="191"/>
    <x v="0"/>
    <x v="171"/>
    <x v="4"/>
    <x v="4"/>
    <x v="482"/>
    <x v="482"/>
    <x v="482"/>
    <x v="482"/>
    <x v="482"/>
    <x v="482"/>
  </r>
  <r>
    <x v="482"/>
    <x v="86"/>
    <x v="7"/>
    <x v="86"/>
    <x v="2"/>
    <x v="19"/>
    <x v="384"/>
    <x v="28"/>
    <x v="0"/>
    <x v="3"/>
    <x v="6"/>
    <x v="9"/>
    <x v="0"/>
    <x v="3"/>
    <x v="5"/>
    <x v="3"/>
    <x v="482"/>
    <x v="483"/>
    <x v="481"/>
    <x v="481"/>
    <x v="481"/>
    <x v="0"/>
    <x v="114"/>
    <x v="0"/>
    <x v="106"/>
    <x v="21"/>
    <x v="21"/>
    <x v="483"/>
    <x v="483"/>
    <x v="483"/>
    <x v="483"/>
    <x v="483"/>
    <x v="483"/>
  </r>
  <r>
    <x v="483"/>
    <x v="389"/>
    <x v="11"/>
    <x v="389"/>
    <x v="3"/>
    <x v="386"/>
    <x v="385"/>
    <x v="15"/>
    <x v="1"/>
    <x v="2"/>
    <x v="5"/>
    <x v="8"/>
    <x v="1"/>
    <x v="4"/>
    <x v="3"/>
    <x v="2"/>
    <x v="483"/>
    <x v="484"/>
    <x v="482"/>
    <x v="482"/>
    <x v="482"/>
    <x v="2"/>
    <x v="82"/>
    <x v="0"/>
    <x v="76"/>
    <x v="20"/>
    <x v="20"/>
    <x v="484"/>
    <x v="484"/>
    <x v="484"/>
    <x v="484"/>
    <x v="484"/>
    <x v="484"/>
  </r>
  <r>
    <x v="484"/>
    <x v="390"/>
    <x v="3"/>
    <x v="390"/>
    <x v="1"/>
    <x v="387"/>
    <x v="386"/>
    <x v="18"/>
    <x v="1"/>
    <x v="3"/>
    <x v="7"/>
    <x v="17"/>
    <x v="5"/>
    <x v="0"/>
    <x v="10"/>
    <x v="0"/>
    <x v="484"/>
    <x v="485"/>
    <x v="483"/>
    <x v="483"/>
    <x v="483"/>
    <x v="0"/>
    <x v="77"/>
    <x v="0"/>
    <x v="72"/>
    <x v="9"/>
    <x v="9"/>
    <x v="485"/>
    <x v="485"/>
    <x v="485"/>
    <x v="485"/>
    <x v="485"/>
    <x v="485"/>
  </r>
  <r>
    <x v="485"/>
    <x v="391"/>
    <x v="1"/>
    <x v="391"/>
    <x v="1"/>
    <x v="388"/>
    <x v="387"/>
    <x v="17"/>
    <x v="0"/>
    <x v="3"/>
    <x v="7"/>
    <x v="28"/>
    <x v="5"/>
    <x v="3"/>
    <x v="0"/>
    <x v="3"/>
    <x v="485"/>
    <x v="486"/>
    <x v="484"/>
    <x v="484"/>
    <x v="484"/>
    <x v="0"/>
    <x v="217"/>
    <x v="1"/>
    <x v="192"/>
    <x v="21"/>
    <x v="21"/>
    <x v="486"/>
    <x v="486"/>
    <x v="486"/>
    <x v="486"/>
    <x v="486"/>
    <x v="486"/>
  </r>
  <r>
    <x v="486"/>
    <x v="392"/>
    <x v="10"/>
    <x v="392"/>
    <x v="1"/>
    <x v="389"/>
    <x v="388"/>
    <x v="22"/>
    <x v="0"/>
    <x v="2"/>
    <x v="3"/>
    <x v="35"/>
    <x v="3"/>
    <x v="3"/>
    <x v="8"/>
    <x v="1"/>
    <x v="486"/>
    <x v="487"/>
    <x v="485"/>
    <x v="485"/>
    <x v="485"/>
    <x v="2"/>
    <x v="13"/>
    <x v="0"/>
    <x v="13"/>
    <x v="4"/>
    <x v="4"/>
    <x v="487"/>
    <x v="487"/>
    <x v="487"/>
    <x v="487"/>
    <x v="487"/>
    <x v="487"/>
  </r>
  <r>
    <x v="487"/>
    <x v="393"/>
    <x v="5"/>
    <x v="393"/>
    <x v="2"/>
    <x v="390"/>
    <x v="389"/>
    <x v="7"/>
    <x v="0"/>
    <x v="3"/>
    <x v="8"/>
    <x v="31"/>
    <x v="1"/>
    <x v="2"/>
    <x v="11"/>
    <x v="1"/>
    <x v="487"/>
    <x v="488"/>
    <x v="486"/>
    <x v="486"/>
    <x v="486"/>
    <x v="0"/>
    <x v="115"/>
    <x v="0"/>
    <x v="107"/>
    <x v="51"/>
    <x v="51"/>
    <x v="488"/>
    <x v="488"/>
    <x v="488"/>
    <x v="488"/>
    <x v="488"/>
    <x v="488"/>
  </r>
  <r>
    <x v="488"/>
    <x v="394"/>
    <x v="5"/>
    <x v="394"/>
    <x v="2"/>
    <x v="378"/>
    <x v="375"/>
    <x v="28"/>
    <x v="0"/>
    <x v="1"/>
    <x v="2"/>
    <x v="4"/>
    <x v="5"/>
    <x v="4"/>
    <x v="10"/>
    <x v="3"/>
    <x v="488"/>
    <x v="489"/>
    <x v="487"/>
    <x v="487"/>
    <x v="487"/>
    <x v="2"/>
    <x v="157"/>
    <x v="0"/>
    <x v="145"/>
    <x v="6"/>
    <x v="6"/>
    <x v="489"/>
    <x v="489"/>
    <x v="489"/>
    <x v="489"/>
    <x v="489"/>
    <x v="489"/>
  </r>
  <r>
    <x v="489"/>
    <x v="395"/>
    <x v="7"/>
    <x v="395"/>
    <x v="2"/>
    <x v="226"/>
    <x v="225"/>
    <x v="27"/>
    <x v="0"/>
    <x v="0"/>
    <x v="1"/>
    <x v="3"/>
    <x v="0"/>
    <x v="3"/>
    <x v="8"/>
    <x v="6"/>
    <x v="489"/>
    <x v="490"/>
    <x v="488"/>
    <x v="488"/>
    <x v="488"/>
    <x v="0"/>
    <x v="5"/>
    <x v="0"/>
    <x v="5"/>
    <x v="27"/>
    <x v="27"/>
    <x v="490"/>
    <x v="490"/>
    <x v="490"/>
    <x v="490"/>
    <x v="490"/>
    <x v="490"/>
  </r>
  <r>
    <x v="490"/>
    <x v="396"/>
    <x v="11"/>
    <x v="396"/>
    <x v="3"/>
    <x v="252"/>
    <x v="250"/>
    <x v="6"/>
    <x v="0"/>
    <x v="3"/>
    <x v="7"/>
    <x v="17"/>
    <x v="0"/>
    <x v="4"/>
    <x v="1"/>
    <x v="0"/>
    <x v="490"/>
    <x v="491"/>
    <x v="489"/>
    <x v="489"/>
    <x v="489"/>
    <x v="0"/>
    <x v="5"/>
    <x v="0"/>
    <x v="5"/>
    <x v="11"/>
    <x v="11"/>
    <x v="491"/>
    <x v="491"/>
    <x v="491"/>
    <x v="491"/>
    <x v="491"/>
    <x v="491"/>
  </r>
  <r>
    <x v="491"/>
    <x v="319"/>
    <x v="8"/>
    <x v="319"/>
    <x v="3"/>
    <x v="85"/>
    <x v="84"/>
    <x v="29"/>
    <x v="0"/>
    <x v="1"/>
    <x v="2"/>
    <x v="32"/>
    <x v="3"/>
    <x v="2"/>
    <x v="5"/>
    <x v="6"/>
    <x v="491"/>
    <x v="492"/>
    <x v="490"/>
    <x v="490"/>
    <x v="490"/>
    <x v="0"/>
    <x v="200"/>
    <x v="0"/>
    <x v="178"/>
    <x v="21"/>
    <x v="21"/>
    <x v="492"/>
    <x v="492"/>
    <x v="492"/>
    <x v="492"/>
    <x v="492"/>
    <x v="492"/>
  </r>
  <r>
    <x v="492"/>
    <x v="397"/>
    <x v="0"/>
    <x v="397"/>
    <x v="0"/>
    <x v="391"/>
    <x v="390"/>
    <x v="1"/>
    <x v="1"/>
    <x v="2"/>
    <x v="5"/>
    <x v="8"/>
    <x v="2"/>
    <x v="4"/>
    <x v="2"/>
    <x v="3"/>
    <x v="492"/>
    <x v="493"/>
    <x v="491"/>
    <x v="491"/>
    <x v="491"/>
    <x v="0"/>
    <x v="191"/>
    <x v="0"/>
    <x v="171"/>
    <x v="11"/>
    <x v="11"/>
    <x v="493"/>
    <x v="493"/>
    <x v="493"/>
    <x v="493"/>
    <x v="493"/>
    <x v="493"/>
  </r>
  <r>
    <x v="493"/>
    <x v="398"/>
    <x v="5"/>
    <x v="398"/>
    <x v="2"/>
    <x v="392"/>
    <x v="391"/>
    <x v="28"/>
    <x v="0"/>
    <x v="1"/>
    <x v="4"/>
    <x v="18"/>
    <x v="4"/>
    <x v="1"/>
    <x v="10"/>
    <x v="6"/>
    <x v="493"/>
    <x v="494"/>
    <x v="492"/>
    <x v="492"/>
    <x v="492"/>
    <x v="0"/>
    <x v="174"/>
    <x v="0"/>
    <x v="161"/>
    <x v="14"/>
    <x v="14"/>
    <x v="494"/>
    <x v="494"/>
    <x v="494"/>
    <x v="494"/>
    <x v="494"/>
    <x v="494"/>
  </r>
  <r>
    <x v="494"/>
    <x v="399"/>
    <x v="11"/>
    <x v="399"/>
    <x v="3"/>
    <x v="148"/>
    <x v="148"/>
    <x v="19"/>
    <x v="0"/>
    <x v="2"/>
    <x v="10"/>
    <x v="36"/>
    <x v="3"/>
    <x v="0"/>
    <x v="14"/>
    <x v="5"/>
    <x v="494"/>
    <x v="495"/>
    <x v="493"/>
    <x v="493"/>
    <x v="493"/>
    <x v="0"/>
    <x v="139"/>
    <x v="0"/>
    <x v="129"/>
    <x v="5"/>
    <x v="5"/>
    <x v="495"/>
    <x v="495"/>
    <x v="495"/>
    <x v="495"/>
    <x v="495"/>
    <x v="495"/>
  </r>
  <r>
    <x v="495"/>
    <x v="264"/>
    <x v="9"/>
    <x v="264"/>
    <x v="2"/>
    <x v="393"/>
    <x v="392"/>
    <x v="16"/>
    <x v="0"/>
    <x v="2"/>
    <x v="5"/>
    <x v="10"/>
    <x v="2"/>
    <x v="4"/>
    <x v="0"/>
    <x v="2"/>
    <x v="495"/>
    <x v="496"/>
    <x v="494"/>
    <x v="494"/>
    <x v="494"/>
    <x v="2"/>
    <x v="56"/>
    <x v="0"/>
    <x v="53"/>
    <x v="2"/>
    <x v="2"/>
    <x v="496"/>
    <x v="496"/>
    <x v="496"/>
    <x v="496"/>
    <x v="496"/>
    <x v="496"/>
  </r>
  <r>
    <x v="496"/>
    <x v="191"/>
    <x v="6"/>
    <x v="191"/>
    <x v="3"/>
    <x v="394"/>
    <x v="393"/>
    <x v="3"/>
    <x v="1"/>
    <x v="3"/>
    <x v="8"/>
    <x v="21"/>
    <x v="3"/>
    <x v="2"/>
    <x v="9"/>
    <x v="2"/>
    <x v="496"/>
    <x v="497"/>
    <x v="495"/>
    <x v="495"/>
    <x v="495"/>
    <x v="1"/>
    <x v="174"/>
    <x v="0"/>
    <x v="161"/>
    <x v="19"/>
    <x v="19"/>
    <x v="497"/>
    <x v="497"/>
    <x v="497"/>
    <x v="497"/>
    <x v="497"/>
    <x v="497"/>
  </r>
  <r>
    <x v="497"/>
    <x v="391"/>
    <x v="1"/>
    <x v="391"/>
    <x v="1"/>
    <x v="395"/>
    <x v="394"/>
    <x v="4"/>
    <x v="1"/>
    <x v="2"/>
    <x v="5"/>
    <x v="10"/>
    <x v="0"/>
    <x v="3"/>
    <x v="4"/>
    <x v="6"/>
    <x v="497"/>
    <x v="498"/>
    <x v="496"/>
    <x v="496"/>
    <x v="496"/>
    <x v="1"/>
    <x v="92"/>
    <x v="0"/>
    <x v="86"/>
    <x v="15"/>
    <x v="15"/>
    <x v="498"/>
    <x v="498"/>
    <x v="498"/>
    <x v="498"/>
    <x v="498"/>
    <x v="498"/>
  </r>
  <r>
    <x v="498"/>
    <x v="17"/>
    <x v="6"/>
    <x v="17"/>
    <x v="3"/>
    <x v="396"/>
    <x v="395"/>
    <x v="29"/>
    <x v="0"/>
    <x v="2"/>
    <x v="5"/>
    <x v="30"/>
    <x v="1"/>
    <x v="1"/>
    <x v="0"/>
    <x v="5"/>
    <x v="498"/>
    <x v="499"/>
    <x v="497"/>
    <x v="497"/>
    <x v="497"/>
    <x v="1"/>
    <x v="218"/>
    <x v="1"/>
    <x v="193"/>
    <x v="20"/>
    <x v="20"/>
    <x v="499"/>
    <x v="499"/>
    <x v="499"/>
    <x v="499"/>
    <x v="499"/>
    <x v="499"/>
  </r>
  <r>
    <x v="499"/>
    <x v="129"/>
    <x v="5"/>
    <x v="129"/>
    <x v="2"/>
    <x v="295"/>
    <x v="292"/>
    <x v="16"/>
    <x v="0"/>
    <x v="1"/>
    <x v="4"/>
    <x v="6"/>
    <x v="2"/>
    <x v="0"/>
    <x v="4"/>
    <x v="5"/>
    <x v="499"/>
    <x v="500"/>
    <x v="498"/>
    <x v="498"/>
    <x v="498"/>
    <x v="1"/>
    <x v="208"/>
    <x v="0"/>
    <x v="185"/>
    <x v="3"/>
    <x v="3"/>
    <x v="500"/>
    <x v="500"/>
    <x v="500"/>
    <x v="500"/>
    <x v="500"/>
    <x v="500"/>
  </r>
  <r>
    <x v="500"/>
    <x v="400"/>
    <x v="7"/>
    <x v="400"/>
    <x v="2"/>
    <x v="141"/>
    <x v="396"/>
    <x v="1"/>
    <x v="1"/>
    <x v="3"/>
    <x v="8"/>
    <x v="21"/>
    <x v="2"/>
    <x v="3"/>
    <x v="13"/>
    <x v="3"/>
    <x v="500"/>
    <x v="501"/>
    <x v="499"/>
    <x v="499"/>
    <x v="499"/>
    <x v="0"/>
    <x v="150"/>
    <x v="0"/>
    <x v="139"/>
    <x v="11"/>
    <x v="11"/>
    <x v="501"/>
    <x v="501"/>
    <x v="501"/>
    <x v="501"/>
    <x v="501"/>
    <x v="501"/>
  </r>
  <r>
    <x v="501"/>
    <x v="29"/>
    <x v="2"/>
    <x v="29"/>
    <x v="0"/>
    <x v="384"/>
    <x v="381"/>
    <x v="20"/>
    <x v="0"/>
    <x v="1"/>
    <x v="9"/>
    <x v="38"/>
    <x v="1"/>
    <x v="3"/>
    <x v="11"/>
    <x v="1"/>
    <x v="501"/>
    <x v="502"/>
    <x v="500"/>
    <x v="500"/>
    <x v="500"/>
    <x v="2"/>
    <x v="90"/>
    <x v="0"/>
    <x v="84"/>
    <x v="5"/>
    <x v="5"/>
    <x v="502"/>
    <x v="502"/>
    <x v="502"/>
    <x v="502"/>
    <x v="502"/>
    <x v="502"/>
  </r>
  <r>
    <x v="502"/>
    <x v="401"/>
    <x v="0"/>
    <x v="401"/>
    <x v="0"/>
    <x v="397"/>
    <x v="397"/>
    <x v="25"/>
    <x v="1"/>
    <x v="1"/>
    <x v="9"/>
    <x v="38"/>
    <x v="2"/>
    <x v="1"/>
    <x v="3"/>
    <x v="2"/>
    <x v="502"/>
    <x v="503"/>
    <x v="501"/>
    <x v="501"/>
    <x v="501"/>
    <x v="2"/>
    <x v="27"/>
    <x v="0"/>
    <x v="27"/>
    <x v="27"/>
    <x v="27"/>
    <x v="503"/>
    <x v="503"/>
    <x v="503"/>
    <x v="503"/>
    <x v="503"/>
    <x v="503"/>
  </r>
  <r>
    <x v="503"/>
    <x v="402"/>
    <x v="0"/>
    <x v="402"/>
    <x v="0"/>
    <x v="398"/>
    <x v="398"/>
    <x v="13"/>
    <x v="0"/>
    <x v="2"/>
    <x v="5"/>
    <x v="30"/>
    <x v="5"/>
    <x v="4"/>
    <x v="9"/>
    <x v="2"/>
    <x v="503"/>
    <x v="504"/>
    <x v="502"/>
    <x v="502"/>
    <x v="502"/>
    <x v="1"/>
    <x v="68"/>
    <x v="0"/>
    <x v="63"/>
    <x v="0"/>
    <x v="0"/>
    <x v="504"/>
    <x v="504"/>
    <x v="504"/>
    <x v="504"/>
    <x v="504"/>
    <x v="504"/>
  </r>
  <r>
    <x v="504"/>
    <x v="403"/>
    <x v="7"/>
    <x v="403"/>
    <x v="2"/>
    <x v="58"/>
    <x v="58"/>
    <x v="3"/>
    <x v="1"/>
    <x v="0"/>
    <x v="1"/>
    <x v="3"/>
    <x v="2"/>
    <x v="4"/>
    <x v="11"/>
    <x v="0"/>
    <x v="504"/>
    <x v="505"/>
    <x v="503"/>
    <x v="503"/>
    <x v="503"/>
    <x v="1"/>
    <x v="82"/>
    <x v="0"/>
    <x v="76"/>
    <x v="23"/>
    <x v="23"/>
    <x v="505"/>
    <x v="505"/>
    <x v="505"/>
    <x v="505"/>
    <x v="505"/>
    <x v="505"/>
  </r>
  <r>
    <x v="505"/>
    <x v="60"/>
    <x v="7"/>
    <x v="60"/>
    <x v="2"/>
    <x v="283"/>
    <x v="399"/>
    <x v="8"/>
    <x v="0"/>
    <x v="2"/>
    <x v="10"/>
    <x v="36"/>
    <x v="0"/>
    <x v="4"/>
    <x v="13"/>
    <x v="3"/>
    <x v="505"/>
    <x v="506"/>
    <x v="504"/>
    <x v="504"/>
    <x v="504"/>
    <x v="1"/>
    <x v="146"/>
    <x v="1"/>
    <x v="135"/>
    <x v="12"/>
    <x v="12"/>
    <x v="506"/>
    <x v="506"/>
    <x v="506"/>
    <x v="506"/>
    <x v="506"/>
    <x v="506"/>
  </r>
  <r>
    <x v="506"/>
    <x v="404"/>
    <x v="1"/>
    <x v="404"/>
    <x v="1"/>
    <x v="399"/>
    <x v="400"/>
    <x v="3"/>
    <x v="1"/>
    <x v="1"/>
    <x v="9"/>
    <x v="23"/>
    <x v="4"/>
    <x v="3"/>
    <x v="2"/>
    <x v="2"/>
    <x v="506"/>
    <x v="507"/>
    <x v="505"/>
    <x v="505"/>
    <x v="505"/>
    <x v="2"/>
    <x v="113"/>
    <x v="0"/>
    <x v="105"/>
    <x v="8"/>
    <x v="8"/>
    <x v="507"/>
    <x v="507"/>
    <x v="507"/>
    <x v="507"/>
    <x v="507"/>
    <x v="507"/>
  </r>
  <r>
    <x v="507"/>
    <x v="290"/>
    <x v="7"/>
    <x v="290"/>
    <x v="2"/>
    <x v="400"/>
    <x v="287"/>
    <x v="1"/>
    <x v="1"/>
    <x v="3"/>
    <x v="7"/>
    <x v="17"/>
    <x v="4"/>
    <x v="1"/>
    <x v="8"/>
    <x v="4"/>
    <x v="507"/>
    <x v="508"/>
    <x v="506"/>
    <x v="506"/>
    <x v="506"/>
    <x v="0"/>
    <x v="199"/>
    <x v="0"/>
    <x v="177"/>
    <x v="11"/>
    <x v="11"/>
    <x v="508"/>
    <x v="508"/>
    <x v="508"/>
    <x v="508"/>
    <x v="508"/>
    <x v="508"/>
  </r>
  <r>
    <x v="508"/>
    <x v="405"/>
    <x v="10"/>
    <x v="405"/>
    <x v="1"/>
    <x v="401"/>
    <x v="401"/>
    <x v="26"/>
    <x v="0"/>
    <x v="1"/>
    <x v="4"/>
    <x v="29"/>
    <x v="0"/>
    <x v="4"/>
    <x v="10"/>
    <x v="4"/>
    <x v="508"/>
    <x v="509"/>
    <x v="507"/>
    <x v="507"/>
    <x v="507"/>
    <x v="2"/>
    <x v="86"/>
    <x v="0"/>
    <x v="80"/>
    <x v="27"/>
    <x v="27"/>
    <x v="509"/>
    <x v="509"/>
    <x v="509"/>
    <x v="509"/>
    <x v="509"/>
    <x v="509"/>
  </r>
  <r>
    <x v="509"/>
    <x v="406"/>
    <x v="5"/>
    <x v="406"/>
    <x v="2"/>
    <x v="28"/>
    <x v="28"/>
    <x v="3"/>
    <x v="1"/>
    <x v="1"/>
    <x v="4"/>
    <x v="18"/>
    <x v="2"/>
    <x v="3"/>
    <x v="0"/>
    <x v="5"/>
    <x v="509"/>
    <x v="510"/>
    <x v="508"/>
    <x v="508"/>
    <x v="508"/>
    <x v="0"/>
    <x v="219"/>
    <x v="1"/>
    <x v="194"/>
    <x v="16"/>
    <x v="16"/>
    <x v="510"/>
    <x v="510"/>
    <x v="510"/>
    <x v="510"/>
    <x v="510"/>
    <x v="510"/>
  </r>
  <r>
    <x v="510"/>
    <x v="263"/>
    <x v="0"/>
    <x v="263"/>
    <x v="0"/>
    <x v="402"/>
    <x v="402"/>
    <x v="28"/>
    <x v="0"/>
    <x v="2"/>
    <x v="10"/>
    <x v="15"/>
    <x v="4"/>
    <x v="1"/>
    <x v="9"/>
    <x v="0"/>
    <x v="510"/>
    <x v="511"/>
    <x v="509"/>
    <x v="509"/>
    <x v="509"/>
    <x v="0"/>
    <x v="45"/>
    <x v="0"/>
    <x v="43"/>
    <x v="2"/>
    <x v="2"/>
    <x v="511"/>
    <x v="511"/>
    <x v="511"/>
    <x v="511"/>
    <x v="511"/>
    <x v="511"/>
  </r>
  <r>
    <x v="511"/>
    <x v="407"/>
    <x v="1"/>
    <x v="407"/>
    <x v="1"/>
    <x v="168"/>
    <x v="168"/>
    <x v="25"/>
    <x v="1"/>
    <x v="3"/>
    <x v="8"/>
    <x v="31"/>
    <x v="2"/>
    <x v="3"/>
    <x v="4"/>
    <x v="0"/>
    <x v="511"/>
    <x v="512"/>
    <x v="510"/>
    <x v="510"/>
    <x v="510"/>
    <x v="2"/>
    <x v="34"/>
    <x v="0"/>
    <x v="34"/>
    <x v="49"/>
    <x v="49"/>
    <x v="512"/>
    <x v="512"/>
    <x v="512"/>
    <x v="512"/>
    <x v="512"/>
    <x v="512"/>
  </r>
  <r>
    <x v="512"/>
    <x v="408"/>
    <x v="9"/>
    <x v="408"/>
    <x v="2"/>
    <x v="403"/>
    <x v="403"/>
    <x v="1"/>
    <x v="1"/>
    <x v="3"/>
    <x v="6"/>
    <x v="37"/>
    <x v="3"/>
    <x v="1"/>
    <x v="8"/>
    <x v="3"/>
    <x v="512"/>
    <x v="513"/>
    <x v="511"/>
    <x v="511"/>
    <x v="511"/>
    <x v="1"/>
    <x v="195"/>
    <x v="0"/>
    <x v="174"/>
    <x v="27"/>
    <x v="27"/>
    <x v="513"/>
    <x v="513"/>
    <x v="513"/>
    <x v="513"/>
    <x v="513"/>
    <x v="513"/>
  </r>
  <r>
    <x v="513"/>
    <x v="409"/>
    <x v="4"/>
    <x v="409"/>
    <x v="0"/>
    <x v="404"/>
    <x v="404"/>
    <x v="25"/>
    <x v="1"/>
    <x v="1"/>
    <x v="4"/>
    <x v="18"/>
    <x v="1"/>
    <x v="0"/>
    <x v="2"/>
    <x v="0"/>
    <x v="513"/>
    <x v="514"/>
    <x v="512"/>
    <x v="512"/>
    <x v="512"/>
    <x v="2"/>
    <x v="5"/>
    <x v="0"/>
    <x v="5"/>
    <x v="21"/>
    <x v="21"/>
    <x v="514"/>
    <x v="514"/>
    <x v="514"/>
    <x v="514"/>
    <x v="514"/>
    <x v="514"/>
  </r>
  <r>
    <x v="514"/>
    <x v="117"/>
    <x v="11"/>
    <x v="117"/>
    <x v="3"/>
    <x v="405"/>
    <x v="405"/>
    <x v="20"/>
    <x v="0"/>
    <x v="1"/>
    <x v="4"/>
    <x v="29"/>
    <x v="2"/>
    <x v="3"/>
    <x v="13"/>
    <x v="4"/>
    <x v="514"/>
    <x v="515"/>
    <x v="513"/>
    <x v="513"/>
    <x v="513"/>
    <x v="1"/>
    <x v="5"/>
    <x v="0"/>
    <x v="5"/>
    <x v="21"/>
    <x v="21"/>
    <x v="515"/>
    <x v="515"/>
    <x v="515"/>
    <x v="515"/>
    <x v="515"/>
    <x v="515"/>
  </r>
  <r>
    <x v="515"/>
    <x v="323"/>
    <x v="6"/>
    <x v="323"/>
    <x v="3"/>
    <x v="406"/>
    <x v="406"/>
    <x v="17"/>
    <x v="0"/>
    <x v="1"/>
    <x v="2"/>
    <x v="27"/>
    <x v="5"/>
    <x v="1"/>
    <x v="14"/>
    <x v="1"/>
    <x v="515"/>
    <x v="516"/>
    <x v="514"/>
    <x v="514"/>
    <x v="514"/>
    <x v="1"/>
    <x v="87"/>
    <x v="0"/>
    <x v="81"/>
    <x v="19"/>
    <x v="19"/>
    <x v="516"/>
    <x v="516"/>
    <x v="516"/>
    <x v="516"/>
    <x v="516"/>
    <x v="516"/>
  </r>
  <r>
    <x v="516"/>
    <x v="253"/>
    <x v="5"/>
    <x v="253"/>
    <x v="2"/>
    <x v="407"/>
    <x v="407"/>
    <x v="19"/>
    <x v="0"/>
    <x v="0"/>
    <x v="1"/>
    <x v="3"/>
    <x v="3"/>
    <x v="3"/>
    <x v="9"/>
    <x v="6"/>
    <x v="516"/>
    <x v="517"/>
    <x v="515"/>
    <x v="515"/>
    <x v="515"/>
    <x v="0"/>
    <x v="105"/>
    <x v="0"/>
    <x v="97"/>
    <x v="15"/>
    <x v="15"/>
    <x v="517"/>
    <x v="517"/>
    <x v="517"/>
    <x v="517"/>
    <x v="517"/>
    <x v="517"/>
  </r>
  <r>
    <x v="517"/>
    <x v="372"/>
    <x v="5"/>
    <x v="372"/>
    <x v="2"/>
    <x v="94"/>
    <x v="408"/>
    <x v="2"/>
    <x v="0"/>
    <x v="3"/>
    <x v="6"/>
    <x v="9"/>
    <x v="2"/>
    <x v="0"/>
    <x v="5"/>
    <x v="2"/>
    <x v="517"/>
    <x v="518"/>
    <x v="516"/>
    <x v="516"/>
    <x v="516"/>
    <x v="1"/>
    <x v="159"/>
    <x v="0"/>
    <x v="147"/>
    <x v="5"/>
    <x v="5"/>
    <x v="518"/>
    <x v="518"/>
    <x v="518"/>
    <x v="518"/>
    <x v="518"/>
    <x v="518"/>
  </r>
  <r>
    <x v="518"/>
    <x v="410"/>
    <x v="5"/>
    <x v="410"/>
    <x v="2"/>
    <x v="72"/>
    <x v="133"/>
    <x v="13"/>
    <x v="0"/>
    <x v="0"/>
    <x v="1"/>
    <x v="1"/>
    <x v="0"/>
    <x v="4"/>
    <x v="9"/>
    <x v="0"/>
    <x v="518"/>
    <x v="519"/>
    <x v="517"/>
    <x v="517"/>
    <x v="517"/>
    <x v="0"/>
    <x v="216"/>
    <x v="0"/>
    <x v="191"/>
    <x v="28"/>
    <x v="28"/>
    <x v="519"/>
    <x v="519"/>
    <x v="519"/>
    <x v="519"/>
    <x v="519"/>
    <x v="519"/>
  </r>
  <r>
    <x v="519"/>
    <x v="411"/>
    <x v="8"/>
    <x v="411"/>
    <x v="3"/>
    <x v="332"/>
    <x v="328"/>
    <x v="17"/>
    <x v="0"/>
    <x v="3"/>
    <x v="7"/>
    <x v="11"/>
    <x v="0"/>
    <x v="4"/>
    <x v="1"/>
    <x v="0"/>
    <x v="519"/>
    <x v="520"/>
    <x v="518"/>
    <x v="518"/>
    <x v="518"/>
    <x v="1"/>
    <x v="79"/>
    <x v="0"/>
    <x v="74"/>
    <x v="8"/>
    <x v="8"/>
    <x v="520"/>
    <x v="520"/>
    <x v="520"/>
    <x v="520"/>
    <x v="520"/>
    <x v="520"/>
  </r>
  <r>
    <x v="520"/>
    <x v="406"/>
    <x v="5"/>
    <x v="406"/>
    <x v="2"/>
    <x v="408"/>
    <x v="72"/>
    <x v="13"/>
    <x v="0"/>
    <x v="1"/>
    <x v="4"/>
    <x v="29"/>
    <x v="3"/>
    <x v="0"/>
    <x v="12"/>
    <x v="4"/>
    <x v="520"/>
    <x v="521"/>
    <x v="519"/>
    <x v="519"/>
    <x v="519"/>
    <x v="2"/>
    <x v="165"/>
    <x v="0"/>
    <x v="152"/>
    <x v="9"/>
    <x v="9"/>
    <x v="521"/>
    <x v="521"/>
    <x v="521"/>
    <x v="521"/>
    <x v="521"/>
    <x v="521"/>
  </r>
  <r>
    <x v="521"/>
    <x v="411"/>
    <x v="8"/>
    <x v="411"/>
    <x v="3"/>
    <x v="292"/>
    <x v="409"/>
    <x v="4"/>
    <x v="1"/>
    <x v="1"/>
    <x v="9"/>
    <x v="23"/>
    <x v="4"/>
    <x v="0"/>
    <x v="14"/>
    <x v="6"/>
    <x v="521"/>
    <x v="522"/>
    <x v="520"/>
    <x v="520"/>
    <x v="520"/>
    <x v="1"/>
    <x v="5"/>
    <x v="0"/>
    <x v="5"/>
    <x v="9"/>
    <x v="9"/>
    <x v="522"/>
    <x v="522"/>
    <x v="522"/>
    <x v="522"/>
    <x v="522"/>
    <x v="522"/>
  </r>
  <r>
    <x v="522"/>
    <x v="412"/>
    <x v="7"/>
    <x v="412"/>
    <x v="2"/>
    <x v="409"/>
    <x v="410"/>
    <x v="12"/>
    <x v="0"/>
    <x v="0"/>
    <x v="0"/>
    <x v="0"/>
    <x v="2"/>
    <x v="1"/>
    <x v="13"/>
    <x v="5"/>
    <x v="522"/>
    <x v="523"/>
    <x v="521"/>
    <x v="521"/>
    <x v="521"/>
    <x v="1"/>
    <x v="12"/>
    <x v="0"/>
    <x v="12"/>
    <x v="4"/>
    <x v="4"/>
    <x v="523"/>
    <x v="523"/>
    <x v="523"/>
    <x v="523"/>
    <x v="523"/>
    <x v="523"/>
  </r>
  <r>
    <x v="523"/>
    <x v="94"/>
    <x v="4"/>
    <x v="94"/>
    <x v="0"/>
    <x v="385"/>
    <x v="383"/>
    <x v="24"/>
    <x v="1"/>
    <x v="2"/>
    <x v="10"/>
    <x v="24"/>
    <x v="2"/>
    <x v="4"/>
    <x v="6"/>
    <x v="0"/>
    <x v="523"/>
    <x v="524"/>
    <x v="522"/>
    <x v="522"/>
    <x v="522"/>
    <x v="2"/>
    <x v="189"/>
    <x v="0"/>
    <x v="170"/>
    <x v="6"/>
    <x v="6"/>
    <x v="524"/>
    <x v="524"/>
    <x v="524"/>
    <x v="524"/>
    <x v="524"/>
    <x v="524"/>
  </r>
  <r>
    <x v="524"/>
    <x v="413"/>
    <x v="7"/>
    <x v="413"/>
    <x v="2"/>
    <x v="410"/>
    <x v="411"/>
    <x v="22"/>
    <x v="0"/>
    <x v="0"/>
    <x v="0"/>
    <x v="16"/>
    <x v="5"/>
    <x v="1"/>
    <x v="14"/>
    <x v="1"/>
    <x v="524"/>
    <x v="525"/>
    <x v="523"/>
    <x v="523"/>
    <x v="523"/>
    <x v="0"/>
    <x v="152"/>
    <x v="1"/>
    <x v="140"/>
    <x v="20"/>
    <x v="20"/>
    <x v="525"/>
    <x v="525"/>
    <x v="525"/>
    <x v="525"/>
    <x v="525"/>
    <x v="525"/>
  </r>
  <r>
    <x v="525"/>
    <x v="414"/>
    <x v="2"/>
    <x v="414"/>
    <x v="0"/>
    <x v="51"/>
    <x v="51"/>
    <x v="26"/>
    <x v="0"/>
    <x v="0"/>
    <x v="1"/>
    <x v="3"/>
    <x v="4"/>
    <x v="3"/>
    <x v="0"/>
    <x v="1"/>
    <x v="525"/>
    <x v="526"/>
    <x v="524"/>
    <x v="524"/>
    <x v="524"/>
    <x v="0"/>
    <x v="157"/>
    <x v="0"/>
    <x v="145"/>
    <x v="42"/>
    <x v="42"/>
    <x v="526"/>
    <x v="526"/>
    <x v="526"/>
    <x v="526"/>
    <x v="526"/>
    <x v="526"/>
  </r>
  <r>
    <x v="526"/>
    <x v="415"/>
    <x v="4"/>
    <x v="415"/>
    <x v="0"/>
    <x v="411"/>
    <x v="412"/>
    <x v="16"/>
    <x v="0"/>
    <x v="1"/>
    <x v="9"/>
    <x v="14"/>
    <x v="2"/>
    <x v="0"/>
    <x v="12"/>
    <x v="1"/>
    <x v="526"/>
    <x v="527"/>
    <x v="525"/>
    <x v="525"/>
    <x v="525"/>
    <x v="1"/>
    <x v="5"/>
    <x v="0"/>
    <x v="5"/>
    <x v="15"/>
    <x v="15"/>
    <x v="527"/>
    <x v="527"/>
    <x v="527"/>
    <x v="527"/>
    <x v="527"/>
    <x v="527"/>
  </r>
  <r>
    <x v="527"/>
    <x v="416"/>
    <x v="9"/>
    <x v="416"/>
    <x v="2"/>
    <x v="412"/>
    <x v="413"/>
    <x v="5"/>
    <x v="0"/>
    <x v="0"/>
    <x v="0"/>
    <x v="2"/>
    <x v="3"/>
    <x v="3"/>
    <x v="14"/>
    <x v="4"/>
    <x v="527"/>
    <x v="528"/>
    <x v="526"/>
    <x v="526"/>
    <x v="526"/>
    <x v="1"/>
    <x v="163"/>
    <x v="0"/>
    <x v="150"/>
    <x v="32"/>
    <x v="32"/>
    <x v="528"/>
    <x v="528"/>
    <x v="528"/>
    <x v="528"/>
    <x v="528"/>
    <x v="528"/>
  </r>
  <r>
    <x v="528"/>
    <x v="417"/>
    <x v="11"/>
    <x v="417"/>
    <x v="3"/>
    <x v="413"/>
    <x v="414"/>
    <x v="29"/>
    <x v="0"/>
    <x v="0"/>
    <x v="11"/>
    <x v="25"/>
    <x v="4"/>
    <x v="2"/>
    <x v="12"/>
    <x v="1"/>
    <x v="528"/>
    <x v="529"/>
    <x v="527"/>
    <x v="527"/>
    <x v="527"/>
    <x v="2"/>
    <x v="5"/>
    <x v="0"/>
    <x v="5"/>
    <x v="11"/>
    <x v="11"/>
    <x v="529"/>
    <x v="529"/>
    <x v="529"/>
    <x v="529"/>
    <x v="529"/>
    <x v="529"/>
  </r>
  <r>
    <x v="529"/>
    <x v="247"/>
    <x v="4"/>
    <x v="247"/>
    <x v="0"/>
    <x v="414"/>
    <x v="415"/>
    <x v="16"/>
    <x v="0"/>
    <x v="1"/>
    <x v="2"/>
    <x v="4"/>
    <x v="3"/>
    <x v="2"/>
    <x v="2"/>
    <x v="2"/>
    <x v="529"/>
    <x v="530"/>
    <x v="528"/>
    <x v="528"/>
    <x v="528"/>
    <x v="1"/>
    <x v="16"/>
    <x v="0"/>
    <x v="16"/>
    <x v="0"/>
    <x v="0"/>
    <x v="530"/>
    <x v="530"/>
    <x v="530"/>
    <x v="530"/>
    <x v="530"/>
    <x v="530"/>
  </r>
  <r>
    <x v="530"/>
    <x v="418"/>
    <x v="0"/>
    <x v="418"/>
    <x v="0"/>
    <x v="268"/>
    <x v="266"/>
    <x v="14"/>
    <x v="0"/>
    <x v="3"/>
    <x v="6"/>
    <x v="9"/>
    <x v="4"/>
    <x v="1"/>
    <x v="2"/>
    <x v="3"/>
    <x v="530"/>
    <x v="531"/>
    <x v="529"/>
    <x v="529"/>
    <x v="529"/>
    <x v="0"/>
    <x v="153"/>
    <x v="0"/>
    <x v="141"/>
    <x v="27"/>
    <x v="27"/>
    <x v="531"/>
    <x v="531"/>
    <x v="531"/>
    <x v="531"/>
    <x v="531"/>
    <x v="531"/>
  </r>
  <r>
    <x v="531"/>
    <x v="222"/>
    <x v="7"/>
    <x v="222"/>
    <x v="2"/>
    <x v="415"/>
    <x v="416"/>
    <x v="8"/>
    <x v="0"/>
    <x v="3"/>
    <x v="7"/>
    <x v="17"/>
    <x v="5"/>
    <x v="2"/>
    <x v="11"/>
    <x v="5"/>
    <x v="531"/>
    <x v="532"/>
    <x v="530"/>
    <x v="530"/>
    <x v="530"/>
    <x v="0"/>
    <x v="60"/>
    <x v="0"/>
    <x v="56"/>
    <x v="0"/>
    <x v="0"/>
    <x v="532"/>
    <x v="532"/>
    <x v="532"/>
    <x v="532"/>
    <x v="532"/>
    <x v="532"/>
  </r>
  <r>
    <x v="532"/>
    <x v="419"/>
    <x v="11"/>
    <x v="419"/>
    <x v="3"/>
    <x v="286"/>
    <x v="283"/>
    <x v="13"/>
    <x v="0"/>
    <x v="0"/>
    <x v="11"/>
    <x v="25"/>
    <x v="5"/>
    <x v="0"/>
    <x v="8"/>
    <x v="3"/>
    <x v="532"/>
    <x v="533"/>
    <x v="531"/>
    <x v="531"/>
    <x v="531"/>
    <x v="1"/>
    <x v="72"/>
    <x v="0"/>
    <x v="67"/>
    <x v="11"/>
    <x v="11"/>
    <x v="533"/>
    <x v="533"/>
    <x v="533"/>
    <x v="533"/>
    <x v="533"/>
    <x v="533"/>
  </r>
  <r>
    <x v="533"/>
    <x v="35"/>
    <x v="9"/>
    <x v="35"/>
    <x v="2"/>
    <x v="245"/>
    <x v="243"/>
    <x v="8"/>
    <x v="0"/>
    <x v="0"/>
    <x v="11"/>
    <x v="20"/>
    <x v="5"/>
    <x v="2"/>
    <x v="1"/>
    <x v="4"/>
    <x v="533"/>
    <x v="534"/>
    <x v="532"/>
    <x v="532"/>
    <x v="532"/>
    <x v="2"/>
    <x v="220"/>
    <x v="1"/>
    <x v="195"/>
    <x v="10"/>
    <x v="10"/>
    <x v="534"/>
    <x v="534"/>
    <x v="534"/>
    <x v="534"/>
    <x v="534"/>
    <x v="534"/>
  </r>
  <r>
    <x v="534"/>
    <x v="420"/>
    <x v="4"/>
    <x v="420"/>
    <x v="0"/>
    <x v="195"/>
    <x v="195"/>
    <x v="29"/>
    <x v="0"/>
    <x v="2"/>
    <x v="5"/>
    <x v="10"/>
    <x v="2"/>
    <x v="0"/>
    <x v="5"/>
    <x v="4"/>
    <x v="534"/>
    <x v="535"/>
    <x v="533"/>
    <x v="533"/>
    <x v="533"/>
    <x v="1"/>
    <x v="197"/>
    <x v="0"/>
    <x v="176"/>
    <x v="2"/>
    <x v="2"/>
    <x v="535"/>
    <x v="535"/>
    <x v="535"/>
    <x v="535"/>
    <x v="535"/>
    <x v="535"/>
  </r>
  <r>
    <x v="535"/>
    <x v="306"/>
    <x v="8"/>
    <x v="306"/>
    <x v="3"/>
    <x v="416"/>
    <x v="417"/>
    <x v="23"/>
    <x v="0"/>
    <x v="3"/>
    <x v="7"/>
    <x v="28"/>
    <x v="0"/>
    <x v="4"/>
    <x v="9"/>
    <x v="2"/>
    <x v="535"/>
    <x v="536"/>
    <x v="534"/>
    <x v="534"/>
    <x v="534"/>
    <x v="0"/>
    <x v="9"/>
    <x v="0"/>
    <x v="9"/>
    <x v="16"/>
    <x v="16"/>
    <x v="536"/>
    <x v="536"/>
    <x v="536"/>
    <x v="536"/>
    <x v="536"/>
    <x v="536"/>
  </r>
  <r>
    <x v="536"/>
    <x v="421"/>
    <x v="11"/>
    <x v="421"/>
    <x v="3"/>
    <x v="417"/>
    <x v="418"/>
    <x v="23"/>
    <x v="0"/>
    <x v="2"/>
    <x v="10"/>
    <x v="15"/>
    <x v="0"/>
    <x v="3"/>
    <x v="4"/>
    <x v="4"/>
    <x v="387"/>
    <x v="537"/>
    <x v="535"/>
    <x v="535"/>
    <x v="535"/>
    <x v="2"/>
    <x v="24"/>
    <x v="0"/>
    <x v="24"/>
    <x v="42"/>
    <x v="42"/>
    <x v="537"/>
    <x v="537"/>
    <x v="537"/>
    <x v="537"/>
    <x v="537"/>
    <x v="537"/>
  </r>
  <r>
    <x v="537"/>
    <x v="422"/>
    <x v="8"/>
    <x v="422"/>
    <x v="3"/>
    <x v="418"/>
    <x v="419"/>
    <x v="30"/>
    <x v="1"/>
    <x v="0"/>
    <x v="11"/>
    <x v="33"/>
    <x v="4"/>
    <x v="2"/>
    <x v="5"/>
    <x v="6"/>
    <x v="536"/>
    <x v="538"/>
    <x v="536"/>
    <x v="536"/>
    <x v="536"/>
    <x v="1"/>
    <x v="221"/>
    <x v="0"/>
    <x v="196"/>
    <x v="4"/>
    <x v="4"/>
    <x v="538"/>
    <x v="538"/>
    <x v="538"/>
    <x v="538"/>
    <x v="538"/>
    <x v="538"/>
  </r>
  <r>
    <x v="538"/>
    <x v="423"/>
    <x v="3"/>
    <x v="423"/>
    <x v="1"/>
    <x v="236"/>
    <x v="234"/>
    <x v="3"/>
    <x v="1"/>
    <x v="0"/>
    <x v="11"/>
    <x v="33"/>
    <x v="1"/>
    <x v="3"/>
    <x v="8"/>
    <x v="1"/>
    <x v="537"/>
    <x v="539"/>
    <x v="537"/>
    <x v="537"/>
    <x v="537"/>
    <x v="2"/>
    <x v="105"/>
    <x v="0"/>
    <x v="97"/>
    <x v="48"/>
    <x v="48"/>
    <x v="539"/>
    <x v="539"/>
    <x v="539"/>
    <x v="539"/>
    <x v="539"/>
    <x v="539"/>
  </r>
  <r>
    <x v="539"/>
    <x v="424"/>
    <x v="4"/>
    <x v="424"/>
    <x v="0"/>
    <x v="419"/>
    <x v="420"/>
    <x v="8"/>
    <x v="0"/>
    <x v="3"/>
    <x v="6"/>
    <x v="9"/>
    <x v="4"/>
    <x v="1"/>
    <x v="7"/>
    <x v="2"/>
    <x v="538"/>
    <x v="540"/>
    <x v="538"/>
    <x v="538"/>
    <x v="538"/>
    <x v="0"/>
    <x v="25"/>
    <x v="0"/>
    <x v="25"/>
    <x v="11"/>
    <x v="11"/>
    <x v="540"/>
    <x v="540"/>
    <x v="540"/>
    <x v="540"/>
    <x v="540"/>
    <x v="540"/>
  </r>
  <r>
    <x v="540"/>
    <x v="425"/>
    <x v="8"/>
    <x v="425"/>
    <x v="3"/>
    <x v="420"/>
    <x v="421"/>
    <x v="25"/>
    <x v="1"/>
    <x v="0"/>
    <x v="0"/>
    <x v="2"/>
    <x v="3"/>
    <x v="1"/>
    <x v="14"/>
    <x v="4"/>
    <x v="539"/>
    <x v="541"/>
    <x v="539"/>
    <x v="539"/>
    <x v="539"/>
    <x v="2"/>
    <x v="5"/>
    <x v="0"/>
    <x v="5"/>
    <x v="5"/>
    <x v="5"/>
    <x v="541"/>
    <x v="541"/>
    <x v="541"/>
    <x v="541"/>
    <x v="541"/>
    <x v="541"/>
  </r>
  <r>
    <x v="541"/>
    <x v="116"/>
    <x v="9"/>
    <x v="116"/>
    <x v="2"/>
    <x v="421"/>
    <x v="422"/>
    <x v="24"/>
    <x v="1"/>
    <x v="1"/>
    <x v="9"/>
    <x v="23"/>
    <x v="0"/>
    <x v="0"/>
    <x v="7"/>
    <x v="5"/>
    <x v="540"/>
    <x v="542"/>
    <x v="540"/>
    <x v="540"/>
    <x v="540"/>
    <x v="2"/>
    <x v="112"/>
    <x v="0"/>
    <x v="104"/>
    <x v="13"/>
    <x v="13"/>
    <x v="542"/>
    <x v="542"/>
    <x v="542"/>
    <x v="542"/>
    <x v="542"/>
    <x v="542"/>
  </r>
  <r>
    <x v="542"/>
    <x v="426"/>
    <x v="2"/>
    <x v="426"/>
    <x v="0"/>
    <x v="24"/>
    <x v="24"/>
    <x v="25"/>
    <x v="1"/>
    <x v="0"/>
    <x v="1"/>
    <x v="1"/>
    <x v="2"/>
    <x v="4"/>
    <x v="14"/>
    <x v="6"/>
    <x v="541"/>
    <x v="543"/>
    <x v="541"/>
    <x v="541"/>
    <x v="541"/>
    <x v="0"/>
    <x v="163"/>
    <x v="0"/>
    <x v="150"/>
    <x v="8"/>
    <x v="8"/>
    <x v="543"/>
    <x v="543"/>
    <x v="543"/>
    <x v="543"/>
    <x v="543"/>
    <x v="543"/>
  </r>
  <r>
    <x v="543"/>
    <x v="306"/>
    <x v="8"/>
    <x v="306"/>
    <x v="3"/>
    <x v="260"/>
    <x v="258"/>
    <x v="1"/>
    <x v="1"/>
    <x v="3"/>
    <x v="6"/>
    <x v="37"/>
    <x v="4"/>
    <x v="3"/>
    <x v="13"/>
    <x v="4"/>
    <x v="542"/>
    <x v="544"/>
    <x v="542"/>
    <x v="542"/>
    <x v="542"/>
    <x v="1"/>
    <x v="158"/>
    <x v="0"/>
    <x v="146"/>
    <x v="16"/>
    <x v="16"/>
    <x v="544"/>
    <x v="544"/>
    <x v="544"/>
    <x v="544"/>
    <x v="544"/>
    <x v="544"/>
  </r>
  <r>
    <x v="544"/>
    <x v="427"/>
    <x v="11"/>
    <x v="427"/>
    <x v="3"/>
    <x v="255"/>
    <x v="423"/>
    <x v="30"/>
    <x v="1"/>
    <x v="2"/>
    <x v="10"/>
    <x v="39"/>
    <x v="0"/>
    <x v="0"/>
    <x v="12"/>
    <x v="2"/>
    <x v="543"/>
    <x v="545"/>
    <x v="543"/>
    <x v="543"/>
    <x v="543"/>
    <x v="2"/>
    <x v="123"/>
    <x v="1"/>
    <x v="114"/>
    <x v="15"/>
    <x v="15"/>
    <x v="545"/>
    <x v="545"/>
    <x v="545"/>
    <x v="545"/>
    <x v="545"/>
    <x v="545"/>
  </r>
  <r>
    <x v="545"/>
    <x v="428"/>
    <x v="0"/>
    <x v="428"/>
    <x v="0"/>
    <x v="259"/>
    <x v="257"/>
    <x v="7"/>
    <x v="0"/>
    <x v="0"/>
    <x v="11"/>
    <x v="20"/>
    <x v="5"/>
    <x v="3"/>
    <x v="12"/>
    <x v="5"/>
    <x v="544"/>
    <x v="546"/>
    <x v="544"/>
    <x v="544"/>
    <x v="544"/>
    <x v="1"/>
    <x v="1"/>
    <x v="1"/>
    <x v="1"/>
    <x v="8"/>
    <x v="8"/>
    <x v="546"/>
    <x v="546"/>
    <x v="546"/>
    <x v="546"/>
    <x v="546"/>
    <x v="546"/>
  </r>
  <r>
    <x v="546"/>
    <x v="429"/>
    <x v="6"/>
    <x v="429"/>
    <x v="3"/>
    <x v="203"/>
    <x v="203"/>
    <x v="9"/>
    <x v="0"/>
    <x v="2"/>
    <x v="3"/>
    <x v="5"/>
    <x v="1"/>
    <x v="4"/>
    <x v="8"/>
    <x v="6"/>
    <x v="545"/>
    <x v="547"/>
    <x v="545"/>
    <x v="545"/>
    <x v="545"/>
    <x v="2"/>
    <x v="222"/>
    <x v="1"/>
    <x v="197"/>
    <x v="15"/>
    <x v="15"/>
    <x v="547"/>
    <x v="547"/>
    <x v="547"/>
    <x v="547"/>
    <x v="547"/>
    <x v="547"/>
  </r>
  <r>
    <x v="547"/>
    <x v="2"/>
    <x v="2"/>
    <x v="2"/>
    <x v="0"/>
    <x v="422"/>
    <x v="424"/>
    <x v="30"/>
    <x v="1"/>
    <x v="3"/>
    <x v="6"/>
    <x v="37"/>
    <x v="4"/>
    <x v="2"/>
    <x v="14"/>
    <x v="1"/>
    <x v="546"/>
    <x v="548"/>
    <x v="546"/>
    <x v="546"/>
    <x v="546"/>
    <x v="1"/>
    <x v="82"/>
    <x v="0"/>
    <x v="76"/>
    <x v="51"/>
    <x v="51"/>
    <x v="548"/>
    <x v="548"/>
    <x v="548"/>
    <x v="548"/>
    <x v="548"/>
    <x v="548"/>
  </r>
  <r>
    <x v="548"/>
    <x v="293"/>
    <x v="8"/>
    <x v="293"/>
    <x v="3"/>
    <x v="423"/>
    <x v="425"/>
    <x v="28"/>
    <x v="0"/>
    <x v="2"/>
    <x v="5"/>
    <x v="30"/>
    <x v="0"/>
    <x v="2"/>
    <x v="12"/>
    <x v="5"/>
    <x v="547"/>
    <x v="549"/>
    <x v="547"/>
    <x v="547"/>
    <x v="547"/>
    <x v="1"/>
    <x v="30"/>
    <x v="0"/>
    <x v="30"/>
    <x v="2"/>
    <x v="2"/>
    <x v="549"/>
    <x v="549"/>
    <x v="549"/>
    <x v="549"/>
    <x v="549"/>
    <x v="549"/>
  </r>
  <r>
    <x v="549"/>
    <x v="430"/>
    <x v="3"/>
    <x v="430"/>
    <x v="1"/>
    <x v="129"/>
    <x v="127"/>
    <x v="6"/>
    <x v="0"/>
    <x v="3"/>
    <x v="8"/>
    <x v="21"/>
    <x v="5"/>
    <x v="1"/>
    <x v="14"/>
    <x v="2"/>
    <x v="548"/>
    <x v="550"/>
    <x v="548"/>
    <x v="548"/>
    <x v="548"/>
    <x v="2"/>
    <x v="189"/>
    <x v="0"/>
    <x v="170"/>
    <x v="4"/>
    <x v="4"/>
    <x v="550"/>
    <x v="550"/>
    <x v="550"/>
    <x v="550"/>
    <x v="550"/>
    <x v="550"/>
  </r>
  <r>
    <x v="550"/>
    <x v="431"/>
    <x v="11"/>
    <x v="431"/>
    <x v="3"/>
    <x v="424"/>
    <x v="426"/>
    <x v="13"/>
    <x v="0"/>
    <x v="2"/>
    <x v="5"/>
    <x v="10"/>
    <x v="3"/>
    <x v="3"/>
    <x v="8"/>
    <x v="5"/>
    <x v="549"/>
    <x v="551"/>
    <x v="549"/>
    <x v="549"/>
    <x v="549"/>
    <x v="0"/>
    <x v="123"/>
    <x v="1"/>
    <x v="114"/>
    <x v="21"/>
    <x v="21"/>
    <x v="551"/>
    <x v="551"/>
    <x v="551"/>
    <x v="551"/>
    <x v="551"/>
    <x v="551"/>
  </r>
  <r>
    <x v="551"/>
    <x v="432"/>
    <x v="0"/>
    <x v="432"/>
    <x v="0"/>
    <x v="96"/>
    <x v="95"/>
    <x v="13"/>
    <x v="0"/>
    <x v="1"/>
    <x v="2"/>
    <x v="32"/>
    <x v="4"/>
    <x v="1"/>
    <x v="14"/>
    <x v="2"/>
    <x v="550"/>
    <x v="552"/>
    <x v="550"/>
    <x v="550"/>
    <x v="550"/>
    <x v="2"/>
    <x v="87"/>
    <x v="0"/>
    <x v="81"/>
    <x v="21"/>
    <x v="21"/>
    <x v="552"/>
    <x v="552"/>
    <x v="552"/>
    <x v="552"/>
    <x v="552"/>
    <x v="552"/>
  </r>
  <r>
    <x v="552"/>
    <x v="433"/>
    <x v="2"/>
    <x v="433"/>
    <x v="0"/>
    <x v="345"/>
    <x v="341"/>
    <x v="10"/>
    <x v="0"/>
    <x v="3"/>
    <x v="6"/>
    <x v="22"/>
    <x v="3"/>
    <x v="0"/>
    <x v="4"/>
    <x v="6"/>
    <x v="551"/>
    <x v="553"/>
    <x v="551"/>
    <x v="551"/>
    <x v="551"/>
    <x v="1"/>
    <x v="174"/>
    <x v="0"/>
    <x v="161"/>
    <x v="3"/>
    <x v="3"/>
    <x v="553"/>
    <x v="553"/>
    <x v="553"/>
    <x v="553"/>
    <x v="553"/>
    <x v="553"/>
  </r>
  <r>
    <x v="553"/>
    <x v="146"/>
    <x v="2"/>
    <x v="146"/>
    <x v="0"/>
    <x v="54"/>
    <x v="54"/>
    <x v="16"/>
    <x v="0"/>
    <x v="0"/>
    <x v="0"/>
    <x v="13"/>
    <x v="1"/>
    <x v="4"/>
    <x v="4"/>
    <x v="6"/>
    <x v="552"/>
    <x v="554"/>
    <x v="552"/>
    <x v="552"/>
    <x v="552"/>
    <x v="1"/>
    <x v="24"/>
    <x v="0"/>
    <x v="24"/>
    <x v="2"/>
    <x v="2"/>
    <x v="554"/>
    <x v="554"/>
    <x v="554"/>
    <x v="554"/>
    <x v="554"/>
    <x v="554"/>
  </r>
  <r>
    <x v="554"/>
    <x v="434"/>
    <x v="11"/>
    <x v="434"/>
    <x v="3"/>
    <x v="425"/>
    <x v="427"/>
    <x v="0"/>
    <x v="0"/>
    <x v="1"/>
    <x v="2"/>
    <x v="27"/>
    <x v="1"/>
    <x v="1"/>
    <x v="2"/>
    <x v="3"/>
    <x v="553"/>
    <x v="555"/>
    <x v="553"/>
    <x v="553"/>
    <x v="553"/>
    <x v="2"/>
    <x v="22"/>
    <x v="0"/>
    <x v="22"/>
    <x v="20"/>
    <x v="20"/>
    <x v="555"/>
    <x v="555"/>
    <x v="555"/>
    <x v="555"/>
    <x v="555"/>
    <x v="555"/>
  </r>
  <r>
    <x v="555"/>
    <x v="239"/>
    <x v="5"/>
    <x v="239"/>
    <x v="2"/>
    <x v="426"/>
    <x v="428"/>
    <x v="19"/>
    <x v="0"/>
    <x v="1"/>
    <x v="4"/>
    <x v="29"/>
    <x v="5"/>
    <x v="0"/>
    <x v="14"/>
    <x v="6"/>
    <x v="554"/>
    <x v="556"/>
    <x v="554"/>
    <x v="554"/>
    <x v="554"/>
    <x v="2"/>
    <x v="5"/>
    <x v="0"/>
    <x v="5"/>
    <x v="7"/>
    <x v="7"/>
    <x v="556"/>
    <x v="556"/>
    <x v="556"/>
    <x v="556"/>
    <x v="556"/>
    <x v="556"/>
  </r>
  <r>
    <x v="556"/>
    <x v="78"/>
    <x v="5"/>
    <x v="78"/>
    <x v="2"/>
    <x v="415"/>
    <x v="429"/>
    <x v="1"/>
    <x v="1"/>
    <x v="2"/>
    <x v="3"/>
    <x v="26"/>
    <x v="2"/>
    <x v="3"/>
    <x v="9"/>
    <x v="1"/>
    <x v="555"/>
    <x v="557"/>
    <x v="555"/>
    <x v="555"/>
    <x v="555"/>
    <x v="2"/>
    <x v="223"/>
    <x v="0"/>
    <x v="198"/>
    <x v="19"/>
    <x v="19"/>
    <x v="557"/>
    <x v="557"/>
    <x v="557"/>
    <x v="557"/>
    <x v="557"/>
    <x v="557"/>
  </r>
  <r>
    <x v="557"/>
    <x v="0"/>
    <x v="0"/>
    <x v="0"/>
    <x v="0"/>
    <x v="427"/>
    <x v="430"/>
    <x v="5"/>
    <x v="0"/>
    <x v="2"/>
    <x v="10"/>
    <x v="39"/>
    <x v="0"/>
    <x v="0"/>
    <x v="12"/>
    <x v="5"/>
    <x v="556"/>
    <x v="558"/>
    <x v="556"/>
    <x v="556"/>
    <x v="556"/>
    <x v="1"/>
    <x v="126"/>
    <x v="1"/>
    <x v="117"/>
    <x v="0"/>
    <x v="0"/>
    <x v="558"/>
    <x v="558"/>
    <x v="558"/>
    <x v="558"/>
    <x v="558"/>
    <x v="558"/>
  </r>
  <r>
    <x v="558"/>
    <x v="22"/>
    <x v="5"/>
    <x v="22"/>
    <x v="2"/>
    <x v="428"/>
    <x v="431"/>
    <x v="3"/>
    <x v="1"/>
    <x v="0"/>
    <x v="0"/>
    <x v="2"/>
    <x v="0"/>
    <x v="4"/>
    <x v="10"/>
    <x v="6"/>
    <x v="557"/>
    <x v="559"/>
    <x v="557"/>
    <x v="557"/>
    <x v="557"/>
    <x v="2"/>
    <x v="153"/>
    <x v="0"/>
    <x v="141"/>
    <x v="0"/>
    <x v="0"/>
    <x v="559"/>
    <x v="559"/>
    <x v="559"/>
    <x v="559"/>
    <x v="559"/>
    <x v="559"/>
  </r>
  <r>
    <x v="559"/>
    <x v="435"/>
    <x v="4"/>
    <x v="435"/>
    <x v="0"/>
    <x v="429"/>
    <x v="432"/>
    <x v="3"/>
    <x v="1"/>
    <x v="1"/>
    <x v="4"/>
    <x v="6"/>
    <x v="0"/>
    <x v="4"/>
    <x v="6"/>
    <x v="1"/>
    <x v="558"/>
    <x v="560"/>
    <x v="558"/>
    <x v="558"/>
    <x v="558"/>
    <x v="0"/>
    <x v="18"/>
    <x v="0"/>
    <x v="18"/>
    <x v="30"/>
    <x v="30"/>
    <x v="560"/>
    <x v="560"/>
    <x v="560"/>
    <x v="560"/>
    <x v="560"/>
    <x v="560"/>
  </r>
  <r>
    <x v="560"/>
    <x v="40"/>
    <x v="1"/>
    <x v="40"/>
    <x v="1"/>
    <x v="272"/>
    <x v="268"/>
    <x v="22"/>
    <x v="0"/>
    <x v="2"/>
    <x v="10"/>
    <x v="39"/>
    <x v="0"/>
    <x v="3"/>
    <x v="13"/>
    <x v="0"/>
    <x v="559"/>
    <x v="561"/>
    <x v="559"/>
    <x v="559"/>
    <x v="559"/>
    <x v="0"/>
    <x v="180"/>
    <x v="0"/>
    <x v="165"/>
    <x v="4"/>
    <x v="4"/>
    <x v="561"/>
    <x v="561"/>
    <x v="561"/>
    <x v="561"/>
    <x v="561"/>
    <x v="561"/>
  </r>
  <r>
    <x v="561"/>
    <x v="25"/>
    <x v="10"/>
    <x v="25"/>
    <x v="1"/>
    <x v="354"/>
    <x v="350"/>
    <x v="6"/>
    <x v="0"/>
    <x v="0"/>
    <x v="0"/>
    <x v="0"/>
    <x v="0"/>
    <x v="1"/>
    <x v="4"/>
    <x v="3"/>
    <x v="560"/>
    <x v="562"/>
    <x v="560"/>
    <x v="560"/>
    <x v="560"/>
    <x v="2"/>
    <x v="133"/>
    <x v="0"/>
    <x v="123"/>
    <x v="14"/>
    <x v="14"/>
    <x v="562"/>
    <x v="562"/>
    <x v="562"/>
    <x v="562"/>
    <x v="562"/>
    <x v="562"/>
  </r>
  <r>
    <x v="562"/>
    <x v="290"/>
    <x v="7"/>
    <x v="290"/>
    <x v="2"/>
    <x v="430"/>
    <x v="433"/>
    <x v="6"/>
    <x v="0"/>
    <x v="2"/>
    <x v="3"/>
    <x v="19"/>
    <x v="3"/>
    <x v="3"/>
    <x v="6"/>
    <x v="5"/>
    <x v="561"/>
    <x v="563"/>
    <x v="561"/>
    <x v="561"/>
    <x v="561"/>
    <x v="2"/>
    <x v="81"/>
    <x v="0"/>
    <x v="75"/>
    <x v="8"/>
    <x v="8"/>
    <x v="563"/>
    <x v="563"/>
    <x v="563"/>
    <x v="563"/>
    <x v="563"/>
    <x v="563"/>
  </r>
  <r>
    <x v="563"/>
    <x v="185"/>
    <x v="2"/>
    <x v="185"/>
    <x v="0"/>
    <x v="173"/>
    <x v="173"/>
    <x v="3"/>
    <x v="1"/>
    <x v="3"/>
    <x v="8"/>
    <x v="31"/>
    <x v="5"/>
    <x v="2"/>
    <x v="4"/>
    <x v="2"/>
    <x v="562"/>
    <x v="564"/>
    <x v="562"/>
    <x v="562"/>
    <x v="562"/>
    <x v="0"/>
    <x v="55"/>
    <x v="0"/>
    <x v="52"/>
    <x v="4"/>
    <x v="4"/>
    <x v="564"/>
    <x v="564"/>
    <x v="564"/>
    <x v="564"/>
    <x v="564"/>
    <x v="564"/>
  </r>
  <r>
    <x v="564"/>
    <x v="436"/>
    <x v="4"/>
    <x v="436"/>
    <x v="0"/>
    <x v="431"/>
    <x v="434"/>
    <x v="22"/>
    <x v="0"/>
    <x v="3"/>
    <x v="8"/>
    <x v="31"/>
    <x v="3"/>
    <x v="0"/>
    <x v="5"/>
    <x v="4"/>
    <x v="563"/>
    <x v="565"/>
    <x v="563"/>
    <x v="563"/>
    <x v="563"/>
    <x v="1"/>
    <x v="17"/>
    <x v="0"/>
    <x v="17"/>
    <x v="6"/>
    <x v="6"/>
    <x v="565"/>
    <x v="565"/>
    <x v="565"/>
    <x v="565"/>
    <x v="565"/>
    <x v="565"/>
  </r>
  <r>
    <x v="565"/>
    <x v="437"/>
    <x v="2"/>
    <x v="437"/>
    <x v="0"/>
    <x v="10"/>
    <x v="10"/>
    <x v="25"/>
    <x v="1"/>
    <x v="0"/>
    <x v="0"/>
    <x v="13"/>
    <x v="0"/>
    <x v="4"/>
    <x v="9"/>
    <x v="0"/>
    <x v="564"/>
    <x v="566"/>
    <x v="564"/>
    <x v="564"/>
    <x v="564"/>
    <x v="1"/>
    <x v="38"/>
    <x v="0"/>
    <x v="38"/>
    <x v="20"/>
    <x v="20"/>
    <x v="566"/>
    <x v="566"/>
    <x v="566"/>
    <x v="566"/>
    <x v="566"/>
    <x v="566"/>
  </r>
  <r>
    <x v="566"/>
    <x v="438"/>
    <x v="9"/>
    <x v="438"/>
    <x v="2"/>
    <x v="313"/>
    <x v="310"/>
    <x v="14"/>
    <x v="0"/>
    <x v="0"/>
    <x v="1"/>
    <x v="1"/>
    <x v="4"/>
    <x v="1"/>
    <x v="8"/>
    <x v="4"/>
    <x v="565"/>
    <x v="567"/>
    <x v="565"/>
    <x v="565"/>
    <x v="565"/>
    <x v="2"/>
    <x v="77"/>
    <x v="0"/>
    <x v="72"/>
    <x v="9"/>
    <x v="9"/>
    <x v="567"/>
    <x v="567"/>
    <x v="567"/>
    <x v="567"/>
    <x v="567"/>
    <x v="567"/>
  </r>
  <r>
    <x v="567"/>
    <x v="273"/>
    <x v="10"/>
    <x v="273"/>
    <x v="1"/>
    <x v="432"/>
    <x v="435"/>
    <x v="4"/>
    <x v="1"/>
    <x v="3"/>
    <x v="7"/>
    <x v="17"/>
    <x v="0"/>
    <x v="1"/>
    <x v="7"/>
    <x v="5"/>
    <x v="566"/>
    <x v="568"/>
    <x v="566"/>
    <x v="566"/>
    <x v="566"/>
    <x v="2"/>
    <x v="115"/>
    <x v="0"/>
    <x v="107"/>
    <x v="17"/>
    <x v="17"/>
    <x v="568"/>
    <x v="568"/>
    <x v="568"/>
    <x v="568"/>
    <x v="568"/>
    <x v="568"/>
  </r>
  <r>
    <x v="568"/>
    <x v="439"/>
    <x v="2"/>
    <x v="439"/>
    <x v="0"/>
    <x v="433"/>
    <x v="436"/>
    <x v="18"/>
    <x v="1"/>
    <x v="2"/>
    <x v="10"/>
    <x v="39"/>
    <x v="5"/>
    <x v="1"/>
    <x v="0"/>
    <x v="2"/>
    <x v="567"/>
    <x v="569"/>
    <x v="567"/>
    <x v="567"/>
    <x v="567"/>
    <x v="2"/>
    <x v="5"/>
    <x v="0"/>
    <x v="5"/>
    <x v="2"/>
    <x v="2"/>
    <x v="569"/>
    <x v="569"/>
    <x v="569"/>
    <x v="569"/>
    <x v="569"/>
    <x v="569"/>
  </r>
  <r>
    <x v="569"/>
    <x v="440"/>
    <x v="7"/>
    <x v="440"/>
    <x v="2"/>
    <x v="434"/>
    <x v="437"/>
    <x v="25"/>
    <x v="1"/>
    <x v="1"/>
    <x v="2"/>
    <x v="4"/>
    <x v="5"/>
    <x v="1"/>
    <x v="3"/>
    <x v="0"/>
    <x v="568"/>
    <x v="570"/>
    <x v="568"/>
    <x v="568"/>
    <x v="568"/>
    <x v="0"/>
    <x v="134"/>
    <x v="0"/>
    <x v="124"/>
    <x v="2"/>
    <x v="2"/>
    <x v="570"/>
    <x v="570"/>
    <x v="570"/>
    <x v="570"/>
    <x v="570"/>
    <x v="570"/>
  </r>
  <r>
    <x v="570"/>
    <x v="408"/>
    <x v="9"/>
    <x v="408"/>
    <x v="2"/>
    <x v="435"/>
    <x v="438"/>
    <x v="18"/>
    <x v="1"/>
    <x v="1"/>
    <x v="4"/>
    <x v="6"/>
    <x v="0"/>
    <x v="0"/>
    <x v="6"/>
    <x v="6"/>
    <x v="569"/>
    <x v="571"/>
    <x v="569"/>
    <x v="569"/>
    <x v="569"/>
    <x v="1"/>
    <x v="104"/>
    <x v="0"/>
    <x v="96"/>
    <x v="27"/>
    <x v="27"/>
    <x v="571"/>
    <x v="571"/>
    <x v="571"/>
    <x v="571"/>
    <x v="571"/>
    <x v="571"/>
  </r>
  <r>
    <x v="571"/>
    <x v="401"/>
    <x v="0"/>
    <x v="401"/>
    <x v="0"/>
    <x v="99"/>
    <x v="98"/>
    <x v="22"/>
    <x v="0"/>
    <x v="1"/>
    <x v="4"/>
    <x v="29"/>
    <x v="1"/>
    <x v="2"/>
    <x v="1"/>
    <x v="3"/>
    <x v="570"/>
    <x v="572"/>
    <x v="570"/>
    <x v="570"/>
    <x v="570"/>
    <x v="0"/>
    <x v="201"/>
    <x v="0"/>
    <x v="179"/>
    <x v="14"/>
    <x v="14"/>
    <x v="572"/>
    <x v="572"/>
    <x v="572"/>
    <x v="572"/>
    <x v="572"/>
    <x v="572"/>
  </r>
  <r>
    <x v="572"/>
    <x v="279"/>
    <x v="4"/>
    <x v="279"/>
    <x v="0"/>
    <x v="436"/>
    <x v="439"/>
    <x v="18"/>
    <x v="1"/>
    <x v="2"/>
    <x v="3"/>
    <x v="26"/>
    <x v="1"/>
    <x v="4"/>
    <x v="8"/>
    <x v="4"/>
    <x v="571"/>
    <x v="573"/>
    <x v="571"/>
    <x v="571"/>
    <x v="571"/>
    <x v="0"/>
    <x v="162"/>
    <x v="1"/>
    <x v="149"/>
    <x v="48"/>
    <x v="48"/>
    <x v="573"/>
    <x v="573"/>
    <x v="573"/>
    <x v="573"/>
    <x v="573"/>
    <x v="573"/>
  </r>
  <r>
    <x v="573"/>
    <x v="202"/>
    <x v="3"/>
    <x v="202"/>
    <x v="1"/>
    <x v="236"/>
    <x v="234"/>
    <x v="19"/>
    <x v="0"/>
    <x v="2"/>
    <x v="3"/>
    <x v="5"/>
    <x v="5"/>
    <x v="0"/>
    <x v="11"/>
    <x v="5"/>
    <x v="572"/>
    <x v="574"/>
    <x v="572"/>
    <x v="572"/>
    <x v="572"/>
    <x v="1"/>
    <x v="121"/>
    <x v="0"/>
    <x v="112"/>
    <x v="17"/>
    <x v="17"/>
    <x v="574"/>
    <x v="574"/>
    <x v="574"/>
    <x v="574"/>
    <x v="574"/>
    <x v="574"/>
  </r>
  <r>
    <x v="574"/>
    <x v="441"/>
    <x v="7"/>
    <x v="441"/>
    <x v="2"/>
    <x v="437"/>
    <x v="440"/>
    <x v="18"/>
    <x v="1"/>
    <x v="3"/>
    <x v="7"/>
    <x v="11"/>
    <x v="3"/>
    <x v="4"/>
    <x v="12"/>
    <x v="0"/>
    <x v="573"/>
    <x v="575"/>
    <x v="573"/>
    <x v="573"/>
    <x v="573"/>
    <x v="0"/>
    <x v="173"/>
    <x v="0"/>
    <x v="160"/>
    <x v="27"/>
    <x v="27"/>
    <x v="575"/>
    <x v="575"/>
    <x v="575"/>
    <x v="575"/>
    <x v="575"/>
    <x v="575"/>
  </r>
  <r>
    <x v="575"/>
    <x v="442"/>
    <x v="11"/>
    <x v="442"/>
    <x v="3"/>
    <x v="93"/>
    <x v="92"/>
    <x v="19"/>
    <x v="0"/>
    <x v="2"/>
    <x v="3"/>
    <x v="19"/>
    <x v="5"/>
    <x v="3"/>
    <x v="7"/>
    <x v="2"/>
    <x v="574"/>
    <x v="576"/>
    <x v="574"/>
    <x v="574"/>
    <x v="574"/>
    <x v="1"/>
    <x v="3"/>
    <x v="0"/>
    <x v="3"/>
    <x v="4"/>
    <x v="4"/>
    <x v="576"/>
    <x v="576"/>
    <x v="576"/>
    <x v="576"/>
    <x v="576"/>
    <x v="576"/>
  </r>
  <r>
    <x v="576"/>
    <x v="443"/>
    <x v="11"/>
    <x v="443"/>
    <x v="3"/>
    <x v="289"/>
    <x v="286"/>
    <x v="13"/>
    <x v="0"/>
    <x v="2"/>
    <x v="3"/>
    <x v="26"/>
    <x v="0"/>
    <x v="1"/>
    <x v="9"/>
    <x v="2"/>
    <x v="575"/>
    <x v="577"/>
    <x v="575"/>
    <x v="575"/>
    <x v="575"/>
    <x v="0"/>
    <x v="3"/>
    <x v="0"/>
    <x v="3"/>
    <x v="44"/>
    <x v="44"/>
    <x v="577"/>
    <x v="577"/>
    <x v="577"/>
    <x v="577"/>
    <x v="577"/>
    <x v="577"/>
  </r>
  <r>
    <x v="577"/>
    <x v="251"/>
    <x v="9"/>
    <x v="251"/>
    <x v="2"/>
    <x v="438"/>
    <x v="441"/>
    <x v="29"/>
    <x v="0"/>
    <x v="3"/>
    <x v="8"/>
    <x v="31"/>
    <x v="3"/>
    <x v="4"/>
    <x v="2"/>
    <x v="6"/>
    <x v="576"/>
    <x v="578"/>
    <x v="576"/>
    <x v="576"/>
    <x v="576"/>
    <x v="1"/>
    <x v="157"/>
    <x v="0"/>
    <x v="145"/>
    <x v="5"/>
    <x v="5"/>
    <x v="578"/>
    <x v="578"/>
    <x v="578"/>
    <x v="578"/>
    <x v="578"/>
    <x v="578"/>
  </r>
  <r>
    <x v="578"/>
    <x v="444"/>
    <x v="10"/>
    <x v="444"/>
    <x v="1"/>
    <x v="153"/>
    <x v="153"/>
    <x v="19"/>
    <x v="0"/>
    <x v="3"/>
    <x v="8"/>
    <x v="21"/>
    <x v="0"/>
    <x v="0"/>
    <x v="6"/>
    <x v="2"/>
    <x v="577"/>
    <x v="579"/>
    <x v="577"/>
    <x v="577"/>
    <x v="577"/>
    <x v="0"/>
    <x v="143"/>
    <x v="0"/>
    <x v="132"/>
    <x v="16"/>
    <x v="16"/>
    <x v="579"/>
    <x v="579"/>
    <x v="579"/>
    <x v="579"/>
    <x v="579"/>
    <x v="579"/>
  </r>
  <r>
    <x v="579"/>
    <x v="445"/>
    <x v="8"/>
    <x v="445"/>
    <x v="3"/>
    <x v="439"/>
    <x v="442"/>
    <x v="20"/>
    <x v="0"/>
    <x v="0"/>
    <x v="0"/>
    <x v="16"/>
    <x v="4"/>
    <x v="0"/>
    <x v="0"/>
    <x v="3"/>
    <x v="578"/>
    <x v="580"/>
    <x v="578"/>
    <x v="578"/>
    <x v="578"/>
    <x v="0"/>
    <x v="191"/>
    <x v="0"/>
    <x v="171"/>
    <x v="17"/>
    <x v="17"/>
    <x v="580"/>
    <x v="580"/>
    <x v="580"/>
    <x v="580"/>
    <x v="580"/>
    <x v="580"/>
  </r>
  <r>
    <x v="580"/>
    <x v="446"/>
    <x v="9"/>
    <x v="446"/>
    <x v="2"/>
    <x v="440"/>
    <x v="89"/>
    <x v="27"/>
    <x v="0"/>
    <x v="2"/>
    <x v="5"/>
    <x v="10"/>
    <x v="4"/>
    <x v="2"/>
    <x v="8"/>
    <x v="0"/>
    <x v="579"/>
    <x v="581"/>
    <x v="579"/>
    <x v="579"/>
    <x v="579"/>
    <x v="2"/>
    <x v="19"/>
    <x v="0"/>
    <x v="19"/>
    <x v="28"/>
    <x v="28"/>
    <x v="581"/>
    <x v="581"/>
    <x v="581"/>
    <x v="581"/>
    <x v="581"/>
    <x v="581"/>
  </r>
  <r>
    <x v="581"/>
    <x v="171"/>
    <x v="4"/>
    <x v="171"/>
    <x v="0"/>
    <x v="441"/>
    <x v="443"/>
    <x v="11"/>
    <x v="0"/>
    <x v="2"/>
    <x v="5"/>
    <x v="10"/>
    <x v="0"/>
    <x v="2"/>
    <x v="14"/>
    <x v="5"/>
    <x v="580"/>
    <x v="582"/>
    <x v="580"/>
    <x v="580"/>
    <x v="580"/>
    <x v="0"/>
    <x v="204"/>
    <x v="1"/>
    <x v="182"/>
    <x v="19"/>
    <x v="19"/>
    <x v="582"/>
    <x v="582"/>
    <x v="582"/>
    <x v="582"/>
    <x v="582"/>
    <x v="582"/>
  </r>
  <r>
    <x v="582"/>
    <x v="331"/>
    <x v="6"/>
    <x v="331"/>
    <x v="3"/>
    <x v="104"/>
    <x v="393"/>
    <x v="1"/>
    <x v="1"/>
    <x v="1"/>
    <x v="2"/>
    <x v="4"/>
    <x v="0"/>
    <x v="4"/>
    <x v="8"/>
    <x v="4"/>
    <x v="581"/>
    <x v="583"/>
    <x v="581"/>
    <x v="581"/>
    <x v="581"/>
    <x v="2"/>
    <x v="196"/>
    <x v="0"/>
    <x v="175"/>
    <x v="42"/>
    <x v="42"/>
    <x v="583"/>
    <x v="583"/>
    <x v="583"/>
    <x v="583"/>
    <x v="583"/>
    <x v="583"/>
  </r>
  <r>
    <x v="583"/>
    <x v="447"/>
    <x v="11"/>
    <x v="447"/>
    <x v="3"/>
    <x v="442"/>
    <x v="444"/>
    <x v="30"/>
    <x v="1"/>
    <x v="0"/>
    <x v="0"/>
    <x v="13"/>
    <x v="3"/>
    <x v="2"/>
    <x v="10"/>
    <x v="4"/>
    <x v="582"/>
    <x v="584"/>
    <x v="582"/>
    <x v="582"/>
    <x v="582"/>
    <x v="1"/>
    <x v="169"/>
    <x v="0"/>
    <x v="156"/>
    <x v="6"/>
    <x v="6"/>
    <x v="584"/>
    <x v="584"/>
    <x v="584"/>
    <x v="584"/>
    <x v="584"/>
    <x v="584"/>
  </r>
  <r>
    <x v="584"/>
    <x v="448"/>
    <x v="7"/>
    <x v="448"/>
    <x v="2"/>
    <x v="82"/>
    <x v="81"/>
    <x v="18"/>
    <x v="1"/>
    <x v="2"/>
    <x v="5"/>
    <x v="8"/>
    <x v="0"/>
    <x v="3"/>
    <x v="4"/>
    <x v="3"/>
    <x v="583"/>
    <x v="585"/>
    <x v="583"/>
    <x v="583"/>
    <x v="583"/>
    <x v="1"/>
    <x v="208"/>
    <x v="0"/>
    <x v="185"/>
    <x v="42"/>
    <x v="42"/>
    <x v="585"/>
    <x v="585"/>
    <x v="585"/>
    <x v="585"/>
    <x v="585"/>
    <x v="585"/>
  </r>
  <r>
    <x v="585"/>
    <x v="449"/>
    <x v="5"/>
    <x v="449"/>
    <x v="2"/>
    <x v="295"/>
    <x v="292"/>
    <x v="19"/>
    <x v="0"/>
    <x v="2"/>
    <x v="10"/>
    <x v="39"/>
    <x v="0"/>
    <x v="2"/>
    <x v="4"/>
    <x v="3"/>
    <x v="584"/>
    <x v="586"/>
    <x v="584"/>
    <x v="584"/>
    <x v="584"/>
    <x v="0"/>
    <x v="5"/>
    <x v="0"/>
    <x v="5"/>
    <x v="28"/>
    <x v="28"/>
    <x v="586"/>
    <x v="586"/>
    <x v="586"/>
    <x v="586"/>
    <x v="586"/>
    <x v="586"/>
  </r>
  <r>
    <x v="586"/>
    <x v="450"/>
    <x v="0"/>
    <x v="450"/>
    <x v="0"/>
    <x v="0"/>
    <x v="0"/>
    <x v="9"/>
    <x v="0"/>
    <x v="0"/>
    <x v="1"/>
    <x v="7"/>
    <x v="3"/>
    <x v="3"/>
    <x v="4"/>
    <x v="0"/>
    <x v="585"/>
    <x v="587"/>
    <x v="585"/>
    <x v="585"/>
    <x v="585"/>
    <x v="2"/>
    <x v="142"/>
    <x v="0"/>
    <x v="131"/>
    <x v="13"/>
    <x v="13"/>
    <x v="587"/>
    <x v="587"/>
    <x v="587"/>
    <x v="587"/>
    <x v="587"/>
    <x v="587"/>
  </r>
  <r>
    <x v="587"/>
    <x v="249"/>
    <x v="9"/>
    <x v="249"/>
    <x v="2"/>
    <x v="443"/>
    <x v="445"/>
    <x v="15"/>
    <x v="1"/>
    <x v="1"/>
    <x v="2"/>
    <x v="27"/>
    <x v="4"/>
    <x v="3"/>
    <x v="9"/>
    <x v="3"/>
    <x v="586"/>
    <x v="588"/>
    <x v="586"/>
    <x v="586"/>
    <x v="586"/>
    <x v="2"/>
    <x v="172"/>
    <x v="0"/>
    <x v="159"/>
    <x v="30"/>
    <x v="30"/>
    <x v="588"/>
    <x v="588"/>
    <x v="588"/>
    <x v="588"/>
    <x v="588"/>
    <x v="588"/>
  </r>
  <r>
    <x v="588"/>
    <x v="146"/>
    <x v="2"/>
    <x v="146"/>
    <x v="0"/>
    <x v="444"/>
    <x v="446"/>
    <x v="7"/>
    <x v="0"/>
    <x v="3"/>
    <x v="7"/>
    <x v="17"/>
    <x v="2"/>
    <x v="4"/>
    <x v="11"/>
    <x v="6"/>
    <x v="587"/>
    <x v="589"/>
    <x v="587"/>
    <x v="587"/>
    <x v="587"/>
    <x v="2"/>
    <x v="167"/>
    <x v="0"/>
    <x v="154"/>
    <x v="8"/>
    <x v="8"/>
    <x v="589"/>
    <x v="589"/>
    <x v="589"/>
    <x v="589"/>
    <x v="589"/>
    <x v="589"/>
  </r>
  <r>
    <x v="589"/>
    <x v="451"/>
    <x v="7"/>
    <x v="451"/>
    <x v="2"/>
    <x v="166"/>
    <x v="166"/>
    <x v="19"/>
    <x v="0"/>
    <x v="3"/>
    <x v="7"/>
    <x v="11"/>
    <x v="2"/>
    <x v="2"/>
    <x v="12"/>
    <x v="6"/>
    <x v="588"/>
    <x v="590"/>
    <x v="588"/>
    <x v="588"/>
    <x v="588"/>
    <x v="0"/>
    <x v="5"/>
    <x v="0"/>
    <x v="5"/>
    <x v="4"/>
    <x v="4"/>
    <x v="590"/>
    <x v="590"/>
    <x v="590"/>
    <x v="590"/>
    <x v="590"/>
    <x v="590"/>
  </r>
  <r>
    <x v="590"/>
    <x v="388"/>
    <x v="11"/>
    <x v="388"/>
    <x v="3"/>
    <x v="445"/>
    <x v="447"/>
    <x v="20"/>
    <x v="0"/>
    <x v="3"/>
    <x v="7"/>
    <x v="11"/>
    <x v="0"/>
    <x v="4"/>
    <x v="6"/>
    <x v="0"/>
    <x v="589"/>
    <x v="591"/>
    <x v="589"/>
    <x v="589"/>
    <x v="589"/>
    <x v="1"/>
    <x v="155"/>
    <x v="0"/>
    <x v="143"/>
    <x v="4"/>
    <x v="4"/>
    <x v="591"/>
    <x v="591"/>
    <x v="591"/>
    <x v="591"/>
    <x v="591"/>
    <x v="591"/>
  </r>
  <r>
    <x v="591"/>
    <x v="452"/>
    <x v="2"/>
    <x v="452"/>
    <x v="0"/>
    <x v="62"/>
    <x v="424"/>
    <x v="1"/>
    <x v="1"/>
    <x v="2"/>
    <x v="10"/>
    <x v="24"/>
    <x v="2"/>
    <x v="1"/>
    <x v="4"/>
    <x v="2"/>
    <x v="590"/>
    <x v="592"/>
    <x v="590"/>
    <x v="590"/>
    <x v="590"/>
    <x v="2"/>
    <x v="34"/>
    <x v="0"/>
    <x v="34"/>
    <x v="29"/>
    <x v="29"/>
    <x v="592"/>
    <x v="592"/>
    <x v="592"/>
    <x v="592"/>
    <x v="592"/>
    <x v="592"/>
  </r>
  <r>
    <x v="592"/>
    <x v="453"/>
    <x v="8"/>
    <x v="453"/>
    <x v="3"/>
    <x v="331"/>
    <x v="327"/>
    <x v="14"/>
    <x v="0"/>
    <x v="1"/>
    <x v="2"/>
    <x v="27"/>
    <x v="0"/>
    <x v="2"/>
    <x v="9"/>
    <x v="5"/>
    <x v="591"/>
    <x v="593"/>
    <x v="591"/>
    <x v="591"/>
    <x v="591"/>
    <x v="1"/>
    <x v="98"/>
    <x v="0"/>
    <x v="92"/>
    <x v="27"/>
    <x v="27"/>
    <x v="593"/>
    <x v="593"/>
    <x v="593"/>
    <x v="593"/>
    <x v="593"/>
    <x v="593"/>
  </r>
  <r>
    <x v="593"/>
    <x v="325"/>
    <x v="9"/>
    <x v="325"/>
    <x v="2"/>
    <x v="116"/>
    <x v="114"/>
    <x v="29"/>
    <x v="0"/>
    <x v="3"/>
    <x v="7"/>
    <x v="11"/>
    <x v="3"/>
    <x v="4"/>
    <x v="0"/>
    <x v="6"/>
    <x v="592"/>
    <x v="594"/>
    <x v="592"/>
    <x v="592"/>
    <x v="592"/>
    <x v="0"/>
    <x v="164"/>
    <x v="0"/>
    <x v="151"/>
    <x v="20"/>
    <x v="20"/>
    <x v="594"/>
    <x v="594"/>
    <x v="594"/>
    <x v="594"/>
    <x v="594"/>
    <x v="594"/>
  </r>
  <r>
    <x v="594"/>
    <x v="24"/>
    <x v="9"/>
    <x v="24"/>
    <x v="2"/>
    <x v="446"/>
    <x v="448"/>
    <x v="28"/>
    <x v="0"/>
    <x v="0"/>
    <x v="0"/>
    <x v="0"/>
    <x v="4"/>
    <x v="0"/>
    <x v="11"/>
    <x v="4"/>
    <x v="593"/>
    <x v="595"/>
    <x v="593"/>
    <x v="593"/>
    <x v="593"/>
    <x v="2"/>
    <x v="93"/>
    <x v="0"/>
    <x v="87"/>
    <x v="0"/>
    <x v="0"/>
    <x v="595"/>
    <x v="595"/>
    <x v="595"/>
    <x v="595"/>
    <x v="595"/>
    <x v="595"/>
  </r>
  <r>
    <x v="595"/>
    <x v="454"/>
    <x v="2"/>
    <x v="454"/>
    <x v="0"/>
    <x v="97"/>
    <x v="449"/>
    <x v="1"/>
    <x v="1"/>
    <x v="2"/>
    <x v="3"/>
    <x v="5"/>
    <x v="4"/>
    <x v="0"/>
    <x v="14"/>
    <x v="0"/>
    <x v="594"/>
    <x v="596"/>
    <x v="594"/>
    <x v="594"/>
    <x v="594"/>
    <x v="2"/>
    <x v="89"/>
    <x v="0"/>
    <x v="83"/>
    <x v="27"/>
    <x v="27"/>
    <x v="596"/>
    <x v="596"/>
    <x v="596"/>
    <x v="596"/>
    <x v="596"/>
    <x v="596"/>
  </r>
  <r>
    <x v="596"/>
    <x v="455"/>
    <x v="4"/>
    <x v="455"/>
    <x v="0"/>
    <x v="125"/>
    <x v="123"/>
    <x v="20"/>
    <x v="0"/>
    <x v="0"/>
    <x v="11"/>
    <x v="33"/>
    <x v="3"/>
    <x v="1"/>
    <x v="8"/>
    <x v="1"/>
    <x v="595"/>
    <x v="597"/>
    <x v="595"/>
    <x v="595"/>
    <x v="595"/>
    <x v="0"/>
    <x v="78"/>
    <x v="0"/>
    <x v="73"/>
    <x v="27"/>
    <x v="27"/>
    <x v="597"/>
    <x v="597"/>
    <x v="597"/>
    <x v="597"/>
    <x v="597"/>
    <x v="597"/>
  </r>
  <r>
    <x v="597"/>
    <x v="402"/>
    <x v="0"/>
    <x v="402"/>
    <x v="0"/>
    <x v="99"/>
    <x v="98"/>
    <x v="2"/>
    <x v="0"/>
    <x v="1"/>
    <x v="2"/>
    <x v="4"/>
    <x v="0"/>
    <x v="4"/>
    <x v="10"/>
    <x v="1"/>
    <x v="596"/>
    <x v="598"/>
    <x v="596"/>
    <x v="596"/>
    <x v="596"/>
    <x v="1"/>
    <x v="37"/>
    <x v="0"/>
    <x v="37"/>
    <x v="6"/>
    <x v="6"/>
    <x v="598"/>
    <x v="598"/>
    <x v="598"/>
    <x v="598"/>
    <x v="598"/>
    <x v="598"/>
  </r>
  <r>
    <x v="598"/>
    <x v="456"/>
    <x v="11"/>
    <x v="456"/>
    <x v="3"/>
    <x v="331"/>
    <x v="450"/>
    <x v="1"/>
    <x v="1"/>
    <x v="2"/>
    <x v="5"/>
    <x v="30"/>
    <x v="3"/>
    <x v="4"/>
    <x v="12"/>
    <x v="5"/>
    <x v="597"/>
    <x v="599"/>
    <x v="597"/>
    <x v="597"/>
    <x v="597"/>
    <x v="0"/>
    <x v="112"/>
    <x v="0"/>
    <x v="104"/>
    <x v="30"/>
    <x v="30"/>
    <x v="599"/>
    <x v="599"/>
    <x v="599"/>
    <x v="599"/>
    <x v="599"/>
    <x v="599"/>
  </r>
  <r>
    <x v="599"/>
    <x v="307"/>
    <x v="0"/>
    <x v="307"/>
    <x v="0"/>
    <x v="447"/>
    <x v="451"/>
    <x v="19"/>
    <x v="0"/>
    <x v="3"/>
    <x v="8"/>
    <x v="31"/>
    <x v="3"/>
    <x v="1"/>
    <x v="6"/>
    <x v="4"/>
    <x v="598"/>
    <x v="600"/>
    <x v="598"/>
    <x v="598"/>
    <x v="598"/>
    <x v="2"/>
    <x v="99"/>
    <x v="0"/>
    <x v="93"/>
    <x v="14"/>
    <x v="14"/>
    <x v="600"/>
    <x v="600"/>
    <x v="600"/>
    <x v="600"/>
    <x v="600"/>
    <x v="600"/>
  </r>
  <r>
    <x v="600"/>
    <x v="396"/>
    <x v="11"/>
    <x v="396"/>
    <x v="3"/>
    <x v="448"/>
    <x v="452"/>
    <x v="16"/>
    <x v="0"/>
    <x v="2"/>
    <x v="3"/>
    <x v="5"/>
    <x v="3"/>
    <x v="3"/>
    <x v="0"/>
    <x v="1"/>
    <x v="599"/>
    <x v="601"/>
    <x v="599"/>
    <x v="599"/>
    <x v="599"/>
    <x v="1"/>
    <x v="75"/>
    <x v="0"/>
    <x v="70"/>
    <x v="5"/>
    <x v="5"/>
    <x v="601"/>
    <x v="601"/>
    <x v="601"/>
    <x v="601"/>
    <x v="601"/>
    <x v="601"/>
  </r>
  <r>
    <x v="601"/>
    <x v="457"/>
    <x v="11"/>
    <x v="457"/>
    <x v="3"/>
    <x v="405"/>
    <x v="405"/>
    <x v="13"/>
    <x v="0"/>
    <x v="3"/>
    <x v="7"/>
    <x v="28"/>
    <x v="1"/>
    <x v="1"/>
    <x v="9"/>
    <x v="2"/>
    <x v="600"/>
    <x v="602"/>
    <x v="600"/>
    <x v="600"/>
    <x v="600"/>
    <x v="0"/>
    <x v="88"/>
    <x v="0"/>
    <x v="82"/>
    <x v="33"/>
    <x v="33"/>
    <x v="602"/>
    <x v="602"/>
    <x v="602"/>
    <x v="602"/>
    <x v="602"/>
    <x v="602"/>
  </r>
  <r>
    <x v="602"/>
    <x v="217"/>
    <x v="5"/>
    <x v="217"/>
    <x v="2"/>
    <x v="449"/>
    <x v="453"/>
    <x v="24"/>
    <x v="1"/>
    <x v="1"/>
    <x v="2"/>
    <x v="27"/>
    <x v="5"/>
    <x v="0"/>
    <x v="1"/>
    <x v="1"/>
    <x v="601"/>
    <x v="603"/>
    <x v="601"/>
    <x v="601"/>
    <x v="601"/>
    <x v="2"/>
    <x v="209"/>
    <x v="0"/>
    <x v="186"/>
    <x v="17"/>
    <x v="17"/>
    <x v="603"/>
    <x v="603"/>
    <x v="603"/>
    <x v="603"/>
    <x v="603"/>
    <x v="603"/>
  </r>
  <r>
    <x v="603"/>
    <x v="458"/>
    <x v="7"/>
    <x v="458"/>
    <x v="2"/>
    <x v="450"/>
    <x v="454"/>
    <x v="14"/>
    <x v="0"/>
    <x v="3"/>
    <x v="8"/>
    <x v="21"/>
    <x v="4"/>
    <x v="0"/>
    <x v="14"/>
    <x v="1"/>
    <x v="602"/>
    <x v="604"/>
    <x v="602"/>
    <x v="602"/>
    <x v="602"/>
    <x v="1"/>
    <x v="197"/>
    <x v="0"/>
    <x v="176"/>
    <x v="5"/>
    <x v="5"/>
    <x v="604"/>
    <x v="604"/>
    <x v="604"/>
    <x v="604"/>
    <x v="604"/>
    <x v="604"/>
  </r>
  <r>
    <x v="604"/>
    <x v="459"/>
    <x v="6"/>
    <x v="459"/>
    <x v="3"/>
    <x v="203"/>
    <x v="203"/>
    <x v="14"/>
    <x v="0"/>
    <x v="2"/>
    <x v="5"/>
    <x v="30"/>
    <x v="4"/>
    <x v="0"/>
    <x v="5"/>
    <x v="4"/>
    <x v="603"/>
    <x v="605"/>
    <x v="603"/>
    <x v="603"/>
    <x v="603"/>
    <x v="0"/>
    <x v="63"/>
    <x v="0"/>
    <x v="58"/>
    <x v="20"/>
    <x v="20"/>
    <x v="605"/>
    <x v="605"/>
    <x v="605"/>
    <x v="605"/>
    <x v="605"/>
    <x v="605"/>
  </r>
  <r>
    <x v="605"/>
    <x v="460"/>
    <x v="7"/>
    <x v="460"/>
    <x v="2"/>
    <x v="28"/>
    <x v="28"/>
    <x v="21"/>
    <x v="0"/>
    <x v="1"/>
    <x v="2"/>
    <x v="32"/>
    <x v="5"/>
    <x v="0"/>
    <x v="8"/>
    <x v="6"/>
    <x v="604"/>
    <x v="606"/>
    <x v="604"/>
    <x v="604"/>
    <x v="604"/>
    <x v="1"/>
    <x v="172"/>
    <x v="0"/>
    <x v="159"/>
    <x v="21"/>
    <x v="21"/>
    <x v="606"/>
    <x v="606"/>
    <x v="606"/>
    <x v="606"/>
    <x v="606"/>
    <x v="606"/>
  </r>
  <r>
    <x v="606"/>
    <x v="111"/>
    <x v="9"/>
    <x v="111"/>
    <x v="2"/>
    <x v="451"/>
    <x v="455"/>
    <x v="24"/>
    <x v="1"/>
    <x v="0"/>
    <x v="11"/>
    <x v="20"/>
    <x v="4"/>
    <x v="5"/>
    <x v="10"/>
    <x v="3"/>
    <x v="605"/>
    <x v="607"/>
    <x v="605"/>
    <x v="605"/>
    <x v="605"/>
    <x v="2"/>
    <x v="224"/>
    <x v="0"/>
    <x v="199"/>
    <x v="0"/>
    <x v="0"/>
    <x v="607"/>
    <x v="607"/>
    <x v="607"/>
    <x v="607"/>
    <x v="607"/>
    <x v="607"/>
  </r>
  <r>
    <x v="607"/>
    <x v="461"/>
    <x v="10"/>
    <x v="461"/>
    <x v="1"/>
    <x v="452"/>
    <x v="456"/>
    <x v="29"/>
    <x v="0"/>
    <x v="0"/>
    <x v="0"/>
    <x v="13"/>
    <x v="0"/>
    <x v="3"/>
    <x v="5"/>
    <x v="1"/>
    <x v="606"/>
    <x v="608"/>
    <x v="606"/>
    <x v="606"/>
    <x v="606"/>
    <x v="0"/>
    <x v="196"/>
    <x v="0"/>
    <x v="175"/>
    <x v="16"/>
    <x v="16"/>
    <x v="608"/>
    <x v="608"/>
    <x v="608"/>
    <x v="608"/>
    <x v="608"/>
    <x v="608"/>
  </r>
  <r>
    <x v="608"/>
    <x v="10"/>
    <x v="4"/>
    <x v="10"/>
    <x v="0"/>
    <x v="243"/>
    <x v="434"/>
    <x v="1"/>
    <x v="1"/>
    <x v="0"/>
    <x v="11"/>
    <x v="33"/>
    <x v="5"/>
    <x v="4"/>
    <x v="7"/>
    <x v="0"/>
    <x v="607"/>
    <x v="609"/>
    <x v="607"/>
    <x v="607"/>
    <x v="607"/>
    <x v="0"/>
    <x v="18"/>
    <x v="0"/>
    <x v="18"/>
    <x v="14"/>
    <x v="14"/>
    <x v="609"/>
    <x v="609"/>
    <x v="609"/>
    <x v="609"/>
    <x v="609"/>
    <x v="609"/>
  </r>
  <r>
    <x v="609"/>
    <x v="387"/>
    <x v="7"/>
    <x v="387"/>
    <x v="2"/>
    <x v="453"/>
    <x v="457"/>
    <x v="1"/>
    <x v="1"/>
    <x v="2"/>
    <x v="10"/>
    <x v="36"/>
    <x v="0"/>
    <x v="3"/>
    <x v="7"/>
    <x v="1"/>
    <x v="608"/>
    <x v="610"/>
    <x v="608"/>
    <x v="608"/>
    <x v="608"/>
    <x v="1"/>
    <x v="67"/>
    <x v="0"/>
    <x v="62"/>
    <x v="15"/>
    <x v="15"/>
    <x v="610"/>
    <x v="610"/>
    <x v="610"/>
    <x v="610"/>
    <x v="610"/>
    <x v="610"/>
  </r>
  <r>
    <x v="610"/>
    <x v="145"/>
    <x v="2"/>
    <x v="145"/>
    <x v="0"/>
    <x v="454"/>
    <x v="458"/>
    <x v="18"/>
    <x v="1"/>
    <x v="2"/>
    <x v="10"/>
    <x v="36"/>
    <x v="3"/>
    <x v="3"/>
    <x v="10"/>
    <x v="1"/>
    <x v="609"/>
    <x v="611"/>
    <x v="609"/>
    <x v="609"/>
    <x v="609"/>
    <x v="1"/>
    <x v="7"/>
    <x v="0"/>
    <x v="7"/>
    <x v="16"/>
    <x v="16"/>
    <x v="611"/>
    <x v="611"/>
    <x v="611"/>
    <x v="611"/>
    <x v="611"/>
    <x v="611"/>
  </r>
  <r>
    <x v="611"/>
    <x v="462"/>
    <x v="1"/>
    <x v="462"/>
    <x v="1"/>
    <x v="49"/>
    <x v="49"/>
    <x v="5"/>
    <x v="0"/>
    <x v="2"/>
    <x v="10"/>
    <x v="15"/>
    <x v="1"/>
    <x v="5"/>
    <x v="0"/>
    <x v="5"/>
    <x v="610"/>
    <x v="612"/>
    <x v="610"/>
    <x v="610"/>
    <x v="610"/>
    <x v="1"/>
    <x v="5"/>
    <x v="0"/>
    <x v="5"/>
    <x v="0"/>
    <x v="0"/>
    <x v="612"/>
    <x v="612"/>
    <x v="612"/>
    <x v="612"/>
    <x v="612"/>
    <x v="612"/>
  </r>
  <r>
    <x v="612"/>
    <x v="463"/>
    <x v="9"/>
    <x v="463"/>
    <x v="2"/>
    <x v="455"/>
    <x v="459"/>
    <x v="15"/>
    <x v="1"/>
    <x v="0"/>
    <x v="0"/>
    <x v="0"/>
    <x v="1"/>
    <x v="4"/>
    <x v="12"/>
    <x v="2"/>
    <x v="611"/>
    <x v="613"/>
    <x v="611"/>
    <x v="611"/>
    <x v="611"/>
    <x v="2"/>
    <x v="118"/>
    <x v="0"/>
    <x v="109"/>
    <x v="29"/>
    <x v="29"/>
    <x v="613"/>
    <x v="613"/>
    <x v="613"/>
    <x v="613"/>
    <x v="613"/>
    <x v="613"/>
  </r>
  <r>
    <x v="613"/>
    <x v="203"/>
    <x v="8"/>
    <x v="203"/>
    <x v="3"/>
    <x v="289"/>
    <x v="286"/>
    <x v="8"/>
    <x v="0"/>
    <x v="3"/>
    <x v="7"/>
    <x v="28"/>
    <x v="5"/>
    <x v="2"/>
    <x v="3"/>
    <x v="2"/>
    <x v="612"/>
    <x v="614"/>
    <x v="612"/>
    <x v="612"/>
    <x v="612"/>
    <x v="2"/>
    <x v="225"/>
    <x v="0"/>
    <x v="200"/>
    <x v="15"/>
    <x v="15"/>
    <x v="614"/>
    <x v="614"/>
    <x v="614"/>
    <x v="614"/>
    <x v="614"/>
    <x v="614"/>
  </r>
  <r>
    <x v="614"/>
    <x v="418"/>
    <x v="0"/>
    <x v="418"/>
    <x v="0"/>
    <x v="398"/>
    <x v="398"/>
    <x v="12"/>
    <x v="0"/>
    <x v="1"/>
    <x v="2"/>
    <x v="27"/>
    <x v="5"/>
    <x v="3"/>
    <x v="5"/>
    <x v="1"/>
    <x v="613"/>
    <x v="615"/>
    <x v="613"/>
    <x v="613"/>
    <x v="613"/>
    <x v="2"/>
    <x v="226"/>
    <x v="0"/>
    <x v="201"/>
    <x v="8"/>
    <x v="8"/>
    <x v="615"/>
    <x v="615"/>
    <x v="615"/>
    <x v="615"/>
    <x v="615"/>
    <x v="615"/>
  </r>
  <r>
    <x v="615"/>
    <x v="327"/>
    <x v="1"/>
    <x v="327"/>
    <x v="1"/>
    <x v="456"/>
    <x v="460"/>
    <x v="24"/>
    <x v="1"/>
    <x v="0"/>
    <x v="1"/>
    <x v="1"/>
    <x v="1"/>
    <x v="2"/>
    <x v="11"/>
    <x v="2"/>
    <x v="614"/>
    <x v="616"/>
    <x v="614"/>
    <x v="614"/>
    <x v="614"/>
    <x v="1"/>
    <x v="140"/>
    <x v="0"/>
    <x v="130"/>
    <x v="2"/>
    <x v="2"/>
    <x v="616"/>
    <x v="616"/>
    <x v="616"/>
    <x v="616"/>
    <x v="616"/>
    <x v="616"/>
  </r>
  <r>
    <x v="616"/>
    <x v="55"/>
    <x v="3"/>
    <x v="55"/>
    <x v="1"/>
    <x v="457"/>
    <x v="461"/>
    <x v="17"/>
    <x v="0"/>
    <x v="3"/>
    <x v="8"/>
    <x v="31"/>
    <x v="0"/>
    <x v="0"/>
    <x v="14"/>
    <x v="5"/>
    <x v="615"/>
    <x v="617"/>
    <x v="615"/>
    <x v="615"/>
    <x v="615"/>
    <x v="0"/>
    <x v="4"/>
    <x v="0"/>
    <x v="4"/>
    <x v="12"/>
    <x v="12"/>
    <x v="617"/>
    <x v="617"/>
    <x v="617"/>
    <x v="617"/>
    <x v="617"/>
    <x v="617"/>
  </r>
  <r>
    <x v="617"/>
    <x v="445"/>
    <x v="8"/>
    <x v="445"/>
    <x v="3"/>
    <x v="458"/>
    <x v="462"/>
    <x v="15"/>
    <x v="1"/>
    <x v="3"/>
    <x v="8"/>
    <x v="21"/>
    <x v="5"/>
    <x v="1"/>
    <x v="11"/>
    <x v="1"/>
    <x v="616"/>
    <x v="618"/>
    <x v="616"/>
    <x v="616"/>
    <x v="616"/>
    <x v="1"/>
    <x v="14"/>
    <x v="0"/>
    <x v="14"/>
    <x v="29"/>
    <x v="29"/>
    <x v="618"/>
    <x v="618"/>
    <x v="618"/>
    <x v="618"/>
    <x v="618"/>
    <x v="618"/>
  </r>
  <r>
    <x v="618"/>
    <x v="464"/>
    <x v="1"/>
    <x v="464"/>
    <x v="1"/>
    <x v="459"/>
    <x v="463"/>
    <x v="22"/>
    <x v="0"/>
    <x v="3"/>
    <x v="7"/>
    <x v="28"/>
    <x v="1"/>
    <x v="3"/>
    <x v="9"/>
    <x v="0"/>
    <x v="617"/>
    <x v="619"/>
    <x v="617"/>
    <x v="617"/>
    <x v="617"/>
    <x v="1"/>
    <x v="58"/>
    <x v="0"/>
    <x v="55"/>
    <x v="44"/>
    <x v="44"/>
    <x v="619"/>
    <x v="619"/>
    <x v="619"/>
    <x v="619"/>
    <x v="619"/>
    <x v="619"/>
  </r>
  <r>
    <x v="619"/>
    <x v="429"/>
    <x v="6"/>
    <x v="429"/>
    <x v="3"/>
    <x v="460"/>
    <x v="464"/>
    <x v="30"/>
    <x v="1"/>
    <x v="0"/>
    <x v="0"/>
    <x v="16"/>
    <x v="1"/>
    <x v="4"/>
    <x v="2"/>
    <x v="6"/>
    <x v="618"/>
    <x v="620"/>
    <x v="618"/>
    <x v="618"/>
    <x v="618"/>
    <x v="0"/>
    <x v="211"/>
    <x v="0"/>
    <x v="187"/>
    <x v="28"/>
    <x v="28"/>
    <x v="620"/>
    <x v="620"/>
    <x v="620"/>
    <x v="620"/>
    <x v="620"/>
    <x v="620"/>
  </r>
  <r>
    <x v="620"/>
    <x v="448"/>
    <x v="7"/>
    <x v="448"/>
    <x v="2"/>
    <x v="461"/>
    <x v="465"/>
    <x v="12"/>
    <x v="0"/>
    <x v="2"/>
    <x v="5"/>
    <x v="30"/>
    <x v="3"/>
    <x v="2"/>
    <x v="1"/>
    <x v="2"/>
    <x v="619"/>
    <x v="621"/>
    <x v="619"/>
    <x v="619"/>
    <x v="619"/>
    <x v="0"/>
    <x v="63"/>
    <x v="0"/>
    <x v="58"/>
    <x v="5"/>
    <x v="5"/>
    <x v="621"/>
    <x v="621"/>
    <x v="621"/>
    <x v="621"/>
    <x v="621"/>
    <x v="621"/>
  </r>
  <r>
    <x v="621"/>
    <x v="465"/>
    <x v="8"/>
    <x v="465"/>
    <x v="3"/>
    <x v="462"/>
    <x v="466"/>
    <x v="0"/>
    <x v="0"/>
    <x v="1"/>
    <x v="4"/>
    <x v="34"/>
    <x v="0"/>
    <x v="0"/>
    <x v="1"/>
    <x v="2"/>
    <x v="620"/>
    <x v="622"/>
    <x v="620"/>
    <x v="620"/>
    <x v="620"/>
    <x v="1"/>
    <x v="98"/>
    <x v="0"/>
    <x v="92"/>
    <x v="22"/>
    <x v="22"/>
    <x v="622"/>
    <x v="622"/>
    <x v="622"/>
    <x v="622"/>
    <x v="622"/>
    <x v="622"/>
  </r>
  <r>
    <x v="622"/>
    <x v="466"/>
    <x v="8"/>
    <x v="466"/>
    <x v="3"/>
    <x v="463"/>
    <x v="467"/>
    <x v="7"/>
    <x v="0"/>
    <x v="0"/>
    <x v="0"/>
    <x v="2"/>
    <x v="4"/>
    <x v="2"/>
    <x v="7"/>
    <x v="6"/>
    <x v="621"/>
    <x v="623"/>
    <x v="621"/>
    <x v="621"/>
    <x v="621"/>
    <x v="0"/>
    <x v="139"/>
    <x v="0"/>
    <x v="129"/>
    <x v="16"/>
    <x v="16"/>
    <x v="623"/>
    <x v="623"/>
    <x v="623"/>
    <x v="623"/>
    <x v="623"/>
    <x v="623"/>
  </r>
  <r>
    <x v="623"/>
    <x v="242"/>
    <x v="11"/>
    <x v="242"/>
    <x v="3"/>
    <x v="464"/>
    <x v="252"/>
    <x v="1"/>
    <x v="1"/>
    <x v="1"/>
    <x v="9"/>
    <x v="23"/>
    <x v="2"/>
    <x v="4"/>
    <x v="1"/>
    <x v="2"/>
    <x v="622"/>
    <x v="624"/>
    <x v="622"/>
    <x v="622"/>
    <x v="622"/>
    <x v="2"/>
    <x v="64"/>
    <x v="0"/>
    <x v="59"/>
    <x v="29"/>
    <x v="29"/>
    <x v="624"/>
    <x v="624"/>
    <x v="624"/>
    <x v="624"/>
    <x v="624"/>
    <x v="624"/>
  </r>
  <r>
    <x v="624"/>
    <x v="112"/>
    <x v="10"/>
    <x v="112"/>
    <x v="1"/>
    <x v="369"/>
    <x v="365"/>
    <x v="20"/>
    <x v="0"/>
    <x v="1"/>
    <x v="4"/>
    <x v="18"/>
    <x v="4"/>
    <x v="4"/>
    <x v="0"/>
    <x v="2"/>
    <x v="623"/>
    <x v="625"/>
    <x v="623"/>
    <x v="623"/>
    <x v="623"/>
    <x v="2"/>
    <x v="60"/>
    <x v="0"/>
    <x v="56"/>
    <x v="16"/>
    <x v="16"/>
    <x v="625"/>
    <x v="625"/>
    <x v="625"/>
    <x v="625"/>
    <x v="625"/>
    <x v="625"/>
  </r>
  <r>
    <x v="625"/>
    <x v="81"/>
    <x v="3"/>
    <x v="81"/>
    <x v="1"/>
    <x v="465"/>
    <x v="468"/>
    <x v="2"/>
    <x v="0"/>
    <x v="1"/>
    <x v="4"/>
    <x v="34"/>
    <x v="4"/>
    <x v="0"/>
    <x v="8"/>
    <x v="0"/>
    <x v="624"/>
    <x v="626"/>
    <x v="624"/>
    <x v="624"/>
    <x v="624"/>
    <x v="1"/>
    <x v="129"/>
    <x v="0"/>
    <x v="120"/>
    <x v="17"/>
    <x v="17"/>
    <x v="626"/>
    <x v="626"/>
    <x v="626"/>
    <x v="626"/>
    <x v="626"/>
    <x v="626"/>
  </r>
  <r>
    <x v="626"/>
    <x v="242"/>
    <x v="11"/>
    <x v="242"/>
    <x v="3"/>
    <x v="466"/>
    <x v="469"/>
    <x v="29"/>
    <x v="0"/>
    <x v="1"/>
    <x v="9"/>
    <x v="23"/>
    <x v="3"/>
    <x v="3"/>
    <x v="13"/>
    <x v="5"/>
    <x v="625"/>
    <x v="627"/>
    <x v="625"/>
    <x v="625"/>
    <x v="625"/>
    <x v="0"/>
    <x v="102"/>
    <x v="0"/>
    <x v="94"/>
    <x v="21"/>
    <x v="21"/>
    <x v="627"/>
    <x v="627"/>
    <x v="627"/>
    <x v="627"/>
    <x v="627"/>
    <x v="627"/>
  </r>
  <r>
    <x v="627"/>
    <x v="44"/>
    <x v="9"/>
    <x v="44"/>
    <x v="2"/>
    <x v="467"/>
    <x v="470"/>
    <x v="2"/>
    <x v="0"/>
    <x v="2"/>
    <x v="3"/>
    <x v="26"/>
    <x v="5"/>
    <x v="1"/>
    <x v="13"/>
    <x v="3"/>
    <x v="626"/>
    <x v="628"/>
    <x v="626"/>
    <x v="626"/>
    <x v="626"/>
    <x v="1"/>
    <x v="5"/>
    <x v="0"/>
    <x v="5"/>
    <x v="9"/>
    <x v="9"/>
    <x v="628"/>
    <x v="628"/>
    <x v="628"/>
    <x v="628"/>
    <x v="628"/>
    <x v="628"/>
  </r>
  <r>
    <x v="628"/>
    <x v="141"/>
    <x v="3"/>
    <x v="141"/>
    <x v="1"/>
    <x v="436"/>
    <x v="439"/>
    <x v="0"/>
    <x v="0"/>
    <x v="3"/>
    <x v="6"/>
    <x v="37"/>
    <x v="5"/>
    <x v="3"/>
    <x v="6"/>
    <x v="0"/>
    <x v="627"/>
    <x v="629"/>
    <x v="627"/>
    <x v="627"/>
    <x v="627"/>
    <x v="2"/>
    <x v="227"/>
    <x v="0"/>
    <x v="202"/>
    <x v="7"/>
    <x v="7"/>
    <x v="629"/>
    <x v="629"/>
    <x v="629"/>
    <x v="629"/>
    <x v="629"/>
    <x v="629"/>
  </r>
  <r>
    <x v="629"/>
    <x v="112"/>
    <x v="10"/>
    <x v="112"/>
    <x v="1"/>
    <x v="336"/>
    <x v="332"/>
    <x v="17"/>
    <x v="0"/>
    <x v="1"/>
    <x v="2"/>
    <x v="32"/>
    <x v="3"/>
    <x v="0"/>
    <x v="15"/>
    <x v="3"/>
    <x v="628"/>
    <x v="630"/>
    <x v="628"/>
    <x v="628"/>
    <x v="628"/>
    <x v="2"/>
    <x v="23"/>
    <x v="0"/>
    <x v="23"/>
    <x v="15"/>
    <x v="15"/>
    <x v="630"/>
    <x v="630"/>
    <x v="630"/>
    <x v="630"/>
    <x v="630"/>
    <x v="630"/>
  </r>
  <r>
    <x v="630"/>
    <x v="467"/>
    <x v="2"/>
    <x v="467"/>
    <x v="0"/>
    <x v="468"/>
    <x v="471"/>
    <x v="23"/>
    <x v="0"/>
    <x v="1"/>
    <x v="2"/>
    <x v="4"/>
    <x v="1"/>
    <x v="3"/>
    <x v="13"/>
    <x v="4"/>
    <x v="629"/>
    <x v="631"/>
    <x v="629"/>
    <x v="629"/>
    <x v="629"/>
    <x v="0"/>
    <x v="122"/>
    <x v="0"/>
    <x v="113"/>
    <x v="5"/>
    <x v="5"/>
    <x v="631"/>
    <x v="631"/>
    <x v="631"/>
    <x v="631"/>
    <x v="631"/>
    <x v="63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A3:C61" firstHeaderRow="1" firstDataRow="1" firstDataCol="3"/>
  <pivotFields count="34">
    <pivotField compact="0" showAll="0">
      <items count="632">
        <item x="605"/>
        <item x="449"/>
        <item x="7"/>
        <item x="518"/>
        <item x="573"/>
        <item x="46"/>
        <item x="367"/>
        <item x="201"/>
        <item x="551"/>
        <item x="324"/>
        <item x="438"/>
        <item x="166"/>
        <item x="80"/>
        <item x="361"/>
        <item x="328"/>
        <item x="300"/>
        <item x="453"/>
        <item x="577"/>
        <item x="193"/>
        <item x="122"/>
        <item x="332"/>
        <item x="439"/>
        <item x="457"/>
        <item x="148"/>
        <item x="224"/>
        <item x="190"/>
        <item x="347"/>
        <item x="278"/>
        <item x="350"/>
        <item x="535"/>
        <item x="54"/>
        <item x="65"/>
        <item x="163"/>
        <item x="470"/>
        <item x="580"/>
        <item x="625"/>
        <item x="106"/>
        <item x="269"/>
        <item x="256"/>
        <item x="89"/>
        <item x="339"/>
        <item x="24"/>
        <item x="220"/>
        <item x="281"/>
        <item x="250"/>
        <item x="376"/>
        <item x="540"/>
        <item x="172"/>
        <item x="225"/>
        <item x="78"/>
        <item x="49"/>
        <item x="603"/>
        <item x="226"/>
        <item x="168"/>
        <item x="45"/>
        <item x="144"/>
        <item x="183"/>
        <item x="574"/>
        <item x="81"/>
        <item x="512"/>
        <item x="562"/>
        <item x="315"/>
        <item x="391"/>
        <item x="288"/>
        <item x="272"/>
        <item x="2"/>
        <item x="92"/>
        <item x="292"/>
        <item x="434"/>
        <item x="585"/>
        <item x="199"/>
        <item x="74"/>
        <item x="363"/>
        <item x="204"/>
        <item x="185"/>
        <item x="497"/>
        <item x="52"/>
        <item x="99"/>
        <item x="118"/>
        <item x="132"/>
        <item x="215"/>
        <item x="495"/>
        <item x="171"/>
        <item x="613"/>
        <item x="543"/>
        <item x="629"/>
        <item x="520"/>
        <item x="547"/>
        <item x="255"/>
        <item x="351"/>
        <item x="64"/>
        <item x="546"/>
        <item x="151"/>
        <item x="223"/>
        <item x="615"/>
        <item x="239"/>
        <item x="260"/>
        <item x="129"/>
        <item x="532"/>
        <item x="326"/>
        <item x="459"/>
        <item x="371"/>
        <item x="66"/>
        <item x="626"/>
        <item x="604"/>
        <item x="624"/>
        <item x="31"/>
        <item x="515"/>
        <item x="477"/>
        <item x="344"/>
        <item x="499"/>
        <item x="197"/>
        <item x="121"/>
        <item x="445"/>
        <item x="455"/>
        <item x="202"/>
        <item x="474"/>
        <item x="301"/>
        <item x="382"/>
        <item x="152"/>
        <item x="485"/>
        <item x="296"/>
        <item x="124"/>
        <item x="229"/>
        <item x="478"/>
        <item x="284"/>
        <item x="137"/>
        <item x="216"/>
        <item x="387"/>
        <item x="591"/>
        <item x="316"/>
        <item x="537"/>
        <item x="419"/>
        <item x="261"/>
        <item x="266"/>
        <item x="259"/>
        <item x="528"/>
        <item x="39"/>
        <item x="213"/>
        <item x="431"/>
        <item x="337"/>
        <item x="176"/>
        <item x="609"/>
        <item x="291"/>
        <item x="408"/>
        <item x="384"/>
        <item x="596"/>
        <item x="526"/>
        <item x="198"/>
        <item x="460"/>
        <item x="221"/>
        <item x="576"/>
        <item x="279"/>
        <item x="75"/>
        <item x="5"/>
        <item x="589"/>
        <item x="466"/>
        <item x="412"/>
        <item x="349"/>
        <item x="501"/>
        <item x="243"/>
        <item x="68"/>
        <item x="436"/>
        <item x="619"/>
        <item x="340"/>
        <item x="444"/>
        <item x="450"/>
        <item x="476"/>
        <item x="437"/>
        <item x="69"/>
        <item x="539"/>
        <item x="369"/>
        <item x="4"/>
        <item x="338"/>
        <item x="145"/>
        <item x="187"/>
        <item x="318"/>
        <item x="388"/>
        <item x="85"/>
        <item x="154"/>
        <item x="441"/>
        <item x="160"/>
        <item x="404"/>
        <item x="370"/>
        <item x="581"/>
        <item x="35"/>
        <item x="507"/>
        <item x="483"/>
        <item x="135"/>
        <item x="21"/>
        <item x="570"/>
        <item x="95"/>
        <item x="115"/>
        <item x="456"/>
        <item x="125"/>
        <item x="308"/>
        <item x="165"/>
        <item x="623"/>
        <item x="258"/>
        <item x="321"/>
        <item x="311"/>
        <item x="28"/>
        <item x="346"/>
        <item x="140"/>
        <item x="142"/>
        <item x="509"/>
        <item x="205"/>
        <item x="627"/>
        <item x="192"/>
        <item x="393"/>
        <item x="469"/>
        <item x="411"/>
        <item x="15"/>
        <item x="331"/>
        <item x="233"/>
        <item x="228"/>
        <item x="555"/>
        <item x="542"/>
        <item x="628"/>
        <item x="237"/>
        <item x="267"/>
        <item x="538"/>
        <item x="114"/>
        <item x="414"/>
        <item x="178"/>
        <item x="396"/>
        <item x="479"/>
        <item x="336"/>
        <item x="164"/>
        <item x="155"/>
        <item x="549"/>
        <item x="325"/>
        <item x="105"/>
        <item x="134"/>
        <item x="309"/>
        <item x="109"/>
        <item x="34"/>
        <item x="401"/>
        <item x="30"/>
        <item x="79"/>
        <item x="214"/>
        <item x="153"/>
        <item x="458"/>
        <item x="548"/>
        <item x="16"/>
        <item x="322"/>
        <item x="523"/>
        <item x="297"/>
        <item x="564"/>
        <item x="480"/>
        <item x="10"/>
        <item x="147"/>
        <item x="191"/>
        <item x="25"/>
        <item x="162"/>
        <item x="251"/>
        <item x="111"/>
        <item x="353"/>
        <item x="139"/>
        <item x="181"/>
        <item x="586"/>
        <item x="489"/>
        <item x="63"/>
        <item x="560"/>
        <item x="392"/>
        <item x="454"/>
        <item x="51"/>
        <item x="607"/>
        <item x="0"/>
        <item x="287"/>
        <item x="234"/>
        <item x="107"/>
        <item x="70"/>
        <item x="57"/>
        <item x="41"/>
        <item x="252"/>
        <item x="390"/>
        <item x="504"/>
        <item x="247"/>
        <item x="167"/>
        <item x="561"/>
        <item x="610"/>
        <item x="334"/>
        <item x="341"/>
        <item x="6"/>
        <item x="612"/>
        <item x="362"/>
        <item x="67"/>
        <item x="253"/>
        <item x="536"/>
        <item x="572"/>
        <item x="461"/>
        <item x="161"/>
        <item x="1"/>
        <item x="524"/>
        <item x="283"/>
        <item x="486"/>
        <item x="410"/>
        <item x="429"/>
        <item x="484"/>
        <item x="143"/>
        <item x="44"/>
        <item x="405"/>
        <item x="383"/>
        <item x="517"/>
        <item x="310"/>
        <item x="545"/>
        <item x="231"/>
        <item x="313"/>
        <item x="494"/>
        <item x="568"/>
        <item x="149"/>
        <item x="594"/>
        <item x="194"/>
        <item x="440"/>
        <item x="76"/>
        <item x="77"/>
        <item x="413"/>
        <item x="50"/>
        <item x="521"/>
        <item x="423"/>
        <item x="117"/>
        <item x="103"/>
        <item x="578"/>
        <item x="274"/>
        <item x="23"/>
        <item x="265"/>
        <item x="323"/>
        <item x="188"/>
        <item x="464"/>
        <item x="443"/>
        <item x="356"/>
        <item x="424"/>
        <item x="492"/>
        <item x="386"/>
        <item x="529"/>
        <item x="554"/>
        <item x="409"/>
        <item x="245"/>
        <item x="47"/>
        <item x="600"/>
        <item x="157"/>
        <item x="558"/>
        <item x="448"/>
        <item x="500"/>
        <item x="232"/>
        <item x="335"/>
        <item x="587"/>
        <item x="493"/>
        <item x="277"/>
        <item x="433"/>
        <item x="126"/>
        <item x="598"/>
        <item x="123"/>
        <item x="8"/>
        <item x="582"/>
        <item x="86"/>
        <item x="38"/>
        <item x="88"/>
        <item x="128"/>
        <item x="170"/>
        <item x="400"/>
        <item x="541"/>
        <item x="33"/>
        <item x="40"/>
        <item x="97"/>
        <item x="184"/>
        <item x="475"/>
        <item x="342"/>
        <item x="472"/>
        <item x="430"/>
        <item x="415"/>
        <item x="249"/>
        <item x="195"/>
        <item x="402"/>
        <item x="209"/>
        <item x="557"/>
        <item x="207"/>
        <item x="583"/>
        <item x="373"/>
        <item x="36"/>
        <item x="359"/>
        <item x="527"/>
        <item x="320"/>
        <item x="217"/>
        <item x="496"/>
        <item x="506"/>
        <item x="611"/>
        <item x="442"/>
        <item x="271"/>
        <item x="418"/>
        <item x="618"/>
        <item x="189"/>
        <item x="156"/>
        <item x="567"/>
        <item x="104"/>
        <item x="508"/>
        <item x="218"/>
        <item x="138"/>
        <item x="465"/>
        <item x="26"/>
        <item x="295"/>
        <item x="490"/>
        <item x="108"/>
        <item x="20"/>
        <item x="73"/>
        <item x="235"/>
        <item x="427"/>
        <item x="621"/>
        <item x="365"/>
        <item x="319"/>
        <item x="522"/>
        <item x="273"/>
        <item x="136"/>
        <item x="432"/>
        <item x="608"/>
        <item x="101"/>
        <item x="451"/>
        <item x="244"/>
        <item x="27"/>
        <item x="254"/>
        <item x="286"/>
        <item x="242"/>
        <item x="374"/>
        <item x="559"/>
        <item x="303"/>
        <item x="268"/>
        <item x="447"/>
        <item x="13"/>
        <item x="358"/>
        <item x="519"/>
        <item x="343"/>
        <item x="238"/>
        <item x="345"/>
        <item x="141"/>
        <item x="60"/>
        <item x="599"/>
        <item x="110"/>
        <item x="352"/>
        <item x="112"/>
        <item x="354"/>
        <item x="312"/>
        <item x="616"/>
        <item x="72"/>
        <item x="169"/>
        <item x="592"/>
        <item x="275"/>
        <item x="177"/>
        <item x="510"/>
        <item x="357"/>
        <item x="511"/>
        <item x="48"/>
        <item x="196"/>
        <item x="174"/>
        <item x="435"/>
        <item x="398"/>
        <item x="487"/>
        <item x="565"/>
        <item x="211"/>
        <item x="426"/>
        <item x="93"/>
        <item x="42"/>
        <item x="200"/>
        <item x="82"/>
        <item x="364"/>
        <item x="236"/>
        <item x="513"/>
        <item x="304"/>
        <item x="206"/>
        <item x="534"/>
        <item x="617"/>
        <item x="579"/>
        <item x="3"/>
        <item x="569"/>
        <item x="571"/>
        <item x="120"/>
        <item x="257"/>
        <item x="375"/>
        <item x="601"/>
        <item x="299"/>
        <item x="379"/>
        <item x="417"/>
        <item x="314"/>
        <item x="17"/>
        <item x="146"/>
        <item x="150"/>
        <item x="584"/>
        <item x="248"/>
        <item x="482"/>
        <item x="488"/>
        <item x="606"/>
        <item x="96"/>
        <item x="372"/>
        <item x="420"/>
        <item x="302"/>
        <item x="588"/>
        <item x="575"/>
        <item x="227"/>
        <item x="462"/>
        <item x="368"/>
        <item x="533"/>
        <item x="333"/>
        <item x="100"/>
        <item x="84"/>
        <item x="502"/>
        <item x="553"/>
        <item x="552"/>
        <item x="133"/>
        <item x="306"/>
        <item x="294"/>
        <item x="416"/>
        <item x="307"/>
        <item x="481"/>
        <item x="452"/>
        <item x="159"/>
        <item x="550"/>
        <item x="263"/>
        <item x="525"/>
        <item x="446"/>
        <item x="505"/>
        <item x="32"/>
        <item x="348"/>
        <item x="270"/>
        <item x="389"/>
        <item x="394"/>
        <item x="293"/>
        <item x="12"/>
        <item x="83"/>
        <item x="463"/>
        <item x="131"/>
        <item x="240"/>
        <item x="407"/>
        <item x="11"/>
        <item x="62"/>
        <item x="91"/>
        <item x="614"/>
        <item x="127"/>
        <item x="285"/>
        <item x="98"/>
        <item x="186"/>
        <item x="29"/>
        <item x="212"/>
        <item x="53"/>
        <item x="22"/>
        <item x="210"/>
        <item x="397"/>
        <item x="360"/>
        <item x="399"/>
        <item x="366"/>
        <item x="90"/>
        <item x="208"/>
        <item x="514"/>
        <item x="377"/>
        <item x="58"/>
        <item x="71"/>
        <item x="241"/>
        <item x="113"/>
        <item x="622"/>
        <item x="130"/>
        <item x="421"/>
        <item x="179"/>
        <item x="329"/>
        <item x="563"/>
        <item x="102"/>
        <item x="180"/>
        <item x="428"/>
        <item x="395"/>
        <item x="276"/>
        <item x="222"/>
        <item x="503"/>
        <item x="473"/>
        <item x="597"/>
        <item x="280"/>
        <item x="116"/>
        <item x="173"/>
        <item x="491"/>
        <item x="595"/>
        <item x="37"/>
        <item x="94"/>
        <item x="630"/>
        <item x="330"/>
        <item x="19"/>
        <item x="602"/>
        <item x="290"/>
        <item x="230"/>
        <item x="219"/>
        <item x="59"/>
        <item x="55"/>
        <item x="158"/>
        <item x="531"/>
        <item x="327"/>
        <item x="61"/>
        <item x="471"/>
        <item x="381"/>
        <item x="467"/>
        <item x="425"/>
        <item x="43"/>
        <item x="380"/>
        <item x="498"/>
        <item x="516"/>
        <item x="422"/>
        <item x="14"/>
        <item x="18"/>
        <item x="175"/>
        <item x="593"/>
        <item x="317"/>
        <item x="87"/>
        <item x="385"/>
        <item x="556"/>
        <item x="406"/>
        <item x="264"/>
        <item x="182"/>
        <item x="620"/>
        <item x="262"/>
        <item x="403"/>
        <item x="378"/>
        <item x="289"/>
        <item x="530"/>
        <item x="566"/>
        <item x="56"/>
        <item x="298"/>
        <item x="305"/>
        <item x="246"/>
        <item x="468"/>
        <item x="355"/>
        <item x="119"/>
        <item x="544"/>
        <item x="203"/>
        <item x="282"/>
        <item x="590"/>
        <item x="9"/>
        <item t="default"/>
      </items>
    </pivotField>
    <pivotField compact="0" numFmtId="181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3">
        <item x="4"/>
        <item x="2"/>
        <item x="0"/>
        <item x="7"/>
        <item x="5"/>
        <item x="9"/>
        <item x="8"/>
        <item x="11"/>
        <item x="6"/>
        <item x="1"/>
        <item x="10"/>
        <item x="3"/>
        <item t="default"/>
      </items>
    </pivotField>
    <pivotField compact="0" showAll="0">
      <items count="469">
        <item x="5"/>
        <item x="455"/>
        <item x="271"/>
        <item x="415"/>
        <item x="181"/>
        <item x="7"/>
        <item x="371"/>
        <item x="184"/>
        <item x="119"/>
        <item x="424"/>
        <item x="122"/>
        <item x="171"/>
        <item x="180"/>
        <item x="312"/>
        <item x="23"/>
        <item x="77"/>
        <item x="426"/>
        <item x="62"/>
        <item x="152"/>
        <item x="147"/>
        <item x="361"/>
        <item x="29"/>
        <item x="159"/>
        <item x="452"/>
        <item x="2"/>
        <item x="107"/>
        <item x="432"/>
        <item x="226"/>
        <item x="336"/>
        <item x="206"/>
        <item x="315"/>
        <item x="211"/>
        <item x="342"/>
        <item x="64"/>
        <item x="278"/>
        <item x="150"/>
        <item x="33"/>
        <item x="50"/>
        <item x="451"/>
        <item x="163"/>
        <item x="89"/>
        <item x="458"/>
        <item x="125"/>
        <item x="290"/>
        <item x="27"/>
        <item x="387"/>
        <item x="153"/>
        <item x="43"/>
        <item x="67"/>
        <item x="460"/>
        <item x="15"/>
        <item x="441"/>
        <item x="410"/>
        <item x="129"/>
        <item x="449"/>
        <item x="177"/>
        <item x="275"/>
        <item x="239"/>
        <item x="406"/>
        <item x="20"/>
        <item x="382"/>
        <item x="362"/>
        <item x="72"/>
        <item x="207"/>
        <item x="373"/>
        <item x="234"/>
        <item x="328"/>
        <item x="408"/>
        <item x="446"/>
        <item x="308"/>
        <item x="109"/>
        <item x="280"/>
        <item x="367"/>
        <item x="75"/>
        <item x="251"/>
        <item x="37"/>
        <item x="264"/>
        <item x="169"/>
        <item x="44"/>
        <item x="87"/>
        <item x="85"/>
        <item x="306"/>
        <item x="186"/>
        <item x="140"/>
        <item x="133"/>
        <item x="422"/>
        <item x="425"/>
        <item x="376"/>
        <item x="47"/>
        <item x="289"/>
        <item x="386"/>
        <item x="256"/>
        <item x="172"/>
        <item x="370"/>
        <item x="245"/>
        <item x="288"/>
        <item x="131"/>
        <item x="203"/>
        <item x="443"/>
        <item x="242"/>
        <item x="235"/>
        <item x="174"/>
        <item x="389"/>
        <item x="115"/>
        <item x="183"/>
        <item x="419"/>
        <item x="66"/>
        <item x="114"/>
        <item x="260"/>
        <item x="417"/>
        <item x="343"/>
        <item x="200"/>
        <item x="161"/>
        <item x="345"/>
        <item x="52"/>
        <item x="429"/>
        <item x="137"/>
        <item x="459"/>
        <item x="73"/>
        <item x="216"/>
        <item x="364"/>
        <item x="158"/>
        <item x="199"/>
        <item x="323"/>
        <item x="204"/>
        <item x="231"/>
        <item x="155"/>
        <item x="327"/>
        <item x="233"/>
        <item x="348"/>
        <item x="176"/>
        <item x="358"/>
        <item x="259"/>
        <item x="282"/>
        <item x="391"/>
        <item x="324"/>
        <item x="250"/>
        <item x="143"/>
        <item x="193"/>
        <item x="276"/>
        <item x="285"/>
        <item x="112"/>
        <item x="106"/>
        <item x="214"/>
        <item x="134"/>
        <item x="294"/>
        <item x="297"/>
        <item x="63"/>
        <item x="374"/>
        <item x="4"/>
        <item x="141"/>
        <item x="340"/>
        <item x="380"/>
        <item x="202"/>
        <item x="195"/>
        <item x="295"/>
        <item x="81"/>
        <item x="240"/>
        <item x="311"/>
        <item x="423"/>
        <item x="113"/>
        <item x="360"/>
        <item x="300"/>
        <item x="279"/>
        <item x="435"/>
        <item x="241"/>
        <item x="39"/>
        <item x="182"/>
        <item x="94"/>
        <item x="347"/>
        <item x="303"/>
        <item x="13"/>
        <item x="84"/>
        <item x="436"/>
        <item x="247"/>
        <item x="10"/>
        <item x="145"/>
        <item x="162"/>
        <item x="383"/>
        <item x="437"/>
        <item x="179"/>
        <item x="128"/>
        <item x="221"/>
        <item x="292"/>
        <item x="142"/>
        <item x="351"/>
        <item x="439"/>
        <item x="354"/>
        <item x="352"/>
        <item x="194"/>
        <item x="397"/>
        <item x="263"/>
        <item x="314"/>
        <item x="428"/>
        <item x="220"/>
        <item x="34"/>
        <item x="307"/>
        <item x="58"/>
        <item x="0"/>
        <item x="450"/>
        <item x="227"/>
        <item x="246"/>
        <item x="68"/>
        <item x="363"/>
        <item x="265"/>
        <item x="248"/>
        <item x="215"/>
        <item x="244"/>
        <item x="149"/>
        <item x="136"/>
        <item x="403"/>
        <item x="82"/>
        <item x="286"/>
        <item x="70"/>
        <item x="413"/>
        <item x="31"/>
        <item x="36"/>
        <item x="395"/>
        <item x="412"/>
        <item x="400"/>
        <item x="230"/>
        <item x="372"/>
        <item x="8"/>
        <item x="375"/>
        <item x="322"/>
        <item x="385"/>
        <item x="393"/>
        <item x="45"/>
        <item x="313"/>
        <item x="22"/>
        <item x="173"/>
        <item x="42"/>
        <item x="98"/>
        <item x="65"/>
        <item x="154"/>
        <item x="398"/>
        <item x="91"/>
        <item x="118"/>
        <item x="101"/>
        <item x="368"/>
        <item x="151"/>
        <item x="416"/>
        <item x="344"/>
        <item x="116"/>
        <item x="274"/>
        <item x="102"/>
        <item x="103"/>
        <item x="369"/>
        <item x="132"/>
        <item x="249"/>
        <item x="269"/>
        <item x="304"/>
        <item x="463"/>
        <item x="104"/>
        <item x="24"/>
        <item x="411"/>
        <item x="287"/>
        <item x="293"/>
        <item x="157"/>
        <item x="320"/>
        <item x="26"/>
        <item x="334"/>
        <item x="19"/>
        <item x="465"/>
        <item x="228"/>
        <item x="453"/>
        <item x="447"/>
        <item x="399"/>
        <item x="144"/>
        <item x="298"/>
        <item x="326"/>
        <item x="175"/>
        <item x="99"/>
        <item x="421"/>
        <item x="456"/>
        <item x="353"/>
        <item x="396"/>
        <item x="365"/>
        <item x="32"/>
        <item x="38"/>
        <item x="74"/>
        <item x="341"/>
        <item x="434"/>
        <item x="225"/>
        <item x="209"/>
        <item x="210"/>
        <item x="331"/>
        <item x="255"/>
        <item x="191"/>
        <item x="187"/>
        <item x="212"/>
        <item x="97"/>
        <item x="197"/>
        <item x="178"/>
        <item x="138"/>
        <item x="366"/>
        <item x="189"/>
        <item x="166"/>
        <item x="88"/>
        <item x="238"/>
        <item x="156"/>
        <item x="407"/>
        <item x="196"/>
        <item x="464"/>
        <item x="46"/>
        <item x="100"/>
        <item x="49"/>
        <item x="462"/>
        <item x="168"/>
        <item x="1"/>
        <item x="404"/>
        <item x="40"/>
        <item x="229"/>
        <item x="291"/>
        <item x="148"/>
        <item x="356"/>
        <item x="61"/>
        <item x="273"/>
        <item x="333"/>
        <item x="48"/>
        <item x="299"/>
        <item x="223"/>
        <item x="444"/>
        <item x="405"/>
        <item x="392"/>
        <item x="127"/>
        <item x="76"/>
        <item x="379"/>
        <item x="302"/>
        <item x="461"/>
        <item x="25"/>
        <item x="219"/>
        <item x="96"/>
        <item x="430"/>
        <item x="390"/>
        <item x="16"/>
        <item x="330"/>
        <item x="126"/>
        <item x="71"/>
        <item x="55"/>
        <item x="337"/>
        <item x="124"/>
        <item x="130"/>
        <item x="359"/>
        <item x="6"/>
        <item x="357"/>
        <item x="272"/>
        <item x="11"/>
        <item x="409"/>
        <item x="316"/>
        <item x="123"/>
        <item x="420"/>
        <item x="283"/>
        <item x="170"/>
        <item x="105"/>
        <item x="335"/>
        <item x="51"/>
        <item x="266"/>
        <item x="93"/>
        <item x="192"/>
        <item x="318"/>
        <item x="167"/>
        <item x="185"/>
        <item x="317"/>
        <item x="414"/>
        <item x="54"/>
        <item x="120"/>
        <item x="146"/>
        <item x="433"/>
        <item x="454"/>
        <item x="243"/>
        <item x="338"/>
        <item x="349"/>
        <item x="467"/>
        <item x="121"/>
        <item x="12"/>
        <item x="339"/>
        <item x="402"/>
        <item x="418"/>
        <item x="252"/>
        <item x="310"/>
        <item x="309"/>
        <item x="381"/>
        <item x="401"/>
        <item x="80"/>
        <item x="3"/>
        <item x="258"/>
        <item x="95"/>
        <item x="277"/>
        <item x="254"/>
        <item x="53"/>
        <item x="28"/>
        <item x="69"/>
        <item x="377"/>
        <item x="261"/>
        <item x="332"/>
        <item x="440"/>
        <item x="160"/>
        <item x="139"/>
        <item x="448"/>
        <item x="222"/>
        <item x="79"/>
        <item x="208"/>
        <item x="60"/>
        <item x="86"/>
        <item x="57"/>
        <item x="355"/>
        <item x="267"/>
        <item x="321"/>
        <item x="78"/>
        <item x="394"/>
        <item x="217"/>
        <item x="253"/>
        <item x="270"/>
        <item x="281"/>
        <item x="9"/>
        <item x="329"/>
        <item x="41"/>
        <item x="262"/>
        <item x="108"/>
        <item x="346"/>
        <item x="56"/>
        <item x="21"/>
        <item x="325"/>
        <item x="296"/>
        <item x="111"/>
        <item x="236"/>
        <item x="268"/>
        <item x="35"/>
        <item x="305"/>
        <item x="438"/>
        <item x="232"/>
        <item x="350"/>
        <item x="110"/>
        <item x="445"/>
        <item x="190"/>
        <item x="201"/>
        <item x="213"/>
        <item x="466"/>
        <item x="18"/>
        <item x="188"/>
        <item x="92"/>
        <item x="319"/>
        <item x="30"/>
        <item x="378"/>
        <item x="90"/>
        <item x="218"/>
        <item x="442"/>
        <item x="117"/>
        <item x="431"/>
        <item x="83"/>
        <item x="205"/>
        <item x="457"/>
        <item x="384"/>
        <item x="301"/>
        <item x="427"/>
        <item x="164"/>
        <item x="198"/>
        <item x="257"/>
        <item x="388"/>
        <item x="14"/>
        <item x="237"/>
        <item x="17"/>
        <item x="59"/>
        <item x="135"/>
        <item x="224"/>
        <item x="284"/>
        <item x="165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numFmtId="181" showAll="0">
      <items count="470">
        <item x="5"/>
        <item x="7"/>
        <item x="185"/>
        <item x="199"/>
        <item x="411"/>
        <item x="270"/>
        <item x="125"/>
        <item x="128"/>
        <item x="187"/>
        <item x="441"/>
        <item x="78"/>
        <item x="24"/>
        <item x="419"/>
        <item x="183"/>
        <item x="62"/>
        <item x="279"/>
        <item x="174"/>
        <item x="152"/>
        <item x="111"/>
        <item x="422"/>
        <item x="297"/>
        <item x="162"/>
        <item x="157"/>
        <item x="384"/>
        <item x="96"/>
        <item x="223"/>
        <item x="2"/>
        <item x="155"/>
        <item x="214"/>
        <item x="211"/>
        <item x="314"/>
        <item x="50"/>
        <item x="339"/>
        <item x="310"/>
        <item x="64"/>
        <item x="290"/>
        <item x="132"/>
        <item x="277"/>
        <item x="166"/>
        <item x="130"/>
        <item x="357"/>
        <item x="400"/>
        <item x="15"/>
        <item x="453"/>
        <item x="450"/>
        <item x="437"/>
        <item x="92"/>
        <item x="189"/>
        <item x="43"/>
        <item x="430"/>
        <item x="235"/>
        <item x="206"/>
        <item x="67"/>
        <item x="184"/>
        <item x="28"/>
        <item x="295"/>
        <item x="72"/>
        <item x="370"/>
        <item x="426"/>
        <item x="379"/>
        <item x="383"/>
        <item x="180"/>
        <item x="408"/>
        <item x="21"/>
        <item x="281"/>
        <item x="435"/>
        <item x="359"/>
        <item x="103"/>
        <item x="403"/>
        <item x="212"/>
        <item x="374"/>
        <item x="76"/>
        <item x="282"/>
        <item x="114"/>
        <item x="326"/>
        <item x="367"/>
        <item x="271"/>
        <item x="90"/>
        <item x="37"/>
        <item x="305"/>
        <item x="440"/>
        <item x="87"/>
        <item x="44"/>
        <item x="393"/>
        <item x="260"/>
        <item x="420"/>
        <item x="416"/>
        <item x="438"/>
        <item x="418"/>
        <item x="138"/>
        <item x="467"/>
        <item x="373"/>
        <item x="172"/>
        <item x="264"/>
        <item x="145"/>
        <item x="175"/>
        <item x="47"/>
        <item x="464"/>
        <item x="208"/>
        <item x="254"/>
        <item x="241"/>
        <item x="238"/>
        <item x="386"/>
        <item x="289"/>
        <item x="177"/>
        <item x="170"/>
        <item x="230"/>
        <item x="136"/>
        <item x="466"/>
        <item x="52"/>
        <item x="286"/>
        <item x="120"/>
        <item x="121"/>
        <item x="66"/>
        <item x="204"/>
        <item x="165"/>
        <item x="79"/>
        <item x="340"/>
        <item x="460"/>
        <item x="142"/>
        <item x="380"/>
        <item x="413"/>
        <item x="258"/>
        <item x="360"/>
        <item x="203"/>
        <item x="322"/>
        <item x="227"/>
        <item x="73"/>
        <item x="308"/>
        <item x="161"/>
        <item x="456"/>
        <item x="229"/>
        <item x="355"/>
        <item x="353"/>
        <item x="159"/>
        <item x="325"/>
        <item x="395"/>
        <item x="209"/>
        <item x="406"/>
        <item x="263"/>
        <item x="147"/>
        <item x="323"/>
        <item x="257"/>
        <item x="179"/>
        <item x="247"/>
        <item x="284"/>
        <item x="388"/>
        <item x="196"/>
        <item x="139"/>
        <item x="275"/>
        <item x="110"/>
        <item x="287"/>
        <item x="217"/>
        <item x="371"/>
        <item x="369"/>
        <item x="117"/>
        <item x="298"/>
        <item x="293"/>
        <item x="336"/>
        <item x="207"/>
        <item x="83"/>
        <item x="63"/>
        <item x="4"/>
        <item x="236"/>
        <item x="436"/>
        <item x="309"/>
        <item x="296"/>
        <item x="358"/>
        <item x="429"/>
        <item x="362"/>
        <item x="198"/>
        <item x="385"/>
        <item x="465"/>
        <item x="118"/>
        <item x="98"/>
        <item x="237"/>
        <item x="86"/>
        <item x="243"/>
        <item x="186"/>
        <item x="253"/>
        <item x="454"/>
        <item x="39"/>
        <item x="303"/>
        <item x="431"/>
        <item x="250"/>
        <item x="414"/>
        <item x="10"/>
        <item x="344"/>
        <item x="13"/>
        <item x="134"/>
        <item x="176"/>
        <item x="433"/>
        <item x="149"/>
        <item x="381"/>
        <item x="391"/>
        <item x="182"/>
        <item x="146"/>
        <item x="348"/>
        <item x="351"/>
        <item x="280"/>
        <item x="259"/>
        <item x="312"/>
        <item x="68"/>
        <item x="447"/>
        <item x="402"/>
        <item x="34"/>
        <item x="221"/>
        <item x="427"/>
        <item x="197"/>
        <item x="375"/>
        <item x="261"/>
        <item x="0"/>
        <item x="154"/>
        <item x="58"/>
        <item x="244"/>
        <item x="242"/>
        <item x="240"/>
        <item x="288"/>
        <item x="301"/>
        <item x="141"/>
        <item x="84"/>
        <item x="410"/>
        <item x="36"/>
        <item x="70"/>
        <item x="32"/>
        <item x="409"/>
        <item x="321"/>
        <item x="365"/>
        <item x="372"/>
        <item x="226"/>
        <item x="338"/>
        <item x="428"/>
        <item x="23"/>
        <item x="390"/>
        <item x="94"/>
        <item x="102"/>
        <item x="45"/>
        <item x="8"/>
        <item x="42"/>
        <item x="163"/>
        <item x="65"/>
        <item x="105"/>
        <item x="421"/>
        <item x="107"/>
        <item x="124"/>
        <item x="158"/>
        <item x="307"/>
        <item x="156"/>
        <item x="392"/>
        <item x="278"/>
        <item x="266"/>
        <item x="443"/>
        <item x="412"/>
        <item x="273"/>
        <item x="304"/>
        <item x="122"/>
        <item x="75"/>
        <item x="455"/>
        <item x="246"/>
        <item x="137"/>
        <item x="106"/>
        <item x="364"/>
        <item x="292"/>
        <item x="25"/>
        <item x="160"/>
        <item x="27"/>
        <item x="446"/>
        <item x="20"/>
        <item x="108"/>
        <item x="224"/>
        <item x="294"/>
        <item x="423"/>
        <item x="319"/>
        <item x="332"/>
        <item x="442"/>
        <item x="331"/>
        <item x="148"/>
        <item x="299"/>
        <item x="33"/>
        <item x="462"/>
        <item x="417"/>
        <item x="448"/>
        <item x="178"/>
        <item x="104"/>
        <item x="337"/>
        <item x="252"/>
        <item x="213"/>
        <item x="350"/>
        <item x="394"/>
        <item x="150"/>
        <item x="38"/>
        <item x="74"/>
        <item x="425"/>
        <item x="181"/>
        <item x="215"/>
        <item x="361"/>
        <item x="330"/>
        <item x="101"/>
        <item x="191"/>
        <item x="234"/>
        <item x="168"/>
        <item x="201"/>
        <item x="143"/>
        <item x="1"/>
        <item x="193"/>
        <item x="459"/>
        <item x="399"/>
        <item x="171"/>
        <item x="91"/>
        <item x="291"/>
        <item x="272"/>
        <item x="49"/>
        <item x="432"/>
        <item x="46"/>
        <item x="200"/>
        <item x="352"/>
        <item x="40"/>
        <item x="61"/>
        <item x="225"/>
        <item x="401"/>
        <item x="48"/>
        <item x="153"/>
        <item x="300"/>
        <item x="389"/>
        <item x="119"/>
        <item x="302"/>
        <item x="387"/>
        <item x="341"/>
        <item x="220"/>
        <item x="133"/>
        <item x="55"/>
        <item x="354"/>
        <item x="71"/>
        <item x="77"/>
        <item x="452"/>
        <item x="129"/>
        <item x="100"/>
        <item x="368"/>
        <item x="26"/>
        <item x="113"/>
        <item x="404"/>
        <item x="16"/>
        <item x="135"/>
        <item x="131"/>
        <item x="356"/>
        <item x="6"/>
        <item x="30"/>
        <item x="457"/>
        <item x="315"/>
        <item x="262"/>
        <item x="11"/>
        <item x="109"/>
        <item x="333"/>
        <item x="269"/>
        <item x="195"/>
        <item x="173"/>
        <item x="190"/>
        <item x="97"/>
        <item x="51"/>
        <item x="316"/>
        <item x="188"/>
        <item x="444"/>
        <item x="126"/>
        <item x="54"/>
        <item x="169"/>
        <item x="239"/>
        <item x="468"/>
        <item x="335"/>
        <item x="345"/>
        <item x="334"/>
        <item x="127"/>
        <item x="397"/>
        <item x="268"/>
        <item x="398"/>
        <item x="248"/>
        <item x="12"/>
        <item x="3"/>
        <item x="99"/>
        <item x="256"/>
        <item x="343"/>
        <item x="306"/>
        <item x="311"/>
        <item x="29"/>
        <item x="267"/>
        <item x="251"/>
        <item x="434"/>
        <item x="82"/>
        <item x="376"/>
        <item x="81"/>
        <item x="232"/>
        <item x="276"/>
        <item x="363"/>
        <item x="53"/>
        <item x="222"/>
        <item x="461"/>
        <item x="164"/>
        <item x="69"/>
        <item x="415"/>
        <item x="57"/>
        <item x="88"/>
        <item x="144"/>
        <item x="283"/>
        <item x="449"/>
        <item x="19"/>
        <item x="80"/>
        <item x="60"/>
        <item x="320"/>
        <item x="218"/>
        <item x="249"/>
        <item x="407"/>
        <item x="378"/>
        <item x="274"/>
        <item x="327"/>
        <item x="9"/>
        <item x="112"/>
        <item x="342"/>
        <item x="56"/>
        <item x="41"/>
        <item x="451"/>
        <item x="366"/>
        <item x="89"/>
        <item x="231"/>
        <item x="22"/>
        <item x="324"/>
        <item x="228"/>
        <item x="346"/>
        <item x="265"/>
        <item x="35"/>
        <item x="313"/>
        <item x="116"/>
        <item x="245"/>
        <item x="458"/>
        <item x="205"/>
        <item x="115"/>
        <item x="216"/>
        <item x="463"/>
        <item x="439"/>
        <item x="194"/>
        <item x="18"/>
        <item x="31"/>
        <item x="192"/>
        <item x="219"/>
        <item x="123"/>
        <item x="377"/>
        <item x="93"/>
        <item x="318"/>
        <item x="95"/>
        <item x="85"/>
        <item x="151"/>
        <item x="424"/>
        <item x="255"/>
        <item x="405"/>
        <item x="210"/>
        <item x="382"/>
        <item x="349"/>
        <item x="317"/>
        <item x="233"/>
        <item x="59"/>
        <item x="328"/>
        <item x="17"/>
        <item x="167"/>
        <item x="445"/>
        <item x="329"/>
        <item x="202"/>
        <item x="347"/>
        <item x="285"/>
        <item x="140"/>
        <item x="14"/>
        <item x="396"/>
        <item t="default"/>
      </items>
    </pivotField>
    <pivotField compact="0" numFmtId="181" showAll="0">
      <items count="473">
        <item x="5"/>
        <item x="185"/>
        <item x="7"/>
        <item x="412"/>
        <item x="199"/>
        <item x="123"/>
        <item x="126"/>
        <item x="187"/>
        <item x="443"/>
        <item x="78"/>
        <item x="24"/>
        <item x="420"/>
        <item x="183"/>
        <item x="62"/>
        <item x="174"/>
        <item x="152"/>
        <item x="109"/>
        <item x="424"/>
        <item x="276"/>
        <item x="294"/>
        <item x="162"/>
        <item x="157"/>
        <item x="381"/>
        <item x="95"/>
        <item x="222"/>
        <item x="2"/>
        <item x="155"/>
        <item x="214"/>
        <item x="211"/>
        <item x="311"/>
        <item x="50"/>
        <item x="335"/>
        <item x="307"/>
        <item x="64"/>
        <item x="130"/>
        <item x="273"/>
        <item x="166"/>
        <item x="128"/>
        <item x="382"/>
        <item x="287"/>
        <item x="34"/>
        <item x="457"/>
        <item x="454"/>
        <item x="440"/>
        <item x="91"/>
        <item x="189"/>
        <item x="15"/>
        <item x="433"/>
        <item x="206"/>
        <item x="67"/>
        <item x="184"/>
        <item x="28"/>
        <item x="292"/>
        <item x="133"/>
        <item x="366"/>
        <item x="428"/>
        <item x="376"/>
        <item x="380"/>
        <item x="180"/>
        <item x="72"/>
        <item x="21"/>
        <item x="278"/>
        <item x="438"/>
        <item x="354"/>
        <item x="102"/>
        <item x="403"/>
        <item x="212"/>
        <item x="370"/>
        <item x="76"/>
        <item x="279"/>
        <item x="112"/>
        <item x="322"/>
        <item x="363"/>
        <item x="246"/>
        <item x="38"/>
        <item x="302"/>
        <item x="89"/>
        <item x="86"/>
        <item x="44"/>
        <item x="392"/>
        <item x="258"/>
        <item x="421"/>
        <item x="417"/>
        <item x="441"/>
        <item x="419"/>
        <item x="137"/>
        <item x="470"/>
        <item x="369"/>
        <item x="172"/>
        <item x="262"/>
        <item x="144"/>
        <item x="360"/>
        <item x="175"/>
        <item x="47"/>
        <item x="208"/>
        <item x="252"/>
        <item x="239"/>
        <item x="236"/>
        <item x="385"/>
        <item x="286"/>
        <item x="177"/>
        <item x="170"/>
        <item x="229"/>
        <item x="135"/>
        <item x="469"/>
        <item x="52"/>
        <item x="283"/>
        <item x="118"/>
        <item x="119"/>
        <item x="66"/>
        <item x="204"/>
        <item x="165"/>
        <item x="79"/>
        <item x="336"/>
        <item x="464"/>
        <item x="141"/>
        <item x="377"/>
        <item x="414"/>
        <item x="256"/>
        <item x="355"/>
        <item x="203"/>
        <item x="318"/>
        <item x="226"/>
        <item x="73"/>
        <item x="305"/>
        <item x="161"/>
        <item x="460"/>
        <item x="228"/>
        <item x="351"/>
        <item x="349"/>
        <item x="159"/>
        <item x="321"/>
        <item x="394"/>
        <item x="209"/>
        <item x="406"/>
        <item x="261"/>
        <item x="147"/>
        <item x="319"/>
        <item x="255"/>
        <item x="179"/>
        <item x="245"/>
        <item x="281"/>
        <item x="387"/>
        <item x="196"/>
        <item x="271"/>
        <item x="108"/>
        <item x="284"/>
        <item x="138"/>
        <item x="367"/>
        <item x="365"/>
        <item x="115"/>
        <item x="145"/>
        <item x="295"/>
        <item x="290"/>
        <item x="332"/>
        <item x="207"/>
        <item x="82"/>
        <item x="63"/>
        <item x="4"/>
        <item x="234"/>
        <item x="439"/>
        <item x="306"/>
        <item x="293"/>
        <item x="353"/>
        <item x="275"/>
        <item x="432"/>
        <item x="357"/>
        <item x="198"/>
        <item x="383"/>
        <item x="468"/>
        <item x="116"/>
        <item x="97"/>
        <item x="235"/>
        <item x="85"/>
        <item x="241"/>
        <item x="186"/>
        <item x="251"/>
        <item x="458"/>
        <item x="40"/>
        <item x="300"/>
        <item x="434"/>
        <item x="248"/>
        <item x="415"/>
        <item x="10"/>
        <item x="340"/>
        <item x="13"/>
        <item x="132"/>
        <item x="176"/>
        <item x="436"/>
        <item x="149"/>
        <item x="378"/>
        <item x="182"/>
        <item x="146"/>
        <item x="344"/>
        <item x="390"/>
        <item x="347"/>
        <item x="277"/>
        <item x="257"/>
        <item x="309"/>
        <item x="68"/>
        <item x="451"/>
        <item x="402"/>
        <item x="35"/>
        <item x="220"/>
        <item x="430"/>
        <item x="197"/>
        <item x="371"/>
        <item x="259"/>
        <item x="0"/>
        <item x="154"/>
        <item x="58"/>
        <item x="242"/>
        <item x="240"/>
        <item x="238"/>
        <item x="285"/>
        <item x="298"/>
        <item x="140"/>
        <item x="83"/>
        <item x="411"/>
        <item x="396"/>
        <item x="37"/>
        <item x="70"/>
        <item x="32"/>
        <item x="410"/>
        <item x="317"/>
        <item x="361"/>
        <item x="368"/>
        <item x="225"/>
        <item x="334"/>
        <item x="431"/>
        <item x="23"/>
        <item x="389"/>
        <item x="408"/>
        <item x="101"/>
        <item x="45"/>
        <item x="8"/>
        <item x="43"/>
        <item x="163"/>
        <item x="93"/>
        <item x="65"/>
        <item x="104"/>
        <item x="422"/>
        <item x="105"/>
        <item x="122"/>
        <item x="158"/>
        <item x="304"/>
        <item x="156"/>
        <item x="391"/>
        <item x="274"/>
        <item x="264"/>
        <item x="445"/>
        <item x="413"/>
        <item x="269"/>
        <item x="301"/>
        <item x="120"/>
        <item x="374"/>
        <item x="459"/>
        <item x="244"/>
        <item x="136"/>
        <item x="75"/>
        <item x="359"/>
        <item x="409"/>
        <item x="25"/>
        <item x="160"/>
        <item x="27"/>
        <item x="289"/>
        <item x="448"/>
        <item x="106"/>
        <item x="223"/>
        <item x="20"/>
        <item x="291"/>
        <item x="425"/>
        <item x="316"/>
        <item x="328"/>
        <item x="444"/>
        <item x="327"/>
        <item x="148"/>
        <item x="296"/>
        <item x="466"/>
        <item x="450"/>
        <item x="418"/>
        <item x="33"/>
        <item x="452"/>
        <item x="178"/>
        <item x="103"/>
        <item x="333"/>
        <item x="250"/>
        <item x="213"/>
        <item x="346"/>
        <item x="393"/>
        <item x="150"/>
        <item x="39"/>
        <item x="74"/>
        <item x="427"/>
        <item x="181"/>
        <item x="215"/>
        <item x="356"/>
        <item x="326"/>
        <item x="100"/>
        <item x="191"/>
        <item x="233"/>
        <item x="168"/>
        <item x="201"/>
        <item x="142"/>
        <item x="193"/>
        <item x="463"/>
        <item x="400"/>
        <item x="171"/>
        <item x="1"/>
        <item x="90"/>
        <item x="288"/>
        <item x="268"/>
        <item x="49"/>
        <item x="435"/>
        <item x="46"/>
        <item x="200"/>
        <item x="348"/>
        <item x="41"/>
        <item x="61"/>
        <item x="224"/>
        <item x="401"/>
        <item x="48"/>
        <item x="153"/>
        <item x="297"/>
        <item x="388"/>
        <item x="117"/>
        <item x="299"/>
        <item x="386"/>
        <item x="337"/>
        <item x="219"/>
        <item x="131"/>
        <item x="55"/>
        <item x="350"/>
        <item x="71"/>
        <item x="77"/>
        <item x="456"/>
        <item x="127"/>
        <item x="99"/>
        <item x="364"/>
        <item x="26"/>
        <item x="111"/>
        <item x="404"/>
        <item x="16"/>
        <item x="134"/>
        <item x="129"/>
        <item x="352"/>
        <item x="6"/>
        <item x="30"/>
        <item x="461"/>
        <item x="312"/>
        <item x="260"/>
        <item x="11"/>
        <item x="107"/>
        <item x="329"/>
        <item x="267"/>
        <item x="195"/>
        <item x="173"/>
        <item x="190"/>
        <item x="96"/>
        <item x="51"/>
        <item x="313"/>
        <item x="449"/>
        <item x="188"/>
        <item x="446"/>
        <item x="124"/>
        <item x="54"/>
        <item x="169"/>
        <item x="237"/>
        <item x="471"/>
        <item x="331"/>
        <item x="341"/>
        <item x="330"/>
        <item x="125"/>
        <item x="397"/>
        <item x="266"/>
        <item x="398"/>
        <item x="247"/>
        <item x="12"/>
        <item x="3"/>
        <item x="98"/>
        <item x="254"/>
        <item x="339"/>
        <item x="303"/>
        <item x="308"/>
        <item x="29"/>
        <item x="265"/>
        <item x="249"/>
        <item x="437"/>
        <item x="81"/>
        <item x="372"/>
        <item x="231"/>
        <item x="272"/>
        <item x="358"/>
        <item x="53"/>
        <item x="221"/>
        <item x="465"/>
        <item x="164"/>
        <item x="69"/>
        <item x="416"/>
        <item x="57"/>
        <item x="87"/>
        <item x="143"/>
        <item x="399"/>
        <item x="453"/>
        <item x="384"/>
        <item x="429"/>
        <item x="80"/>
        <item x="60"/>
        <item x="280"/>
        <item x="217"/>
        <item x="19"/>
        <item x="407"/>
        <item x="375"/>
        <item x="270"/>
        <item x="323"/>
        <item x="9"/>
        <item x="110"/>
        <item x="338"/>
        <item x="56"/>
        <item x="42"/>
        <item x="455"/>
        <item x="362"/>
        <item x="88"/>
        <item x="230"/>
        <item x="22"/>
        <item x="320"/>
        <item x="227"/>
        <item x="342"/>
        <item x="263"/>
        <item x="36"/>
        <item x="310"/>
        <item x="114"/>
        <item x="243"/>
        <item x="462"/>
        <item x="205"/>
        <item x="113"/>
        <item x="216"/>
        <item x="467"/>
        <item x="442"/>
        <item x="194"/>
        <item x="18"/>
        <item x="31"/>
        <item x="192"/>
        <item x="218"/>
        <item x="121"/>
        <item x="373"/>
        <item x="92"/>
        <item x="315"/>
        <item x="94"/>
        <item x="84"/>
        <item x="151"/>
        <item x="426"/>
        <item x="423"/>
        <item x="405"/>
        <item x="210"/>
        <item x="379"/>
        <item x="253"/>
        <item x="345"/>
        <item x="314"/>
        <item x="232"/>
        <item x="59"/>
        <item x="324"/>
        <item x="17"/>
        <item x="167"/>
        <item x="447"/>
        <item x="325"/>
        <item x="202"/>
        <item x="343"/>
        <item x="282"/>
        <item x="139"/>
        <item x="14"/>
        <item x="395"/>
        <item t="default"/>
      </items>
    </pivotField>
    <pivotField compact="0" numFmtId="1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compact="0" showAll="0">
      <items count="4">
        <item m="1" x="2"/>
        <item x="0"/>
        <item x="1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axis="axisRow" compact="0" showAll="0">
      <items count="13">
        <item x="5"/>
        <item x="3"/>
        <item x="9"/>
        <item x="7"/>
        <item x="6"/>
        <item x="4"/>
        <item x="2"/>
        <item sd="0" x="0"/>
        <item x="1"/>
        <item x="11"/>
        <item x="8"/>
        <item x="10"/>
        <item t="default"/>
      </items>
    </pivotField>
    <pivotField axis="axisRow" compact="0" showAll="0">
      <items count="41">
        <item x="7"/>
        <item x="36"/>
        <item x="38"/>
        <item x="6"/>
        <item x="9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4"/>
        <item x="28"/>
        <item x="1"/>
        <item x="30"/>
        <item x="24"/>
        <item x="8"/>
        <item x="23"/>
        <item x="14"/>
        <item x="27"/>
        <item x="5"/>
        <item x="35"/>
        <item x="26"/>
        <item t="default"/>
      </items>
    </pivotField>
    <pivotField compact="0" showAll="0">
      <items count="7">
        <item x="3"/>
        <item x="0"/>
        <item x="1"/>
        <item x="5"/>
        <item x="2"/>
        <item x="4"/>
        <item t="default"/>
      </items>
    </pivotField>
    <pivotField compact="0" showAll="0">
      <items count="7">
        <item x="4"/>
        <item x="3"/>
        <item x="2"/>
        <item x="5"/>
        <item x="1"/>
        <item x="0"/>
        <item t="default"/>
      </items>
    </pivotField>
    <pivotField compact="0" showAll="0">
      <items count="17">
        <item x="8"/>
        <item x="5"/>
        <item x="0"/>
        <item x="14"/>
        <item x="6"/>
        <item x="9"/>
        <item x="3"/>
        <item x="10"/>
        <item x="2"/>
        <item x="1"/>
        <item x="11"/>
        <item x="4"/>
        <item x="12"/>
        <item x="13"/>
        <item x="7"/>
        <item x="15"/>
        <item t="default"/>
      </items>
    </pivotField>
    <pivotField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showAll="0">
      <items count="631">
        <item x="139"/>
        <item x="621"/>
        <item x="333"/>
        <item x="415"/>
        <item x="340"/>
        <item x="394"/>
        <item x="441"/>
        <item x="293"/>
        <item x="491"/>
        <item x="587"/>
        <item x="207"/>
        <item x="14"/>
        <item x="478"/>
        <item x="58"/>
        <item x="261"/>
        <item x="59"/>
        <item x="325"/>
        <item x="103"/>
        <item x="170"/>
        <item x="70"/>
        <item x="497"/>
        <item x="416"/>
        <item x="312"/>
        <item x="319"/>
        <item x="489"/>
        <item x="332"/>
        <item x="355"/>
        <item x="516"/>
        <item x="185"/>
        <item x="545"/>
        <item x="221"/>
        <item x="259"/>
        <item x="450"/>
        <item x="521"/>
        <item x="576"/>
        <item x="270"/>
        <item x="22"/>
        <item x="158"/>
        <item x="131"/>
        <item x="154"/>
        <item x="290"/>
        <item x="76"/>
        <item x="113"/>
        <item x="569"/>
        <item x="187"/>
        <item x="618"/>
        <item x="588"/>
        <item x="227"/>
        <item x="552"/>
        <item x="551"/>
        <item x="97"/>
        <item x="460"/>
        <item x="214"/>
        <item x="352"/>
        <item x="299"/>
        <item x="57"/>
        <item x="288"/>
        <item x="50"/>
        <item x="147"/>
        <item x="437"/>
        <item x="346"/>
        <item x="180"/>
        <item x="358"/>
        <item x="142"/>
        <item x="493"/>
        <item x="557"/>
        <item x="465"/>
        <item x="604"/>
        <item x="360"/>
        <item x="592"/>
        <item x="10"/>
        <item x="277"/>
        <item x="18"/>
        <item x="338"/>
        <item x="541"/>
        <item x="292"/>
        <item x="454"/>
        <item x="25"/>
        <item x="209"/>
        <item x="93"/>
        <item x="66"/>
        <item x="77"/>
        <item x="554"/>
        <item x="536"/>
        <item x="306"/>
        <item x="182"/>
        <item x="408"/>
        <item x="109"/>
        <item x="75"/>
        <item x="169"/>
        <item x="513"/>
        <item x="471"/>
        <item x="579"/>
        <item x="607"/>
        <item x="624"/>
        <item x="34"/>
        <item x="172"/>
        <item x="627"/>
        <item x="401"/>
        <item x="126"/>
        <item x="391"/>
        <item x="124"/>
        <item x="484"/>
        <item x="523"/>
        <item x="377"/>
        <item x="24"/>
        <item x="87"/>
        <item x="82"/>
        <item x="324"/>
        <item x="510"/>
        <item x="367"/>
        <item x="458"/>
        <item x="12"/>
        <item x="136"/>
        <item x="9"/>
        <item x="294"/>
        <item x="157"/>
        <item x="464"/>
        <item x="210"/>
        <item x="315"/>
        <item x="467"/>
        <item x="85"/>
        <item x="161"/>
        <item x="260"/>
        <item x="348"/>
        <item x="256"/>
        <item x="573"/>
        <item x="220"/>
        <item x="617"/>
        <item x="594"/>
        <item x="326"/>
        <item x="74"/>
        <item x="171"/>
        <item x="589"/>
        <item x="490"/>
        <item x="518"/>
        <item x="463"/>
        <item x="78"/>
        <item x="519"/>
        <item x="564"/>
        <item x="44"/>
        <item x="127"/>
        <item x="125"/>
        <item x="110"/>
        <item x="568"/>
        <item x="504"/>
        <item x="459"/>
        <item x="451"/>
        <item x="397"/>
        <item x="30"/>
        <item x="230"/>
        <item x="61"/>
        <item x="365"/>
        <item x="222"/>
        <item x="206"/>
        <item x="69"/>
        <item x="250"/>
        <item x="36"/>
        <item x="60"/>
        <item x="105"/>
        <item x="511"/>
        <item x="101"/>
        <item x="86"/>
        <item x="234"/>
        <item x="0"/>
        <item x="37"/>
        <item x="393"/>
        <item x="436"/>
        <item x="403"/>
        <item x="289"/>
        <item x="476"/>
        <item x="237"/>
        <item x="585"/>
        <item x="177"/>
        <item x="300"/>
        <item x="267"/>
        <item x="559"/>
        <item x="323"/>
        <item x="475"/>
        <item x="477"/>
        <item x="533"/>
        <item x="166"/>
        <item x="145"/>
        <item x="295"/>
        <item x="15"/>
        <item x="527"/>
        <item x="445"/>
        <item x="582"/>
        <item x="539"/>
        <item x="349"/>
        <item x="119"/>
        <item x="279"/>
        <item x="246"/>
        <item x="384"/>
        <item x="239"/>
        <item x="370"/>
        <item x="629"/>
        <item x="481"/>
        <item x="146"/>
        <item x="19"/>
        <item x="64"/>
        <item x="264"/>
        <item x="507"/>
        <item x="571"/>
        <item x="345"/>
        <item x="99"/>
        <item x="53"/>
        <item x="362"/>
        <item x="514"/>
        <item x="581"/>
        <item x="71"/>
        <item x="309"/>
        <item x="304"/>
        <item x="542"/>
        <item x="242"/>
        <item x="457"/>
        <item x="603"/>
        <item x="23"/>
        <item x="255"/>
        <item x="508"/>
        <item x="104"/>
        <item x="190"/>
        <item x="563"/>
        <item x="387"/>
        <item x="251"/>
        <item x="151"/>
        <item x="520"/>
        <item x="593"/>
        <item x="368"/>
        <item x="56"/>
        <item x="409"/>
        <item x="275"/>
        <item x="173"/>
        <item x="102"/>
        <item x="388"/>
        <item x="534"/>
        <item x="565"/>
        <item x="425"/>
        <item x="52"/>
        <item x="192"/>
        <item x="407"/>
        <item x="117"/>
        <item x="396"/>
        <item x="424"/>
        <item x="72"/>
        <item x="5"/>
        <item x="598"/>
        <item x="430"/>
        <item x="421"/>
        <item x="283"/>
        <item x="329"/>
        <item x="386"/>
        <item x="111"/>
        <item x="224"/>
        <item x="132"/>
        <item x="20"/>
        <item x="402"/>
        <item x="284"/>
        <item x="33"/>
        <item x="339"/>
        <item x="566"/>
        <item x="314"/>
        <item x="271"/>
        <item x="591"/>
        <item x="216"/>
        <item x="186"/>
        <item x="205"/>
        <item x="96"/>
        <item x="404"/>
        <item x="167"/>
        <item x="140"/>
        <item x="68"/>
        <item x="472"/>
        <item x="509"/>
        <item x="217"/>
        <item x="115"/>
        <item x="247"/>
        <item x="597"/>
        <item x="89"/>
        <item x="328"/>
        <item x="249"/>
        <item x="135"/>
        <item x="273"/>
        <item x="427"/>
        <item x="83"/>
        <item x="398"/>
        <item x="121"/>
        <item x="625"/>
        <item x="418"/>
        <item x="615"/>
        <item x="189"/>
        <item x="351"/>
        <item x="549"/>
        <item x="297"/>
        <item x="51"/>
        <item x="252"/>
        <item x="372"/>
        <item x="432"/>
        <item x="499"/>
        <item x="55"/>
        <item x="204"/>
        <item x="456"/>
        <item x="130"/>
        <item x="63"/>
        <item x="233"/>
        <item x="178"/>
        <item x="305"/>
        <item x="447"/>
        <item x="280"/>
        <item x="298"/>
        <item x="183"/>
        <item x="363"/>
        <item x="389"/>
        <item x="561"/>
        <item x="572"/>
        <item x="522"/>
        <item x="547"/>
        <item x="310"/>
        <item x="195"/>
        <item x="165"/>
        <item x="67"/>
        <item x="453"/>
        <item x="8"/>
        <item x="175"/>
        <item x="556"/>
        <item x="446"/>
        <item x="580"/>
        <item x="191"/>
        <item x="168"/>
        <item x="383"/>
        <item x="258"/>
        <item x="211"/>
        <item x="188"/>
        <item x="79"/>
        <item x="610"/>
        <item x="544"/>
        <item x="6"/>
        <item x="272"/>
        <item x="540"/>
        <item x="431"/>
        <item x="184"/>
        <item x="494"/>
        <item x="254"/>
        <item x="88"/>
        <item x="118"/>
        <item x="531"/>
        <item x="163"/>
        <item x="498"/>
        <item x="318"/>
        <item x="395"/>
        <item x="266"/>
        <item x="160"/>
        <item x="40"/>
        <item x="496"/>
        <item x="311"/>
        <item x="495"/>
        <item x="590"/>
        <item x="380"/>
        <item x="41"/>
        <item x="223"/>
        <item x="226"/>
        <item x="302"/>
        <item x="98"/>
        <item x="341"/>
        <item x="73"/>
        <item x="479"/>
        <item x="90"/>
        <item x="45"/>
        <item x="47"/>
        <item x="144"/>
        <item x="257"/>
        <item x="623"/>
        <item x="438"/>
        <item x="562"/>
        <item x="248"/>
        <item x="483"/>
        <item x="577"/>
        <item x="114"/>
        <item x="21"/>
        <item x="399"/>
        <item x="198"/>
        <item x="376"/>
        <item x="575"/>
        <item x="506"/>
        <item x="307"/>
        <item x="574"/>
        <item x="382"/>
        <item x="357"/>
        <item x="317"/>
        <item x="129"/>
        <item x="517"/>
        <item x="112"/>
        <item x="548"/>
        <item x="321"/>
        <item x="620"/>
        <item x="622"/>
        <item x="80"/>
        <item x="322"/>
        <item x="543"/>
        <item x="48"/>
        <item x="462"/>
        <item x="612"/>
        <item x="379"/>
        <item x="276"/>
        <item x="194"/>
        <item x="611"/>
        <item x="466"/>
        <item x="203"/>
        <item x="600"/>
        <item x="503"/>
        <item x="120"/>
        <item x="108"/>
        <item x="535"/>
        <item x="413"/>
        <item x="84"/>
        <item x="550"/>
        <item x="215"/>
        <item x="378"/>
        <item x="155"/>
        <item x="32"/>
        <item x="433"/>
        <item x="502"/>
        <item x="281"/>
        <item x="123"/>
        <item x="619"/>
        <item x="156"/>
        <item x="538"/>
        <item x="614"/>
        <item x="353"/>
        <item x="331"/>
        <item x="262"/>
        <item x="567"/>
        <item x="529"/>
        <item x="344"/>
        <item x="2"/>
        <item x="29"/>
        <item x="435"/>
        <item x="287"/>
        <item x="54"/>
        <item x="420"/>
        <item x="17"/>
        <item x="282"/>
        <item x="347"/>
        <item x="213"/>
        <item x="343"/>
        <item x="28"/>
        <item x="560"/>
        <item x="512"/>
        <item x="202"/>
        <item x="371"/>
        <item x="327"/>
        <item x="107"/>
        <item x="448"/>
        <item x="238"/>
        <item x="482"/>
        <item x="231"/>
        <item x="422"/>
        <item x="133"/>
        <item x="530"/>
        <item x="268"/>
        <item x="426"/>
        <item x="200"/>
        <item x="392"/>
        <item x="91"/>
        <item x="241"/>
        <item x="286"/>
        <item x="263"/>
        <item x="334"/>
        <item x="412"/>
        <item x="440"/>
        <item x="128"/>
        <item x="570"/>
        <item x="3"/>
        <item x="583"/>
        <item x="149"/>
        <item x="65"/>
        <item x="626"/>
        <item x="245"/>
        <item x="31"/>
        <item x="375"/>
        <item x="197"/>
        <item x="303"/>
        <item x="584"/>
        <item x="361"/>
        <item x="162"/>
        <item x="452"/>
        <item x="428"/>
        <item x="406"/>
        <item x="485"/>
        <item x="553"/>
        <item x="316"/>
        <item x="330"/>
        <item x="488"/>
        <item x="455"/>
        <item x="285"/>
        <item x="278"/>
        <item x="27"/>
        <item x="366"/>
        <item x="94"/>
        <item x="11"/>
        <item x="244"/>
        <item x="225"/>
        <item x="605"/>
        <item x="181"/>
        <item x="578"/>
        <item x="336"/>
        <item x="492"/>
        <item x="122"/>
        <item x="374"/>
        <item x="137"/>
        <item x="141"/>
        <item x="532"/>
        <item x="62"/>
        <item x="100"/>
        <item x="419"/>
        <item x="411"/>
        <item x="505"/>
        <item x="236"/>
        <item x="434"/>
        <item x="106"/>
        <item x="500"/>
        <item x="628"/>
        <item x="159"/>
        <item x="320"/>
        <item x="473"/>
        <item x="586"/>
        <item x="196"/>
        <item x="501"/>
        <item x="335"/>
        <item x="232"/>
        <item x="390"/>
        <item x="474"/>
        <item x="265"/>
        <item x="486"/>
        <item x="49"/>
        <item x="526"/>
        <item x="537"/>
        <item x="410"/>
        <item x="515"/>
        <item x="525"/>
        <item x="439"/>
        <item x="228"/>
        <item x="313"/>
        <item x="449"/>
        <item x="555"/>
        <item x="429"/>
        <item x="46"/>
        <item x="524"/>
        <item x="219"/>
        <item x="253"/>
        <item x="308"/>
        <item x="212"/>
        <item x="42"/>
        <item x="468"/>
        <item x="364"/>
        <item x="369"/>
        <item x="174"/>
        <item x="480"/>
        <item x="164"/>
        <item x="26"/>
        <item x="148"/>
        <item x="143"/>
        <item x="35"/>
        <item x="528"/>
        <item x="595"/>
        <item x="134"/>
        <item x="442"/>
        <item x="342"/>
        <item x="609"/>
        <item x="138"/>
        <item x="193"/>
        <item x="240"/>
        <item x="602"/>
        <item x="176"/>
        <item x="613"/>
        <item x="337"/>
        <item x="243"/>
        <item x="606"/>
        <item x="400"/>
        <item x="218"/>
        <item x="616"/>
        <item x="487"/>
        <item x="417"/>
        <item x="381"/>
        <item x="208"/>
        <item x="601"/>
        <item x="150"/>
        <item x="7"/>
        <item x="423"/>
        <item x="116"/>
        <item x="92"/>
        <item x="301"/>
        <item x="39"/>
        <item x="558"/>
        <item x="359"/>
        <item x="269"/>
        <item x="16"/>
        <item x="461"/>
        <item x="199"/>
        <item x="229"/>
        <item x="470"/>
        <item x="153"/>
        <item x="38"/>
        <item x="350"/>
        <item x="235"/>
        <item x="296"/>
        <item x="444"/>
        <item x="4"/>
        <item x="179"/>
        <item x="152"/>
        <item x="13"/>
        <item x="201"/>
        <item x="373"/>
        <item x="274"/>
        <item x="291"/>
        <item x="385"/>
        <item x="95"/>
        <item x="608"/>
        <item x="1"/>
        <item x="405"/>
        <item x="469"/>
        <item x="356"/>
        <item x="443"/>
        <item x="546"/>
        <item x="81"/>
        <item x="43"/>
        <item x="599"/>
        <item x="596"/>
        <item x="354"/>
        <item x="414"/>
        <item t="default"/>
      </items>
    </pivotField>
    <pivotField compact="0" numFmtId="44" showAll="0">
      <items count="633">
        <item x="493"/>
        <item x="112"/>
        <item x="180"/>
        <item x="298"/>
        <item x="172"/>
        <item x="286"/>
        <item x="106"/>
        <item x="247"/>
        <item x="389"/>
        <item x="83"/>
        <item x="572"/>
        <item x="96"/>
        <item x="7"/>
        <item x="341"/>
        <item x="177"/>
        <item x="461"/>
        <item x="127"/>
        <item x="582"/>
        <item x="481"/>
        <item x="54"/>
        <item x="311"/>
        <item x="631"/>
        <item x="230"/>
        <item x="354"/>
        <item x="89"/>
        <item x="119"/>
        <item x="532"/>
        <item x="586"/>
        <item x="245"/>
        <item x="139"/>
        <item x="517"/>
        <item x="291"/>
        <item x="243"/>
        <item x="51"/>
        <item x="116"/>
        <item x="347"/>
        <item x="323"/>
        <item x="418"/>
        <item x="575"/>
        <item x="108"/>
        <item x="551"/>
        <item x="305"/>
        <item x="443"/>
        <item x="211"/>
        <item x="526"/>
        <item x="282"/>
        <item x="263"/>
        <item x="330"/>
        <item x="344"/>
        <item x="103"/>
        <item x="609"/>
        <item x="488"/>
        <item x="463"/>
        <item x="531"/>
        <item x="26"/>
        <item x="308"/>
        <item x="436"/>
        <item x="163"/>
        <item x="206"/>
        <item x="570"/>
        <item x="460"/>
        <item x="113"/>
        <item x="608"/>
        <item x="221"/>
        <item x="217"/>
        <item x="318"/>
        <item x="128"/>
        <item x="239"/>
        <item x="579"/>
        <item x="599"/>
        <item x="621"/>
        <item x="82"/>
        <item x="458"/>
        <item x="577"/>
        <item x="124"/>
        <item x="35"/>
        <item x="174"/>
        <item x="434"/>
        <item x="490"/>
        <item x="447"/>
        <item x="233"/>
        <item x="232"/>
        <item x="53"/>
        <item x="28"/>
        <item x="293"/>
        <item x="476"/>
        <item x="178"/>
        <item x="511"/>
        <item x="627"/>
        <item x="508"/>
        <item x="391"/>
        <item x="215"/>
        <item x="304"/>
        <item x="270"/>
        <item x="222"/>
        <item x="466"/>
        <item x="445"/>
        <item x="296"/>
        <item x="194"/>
        <item x="620"/>
        <item x="369"/>
        <item x="485"/>
        <item x="3"/>
        <item x="71"/>
        <item x="464"/>
        <item x="145"/>
        <item x="0"/>
        <item x="274"/>
        <item x="486"/>
        <item x="373"/>
        <item x="316"/>
        <item x="109"/>
        <item x="491"/>
        <item x="597"/>
        <item x="160"/>
        <item x="137"/>
        <item x="133"/>
        <item x="350"/>
        <item x="456"/>
        <item x="326"/>
        <item x="101"/>
        <item x="39"/>
        <item x="258"/>
        <item x="5"/>
        <item x="254"/>
        <item x="594"/>
        <item x="386"/>
        <item x="428"/>
        <item x="271"/>
        <item x="519"/>
        <item x="166"/>
        <item x="12"/>
        <item x="297"/>
        <item x="46"/>
        <item x="118"/>
        <item x="169"/>
        <item x="57"/>
        <item x="483"/>
        <item x="439"/>
        <item x="179"/>
        <item x="495"/>
        <item x="114"/>
        <item x="78"/>
        <item x="148"/>
        <item x="380"/>
        <item x="315"/>
        <item x="441"/>
        <item x="307"/>
        <item x="328"/>
        <item x="432"/>
        <item x="277"/>
        <item x="240"/>
        <item x="219"/>
        <item x="214"/>
        <item x="580"/>
        <item x="616"/>
        <item x="218"/>
        <item x="231"/>
        <item x="505"/>
        <item x="453"/>
        <item x="525"/>
        <item x="309"/>
        <item x="321"/>
        <item x="604"/>
        <item x="93"/>
        <item x="129"/>
        <item x="130"/>
        <item x="602"/>
        <item x="331"/>
        <item x="470"/>
        <item x="378"/>
        <item x="155"/>
        <item x="546"/>
        <item x="573"/>
        <item x="561"/>
        <item x="191"/>
        <item x="544"/>
        <item x="250"/>
        <item x="494"/>
        <item x="410"/>
        <item x="312"/>
        <item x="477"/>
        <item x="500"/>
        <item x="408"/>
        <item x="536"/>
        <item x="334"/>
        <item x="251"/>
        <item x="43"/>
        <item x="433"/>
        <item x="540"/>
        <item x="370"/>
        <item x="201"/>
        <item x="68"/>
        <item x="30"/>
        <item x="64"/>
        <item x="403"/>
        <item x="141"/>
        <item x="419"/>
        <item x="338"/>
        <item x="498"/>
        <item x="523"/>
        <item x="197"/>
        <item x="257"/>
        <item x="290"/>
        <item x="88"/>
        <item x="565"/>
        <item x="268"/>
        <item x="91"/>
        <item x="52"/>
        <item x="361"/>
        <item x="98"/>
        <item x="110"/>
        <item x="479"/>
        <item x="285"/>
        <item x="131"/>
        <item x="444"/>
        <item x="144"/>
        <item x="262"/>
        <item x="6"/>
        <item x="564"/>
        <item x="220"/>
        <item x="202"/>
        <item x="299"/>
        <item x="186"/>
        <item x="314"/>
        <item x="430"/>
        <item x="87"/>
        <item x="62"/>
        <item x="474"/>
        <item x="364"/>
        <item x="437"/>
        <item x="538"/>
        <item x="417"/>
        <item x="623"/>
        <item x="339"/>
        <item x="510"/>
        <item x="283"/>
        <item x="337"/>
        <item x="446"/>
        <item x="515"/>
        <item x="584"/>
        <item x="13"/>
        <item x="10"/>
        <item x="33"/>
        <item x="336"/>
        <item x="472"/>
        <item x="252"/>
        <item x="516"/>
        <item x="301"/>
        <item x="395"/>
        <item x="325"/>
        <item x="156"/>
        <item x="355"/>
        <item x="499"/>
        <item x="340"/>
        <item x="4"/>
        <item x="469"/>
        <item x="411"/>
        <item x="591"/>
        <item x="359"/>
        <item x="255"/>
        <item x="571"/>
        <item x="563"/>
        <item x="67"/>
        <item x="44"/>
        <item x="533"/>
        <item x="147"/>
        <item x="605"/>
        <item x="475"/>
        <item x="90"/>
        <item x="412"/>
        <item x="576"/>
        <item x="238"/>
        <item x="134"/>
        <item x="549"/>
        <item x="558"/>
        <item x="36"/>
        <item x="457"/>
        <item x="611"/>
        <item x="259"/>
        <item x="73"/>
        <item x="585"/>
        <item x="269"/>
        <item x="372"/>
        <item x="617"/>
        <item x="535"/>
        <item x="553"/>
        <item x="22"/>
        <item x="185"/>
        <item x="462"/>
        <item x="568"/>
        <item x="522"/>
        <item x="578"/>
        <item x="595"/>
        <item x="29"/>
        <item x="15"/>
        <item x="37"/>
        <item x="150"/>
        <item x="182"/>
        <item x="358"/>
        <item x="502"/>
        <item x="435"/>
        <item x="14"/>
        <item x="598"/>
        <item x="471"/>
        <item x="294"/>
        <item x="590"/>
        <item x="183"/>
        <item x="192"/>
        <item x="288"/>
        <item x="253"/>
        <item x="120"/>
        <item x="170"/>
        <item x="560"/>
        <item x="248"/>
        <item x="92"/>
        <item x="513"/>
        <item x="342"/>
        <item x="628"/>
        <item x="630"/>
        <item x="161"/>
        <item x="454"/>
        <item x="158"/>
        <item x="619"/>
        <item x="143"/>
        <item x="75"/>
        <item x="45"/>
        <item x="200"/>
        <item x="381"/>
        <item x="362"/>
        <item x="473"/>
        <item x="379"/>
        <item x="313"/>
        <item x="171"/>
        <item x="401"/>
        <item x="416"/>
        <item x="55"/>
        <item x="574"/>
        <item x="27"/>
        <item x="559"/>
        <item x="48"/>
        <item x="581"/>
        <item x="438"/>
        <item x="102"/>
        <item x="300"/>
        <item x="38"/>
        <item x="154"/>
        <item x="451"/>
        <item x="319"/>
        <item x="351"/>
        <item x="548"/>
        <item x="69"/>
        <item x="557"/>
        <item x="203"/>
        <item x="16"/>
        <item x="146"/>
        <item x="303"/>
        <item x="327"/>
        <item x="449"/>
        <item x="492"/>
        <item x="157"/>
        <item x="452"/>
        <item x="509"/>
        <item x="168"/>
        <item x="11"/>
        <item x="70"/>
        <item x="74"/>
        <item x="241"/>
        <item x="164"/>
        <item x="153"/>
        <item x="618"/>
        <item x="518"/>
        <item x="506"/>
        <item x="348"/>
        <item x="228"/>
        <item x="367"/>
        <item x="429"/>
        <item x="530"/>
        <item x="132"/>
        <item x="384"/>
        <item x="612"/>
        <item x="176"/>
        <item x="543"/>
        <item x="450"/>
        <item x="24"/>
        <item x="125"/>
        <item x="360"/>
        <item x="279"/>
        <item x="352"/>
        <item x="404"/>
        <item x="440"/>
        <item x="349"/>
        <item x="600"/>
        <item x="193"/>
        <item x="346"/>
        <item x="320"/>
        <item x="375"/>
        <item x="190"/>
        <item x="504"/>
        <item x="151"/>
        <item x="487"/>
        <item x="94"/>
        <item x="324"/>
        <item x="244"/>
        <item x="19"/>
        <item x="592"/>
        <item x="204"/>
        <item x="317"/>
        <item x="284"/>
        <item x="388"/>
        <item x="402"/>
        <item x="624"/>
        <item x="184"/>
        <item x="162"/>
        <item x="40"/>
        <item x="229"/>
        <item x="272"/>
        <item x="589"/>
        <item x="363"/>
        <item x="207"/>
        <item x="425"/>
        <item x="550"/>
        <item x="478"/>
        <item x="365"/>
        <item x="59"/>
        <item x="524"/>
        <item x="520"/>
        <item x="126"/>
        <item x="287"/>
        <item x="18"/>
        <item x="629"/>
        <item x="189"/>
        <item x="225"/>
        <item x="66"/>
        <item x="332"/>
        <item x="273"/>
        <item x="527"/>
        <item x="1"/>
        <item x="95"/>
        <item x="216"/>
        <item x="135"/>
        <item x="224"/>
        <item x="210"/>
        <item x="280"/>
        <item x="152"/>
        <item x="610"/>
        <item x="420"/>
        <item x="281"/>
        <item x="266"/>
        <item x="77"/>
        <item x="377"/>
        <item x="400"/>
        <item x="260"/>
        <item x="79"/>
        <item x="405"/>
        <item x="392"/>
        <item x="181"/>
        <item x="503"/>
        <item x="497"/>
        <item x="596"/>
        <item x="393"/>
        <item x="107"/>
        <item x="539"/>
        <item x="382"/>
        <item x="292"/>
        <item x="198"/>
        <item x="603"/>
        <item x="383"/>
        <item x="455"/>
        <item x="534"/>
        <item x="427"/>
        <item x="56"/>
        <item x="105"/>
        <item x="385"/>
        <item x="554"/>
        <item x="387"/>
        <item x="212"/>
        <item x="567"/>
        <item x="552"/>
        <item x="468"/>
        <item x="278"/>
        <item x="399"/>
        <item x="60"/>
        <item x="357"/>
        <item x="205"/>
        <item x="81"/>
        <item x="333"/>
        <item x="85"/>
        <item x="111"/>
        <item x="555"/>
        <item x="562"/>
        <item x="413"/>
        <item x="223"/>
        <item x="99"/>
        <item x="431"/>
        <item x="397"/>
        <item x="356"/>
        <item x="138"/>
        <item x="209"/>
        <item x="421"/>
        <item x="448"/>
        <item x="41"/>
        <item x="265"/>
        <item x="528"/>
        <item x="606"/>
        <item x="249"/>
        <item x="371"/>
        <item x="480"/>
        <item x="159"/>
        <item x="58"/>
        <item x="17"/>
        <item x="242"/>
        <item x="97"/>
        <item x="376"/>
        <item x="343"/>
        <item x="501"/>
        <item x="587"/>
        <item x="353"/>
        <item x="566"/>
        <item x="63"/>
        <item x="165"/>
        <item x="235"/>
        <item x="227"/>
        <item x="31"/>
        <item x="208"/>
        <item x="593"/>
        <item x="100"/>
        <item x="414"/>
        <item x="541"/>
        <item x="142"/>
        <item x="187"/>
        <item x="173"/>
        <item x="459"/>
        <item x="302"/>
        <item x="267"/>
        <item x="426"/>
        <item x="289"/>
        <item x="23"/>
        <item x="368"/>
        <item x="521"/>
        <item x="482"/>
        <item x="415"/>
        <item x="335"/>
        <item x="537"/>
        <item x="496"/>
        <item x="366"/>
        <item x="8"/>
        <item x="394"/>
        <item x="149"/>
        <item x="121"/>
        <item x="547"/>
        <item x="322"/>
        <item x="65"/>
        <item x="49"/>
        <item x="545"/>
        <item x="484"/>
        <item x="234"/>
        <item x="398"/>
        <item x="422"/>
        <item x="615"/>
        <item x="199"/>
        <item x="613"/>
        <item x="21"/>
        <item x="9"/>
        <item x="507"/>
        <item x="188"/>
        <item x="465"/>
        <item x="601"/>
        <item x="276"/>
        <item x="236"/>
        <item x="622"/>
        <item x="626"/>
        <item x="625"/>
        <item x="246"/>
        <item x="226"/>
        <item x="406"/>
        <item x="442"/>
        <item x="295"/>
        <item x="123"/>
        <item x="237"/>
        <item x="86"/>
        <item x="588"/>
        <item x="583"/>
        <item x="542"/>
        <item x="329"/>
        <item x="72"/>
        <item x="195"/>
        <item x="512"/>
        <item x="117"/>
        <item x="76"/>
        <item x="122"/>
        <item x="42"/>
        <item x="396"/>
        <item x="529"/>
        <item x="310"/>
        <item x="104"/>
        <item x="196"/>
        <item x="569"/>
        <item x="467"/>
        <item x="80"/>
        <item x="275"/>
        <item x="136"/>
        <item x="175"/>
        <item x="409"/>
        <item x="614"/>
        <item x="47"/>
        <item x="84"/>
        <item x="514"/>
        <item x="34"/>
        <item x="407"/>
        <item x="556"/>
        <item x="213"/>
        <item x="306"/>
        <item x="50"/>
        <item x="264"/>
        <item x="2"/>
        <item x="32"/>
        <item x="140"/>
        <item x="607"/>
        <item x="489"/>
        <item x="61"/>
        <item x="256"/>
        <item x="261"/>
        <item x="115"/>
        <item x="424"/>
        <item x="167"/>
        <item x="374"/>
        <item x="390"/>
        <item x="423"/>
        <item x="25"/>
        <item x="20"/>
        <item x="345"/>
        <item t="default"/>
      </items>
    </pivotField>
    <pivotField compact="0" numFmtId="44" showAll="0">
      <items count="631">
        <item x="615"/>
        <item x="2"/>
        <item x="58"/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numFmtId="44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numFmtId="184" showAll="0">
      <items count="229">
        <item x="5"/>
        <item x="140"/>
        <item x="10"/>
        <item x="20"/>
        <item x="99"/>
        <item x="19"/>
        <item x="84"/>
        <item x="170"/>
        <item x="212"/>
        <item x="108"/>
        <item x="205"/>
        <item x="113"/>
        <item x="106"/>
        <item x="118"/>
        <item x="109"/>
        <item x="179"/>
        <item x="134"/>
        <item x="71"/>
        <item x="8"/>
        <item x="195"/>
        <item x="76"/>
        <item x="42"/>
        <item x="32"/>
        <item x="16"/>
        <item x="188"/>
        <item x="208"/>
        <item x="174"/>
        <item x="89"/>
        <item x="221"/>
        <item x="107"/>
        <item x="215"/>
        <item x="58"/>
        <item x="216"/>
        <item x="54"/>
        <item x="130"/>
        <item x="114"/>
        <item x="223"/>
        <item x="133"/>
        <item x="121"/>
        <item x="92"/>
        <item x="193"/>
        <item x="163"/>
        <item x="227"/>
        <item x="96"/>
        <item x="201"/>
        <item x="176"/>
        <item x="72"/>
        <item x="143"/>
        <item x="55"/>
        <item x="90"/>
        <item x="68"/>
        <item x="88"/>
        <item x="3"/>
        <item x="93"/>
        <item x="13"/>
        <item x="43"/>
        <item x="171"/>
        <item x="202"/>
        <item x="117"/>
        <item x="164"/>
        <item x="226"/>
        <item x="104"/>
        <item x="200"/>
        <item x="26"/>
        <item x="147"/>
        <item x="24"/>
        <item x="167"/>
        <item x="25"/>
        <item x="168"/>
        <item x="119"/>
        <item x="77"/>
        <item x="142"/>
        <item x="12"/>
        <item x="148"/>
        <item x="73"/>
        <item x="224"/>
        <item x="199"/>
        <item x="74"/>
        <item x="165"/>
        <item x="27"/>
        <item x="4"/>
        <item x="172"/>
        <item x="67"/>
        <item x="52"/>
        <item x="192"/>
        <item x="105"/>
        <item x="86"/>
        <item x="14"/>
        <item x="46"/>
        <item x="95"/>
        <item x="0"/>
        <item x="139"/>
        <item x="60"/>
        <item x="158"/>
        <item x="144"/>
        <item x="85"/>
        <item x="45"/>
        <item x="18"/>
        <item x="173"/>
        <item x="153"/>
        <item x="82"/>
        <item x="213"/>
        <item x="22"/>
        <item x="38"/>
        <item x="110"/>
        <item x="137"/>
        <item x="31"/>
        <item x="49"/>
        <item x="2"/>
        <item x="191"/>
        <item x="112"/>
        <item x="61"/>
        <item x="157"/>
        <item x="29"/>
        <item x="81"/>
        <item x="159"/>
        <item x="23"/>
        <item x="78"/>
        <item x="169"/>
        <item x="56"/>
        <item x="17"/>
        <item x="41"/>
        <item x="180"/>
        <item x="34"/>
        <item x="6"/>
        <item x="135"/>
        <item x="9"/>
        <item x="209"/>
        <item x="102"/>
        <item x="136"/>
        <item x="125"/>
        <item x="69"/>
        <item x="131"/>
        <item x="161"/>
        <item x="87"/>
        <item x="181"/>
        <item x="129"/>
        <item x="75"/>
        <item x="64"/>
        <item x="196"/>
        <item x="156"/>
        <item x="211"/>
        <item x="150"/>
        <item x="21"/>
        <item x="36"/>
        <item x="189"/>
        <item x="225"/>
        <item x="145"/>
        <item x="122"/>
        <item x="155"/>
        <item x="30"/>
        <item x="166"/>
        <item x="120"/>
        <item x="94"/>
        <item x="79"/>
        <item x="111"/>
        <item x="35"/>
        <item x="15"/>
        <item x="50"/>
        <item x="57"/>
        <item x="63"/>
        <item x="37"/>
        <item x="70"/>
        <item x="51"/>
        <item x="197"/>
        <item x="98"/>
        <item x="7"/>
        <item x="124"/>
        <item x="115"/>
        <item x="47"/>
        <item x="138"/>
        <item x="91"/>
        <item x="53"/>
        <item x="44"/>
        <item x="162"/>
        <item x="222"/>
        <item x="219"/>
        <item x="182"/>
        <item x="126"/>
        <item x="123"/>
        <item x="207"/>
        <item x="66"/>
        <item x="154"/>
        <item x="203"/>
        <item x="218"/>
        <item x="97"/>
        <item x="217"/>
        <item x="152"/>
        <item x="204"/>
        <item x="83"/>
        <item x="214"/>
        <item x="127"/>
        <item x="146"/>
        <item x="128"/>
        <item x="1"/>
        <item x="149"/>
        <item x="177"/>
        <item x="183"/>
        <item x="65"/>
        <item x="28"/>
        <item x="103"/>
        <item x="220"/>
        <item x="11"/>
        <item x="116"/>
        <item x="48"/>
        <item x="194"/>
        <item x="62"/>
        <item x="132"/>
        <item x="101"/>
        <item x="187"/>
        <item x="151"/>
        <item x="100"/>
        <item x="141"/>
        <item x="178"/>
        <item x="190"/>
        <item x="80"/>
        <item x="186"/>
        <item x="39"/>
        <item x="210"/>
        <item x="40"/>
        <item x="184"/>
        <item x="206"/>
        <item x="160"/>
        <item x="33"/>
        <item x="59"/>
        <item x="175"/>
        <item x="198"/>
        <item x="18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04">
        <item x="5"/>
        <item x="130"/>
        <item x="10"/>
        <item x="20"/>
        <item x="93"/>
        <item x="19"/>
        <item x="78"/>
        <item x="157"/>
        <item x="188"/>
        <item x="100"/>
        <item x="183"/>
        <item x="105"/>
        <item x="98"/>
        <item x="109"/>
        <item x="101"/>
        <item x="164"/>
        <item x="124"/>
        <item x="66"/>
        <item x="8"/>
        <item x="174"/>
        <item x="71"/>
        <item x="40"/>
        <item x="32"/>
        <item x="16"/>
        <item x="169"/>
        <item x="185"/>
        <item x="161"/>
        <item x="83"/>
        <item x="196"/>
        <item x="99"/>
        <item x="190"/>
        <item x="55"/>
        <item x="191"/>
        <item x="51"/>
        <item x="121"/>
        <item x="106"/>
        <item x="198"/>
        <item x="123"/>
        <item x="112"/>
        <item x="86"/>
        <item x="173"/>
        <item x="150"/>
        <item x="202"/>
        <item x="90"/>
        <item x="179"/>
        <item x="162"/>
        <item x="67"/>
        <item x="132"/>
        <item x="52"/>
        <item x="84"/>
        <item x="63"/>
        <item x="82"/>
        <item x="3"/>
        <item x="87"/>
        <item x="13"/>
        <item x="41"/>
        <item x="158"/>
        <item x="180"/>
        <item x="108"/>
        <item x="151"/>
        <item x="201"/>
        <item x="96"/>
        <item x="178"/>
        <item x="26"/>
        <item x="136"/>
        <item x="24"/>
        <item x="154"/>
        <item x="25"/>
        <item x="155"/>
        <item x="110"/>
        <item x="72"/>
        <item x="131"/>
        <item x="12"/>
        <item x="137"/>
        <item x="68"/>
        <item x="199"/>
        <item x="177"/>
        <item x="69"/>
        <item x="152"/>
        <item x="27"/>
        <item x="4"/>
        <item x="159"/>
        <item x="62"/>
        <item x="49"/>
        <item x="172"/>
        <item x="97"/>
        <item x="80"/>
        <item x="14"/>
        <item x="44"/>
        <item x="89"/>
        <item x="0"/>
        <item x="129"/>
        <item x="56"/>
        <item x="146"/>
        <item x="133"/>
        <item x="79"/>
        <item x="43"/>
        <item x="18"/>
        <item x="160"/>
        <item x="141"/>
        <item x="76"/>
        <item x="189"/>
        <item x="22"/>
        <item x="38"/>
        <item x="102"/>
        <item x="127"/>
        <item x="31"/>
        <item x="46"/>
        <item x="2"/>
        <item x="171"/>
        <item x="104"/>
        <item x="57"/>
        <item x="145"/>
        <item x="29"/>
        <item x="75"/>
        <item x="147"/>
        <item x="23"/>
        <item x="73"/>
        <item x="156"/>
        <item x="53"/>
        <item x="17"/>
        <item x="39"/>
        <item x="165"/>
        <item x="34"/>
        <item x="6"/>
        <item x="125"/>
        <item x="9"/>
        <item x="186"/>
        <item x="94"/>
        <item x="126"/>
        <item x="116"/>
        <item x="64"/>
        <item x="122"/>
        <item x="148"/>
        <item x="81"/>
        <item x="166"/>
        <item x="120"/>
        <item x="70"/>
        <item x="59"/>
        <item x="175"/>
        <item x="144"/>
        <item x="187"/>
        <item x="139"/>
        <item x="21"/>
        <item x="36"/>
        <item x="170"/>
        <item x="200"/>
        <item x="134"/>
        <item x="113"/>
        <item x="143"/>
        <item x="30"/>
        <item x="153"/>
        <item x="111"/>
        <item x="88"/>
        <item x="74"/>
        <item x="103"/>
        <item x="35"/>
        <item x="15"/>
        <item x="47"/>
        <item x="54"/>
        <item x="58"/>
        <item x="37"/>
        <item x="65"/>
        <item x="48"/>
        <item x="176"/>
        <item x="92"/>
        <item x="7"/>
        <item x="115"/>
        <item x="107"/>
        <item x="45"/>
        <item x="128"/>
        <item x="85"/>
        <item x="50"/>
        <item x="42"/>
        <item x="149"/>
        <item x="197"/>
        <item x="194"/>
        <item x="167"/>
        <item x="117"/>
        <item x="114"/>
        <item x="184"/>
        <item x="61"/>
        <item x="142"/>
        <item x="181"/>
        <item x="193"/>
        <item x="91"/>
        <item x="192"/>
        <item x="140"/>
        <item x="182"/>
        <item x="77"/>
        <item x="33"/>
        <item x="118"/>
        <item x="135"/>
        <item x="119"/>
        <item x="1"/>
        <item x="138"/>
        <item x="163"/>
        <item x="168"/>
        <item x="60"/>
        <item x="28"/>
        <item x="95"/>
        <item x="195"/>
        <item x="11"/>
        <item t="default"/>
      </items>
    </pivotField>
    <pivotField compact="0" numFmtId="183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51"/>
        <item x="247"/>
        <item x="531"/>
        <item x="89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41"/>
        <item x="354"/>
        <item x="139"/>
        <item x="114"/>
        <item x="490"/>
        <item x="305"/>
        <item x="87"/>
        <item x="108"/>
        <item x="460"/>
        <item x="26"/>
        <item x="211"/>
        <item x="582"/>
        <item x="464"/>
        <item x="551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137"/>
        <item x="258"/>
        <item x="193"/>
        <item x="598"/>
        <item x="131"/>
        <item x="179"/>
        <item x="74"/>
        <item x="240"/>
        <item x="222"/>
        <item x="369"/>
        <item x="59"/>
        <item x="571"/>
        <item x="201"/>
        <item x="408"/>
        <item x="495"/>
        <item x="543"/>
        <item x="481"/>
        <item x="57"/>
        <item x="361"/>
        <item x="546"/>
        <item x="186"/>
        <item x="334"/>
        <item x="0"/>
        <item x="79"/>
        <item x="12"/>
        <item x="314"/>
        <item x="627"/>
        <item x="483"/>
        <item x="486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447"/>
        <item x="333"/>
        <item x="161"/>
        <item x="593"/>
        <item x="118"/>
        <item x="52"/>
        <item x="231"/>
        <item x="304"/>
        <item x="443"/>
        <item x="103"/>
        <item x="599"/>
        <item x="485"/>
        <item x="277"/>
        <item x="581"/>
        <item x="328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332"/>
        <item x="271"/>
        <item x="46"/>
        <item x="580"/>
        <item x="156"/>
        <item x="270"/>
        <item x="363"/>
        <item x="437"/>
        <item x="293"/>
        <item x="520"/>
        <item x="501"/>
        <item x="229"/>
        <item x="601"/>
        <item x="321"/>
        <item x="492"/>
        <item x="259"/>
        <item x="14"/>
        <item x="458"/>
        <item x="269"/>
        <item x="182"/>
        <item x="130"/>
        <item x="216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343"/>
        <item x="590"/>
        <item x="316"/>
        <item x="510"/>
        <item x="612"/>
        <item x="530"/>
        <item x="73"/>
        <item x="419"/>
        <item x="386"/>
        <item x="489"/>
        <item x="32"/>
        <item x="241"/>
        <item x="136"/>
        <item x="446"/>
        <item x="246"/>
        <item x="30"/>
        <item x="518"/>
        <item x="325"/>
        <item x="309"/>
        <item x="301"/>
        <item x="143"/>
        <item x="421"/>
        <item x="92"/>
        <item x="564"/>
        <item x="504"/>
        <item x="610"/>
        <item x="11"/>
        <item x="158"/>
        <item x="185"/>
        <item x="470"/>
        <item x="78"/>
        <item x="289"/>
        <item x="615"/>
        <item x="558"/>
        <item x="41"/>
        <item x="70"/>
        <item x="43"/>
        <item x="623"/>
        <item x="616"/>
        <item x="545"/>
        <item x="123"/>
        <item x="515"/>
        <item x="502"/>
        <item x="416"/>
        <item x="22"/>
        <item x="549"/>
        <item x="62"/>
        <item x="4"/>
        <item x="154"/>
        <item x="312"/>
        <item x="393"/>
        <item x="197"/>
        <item x="380"/>
        <item x="527"/>
        <item x="274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105"/>
        <item x="576"/>
        <item x="65"/>
        <item x="250"/>
        <item x="163"/>
        <item x="349"/>
        <item x="244"/>
        <item x="449"/>
        <item x="104"/>
        <item x="167"/>
        <item x="450"/>
        <item x="265"/>
        <item x="441"/>
        <item x="299"/>
        <item x="364"/>
        <item x="630"/>
        <item x="381"/>
        <item x="145"/>
        <item x="430"/>
        <item x="433"/>
        <item x="399"/>
        <item x="281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170"/>
        <item x="8"/>
        <item x="455"/>
        <item x="359"/>
        <item x="148"/>
        <item x="50"/>
        <item x="595"/>
        <item x="200"/>
        <item x="38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335"/>
        <item x="469"/>
        <item x="317"/>
        <item x="351"/>
        <item x="499"/>
        <item x="228"/>
        <item x="371"/>
        <item x="402"/>
        <item x="340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427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99"/>
        <item x="204"/>
        <item x="300"/>
        <item x="144"/>
        <item x="16"/>
        <item x="324"/>
        <item x="339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329"/>
        <item x="188"/>
        <item x="219"/>
        <item x="336"/>
        <item x="207"/>
        <item x="487"/>
        <item x="607"/>
        <item x="159"/>
        <item x="273"/>
        <item x="423"/>
        <item x="153"/>
        <item x="56"/>
        <item x="550"/>
        <item x="111"/>
        <item x="622"/>
        <item x="426"/>
        <item x="226"/>
        <item x="42"/>
        <item x="542"/>
        <item x="496"/>
        <item x="310"/>
        <item x="374"/>
        <item x="195"/>
        <item x="442"/>
        <item x="414"/>
        <item x="173"/>
        <item x="55"/>
        <item x="548"/>
        <item x="142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92"/>
        <item x="357"/>
        <item x="624"/>
        <item x="512"/>
        <item x="557"/>
        <item x="537"/>
        <item x="592"/>
        <item x="100"/>
        <item x="319"/>
        <item x="199"/>
        <item x="396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247"/>
        <item x="531"/>
        <item x="89"/>
        <item x="51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54"/>
        <item x="341"/>
        <item x="114"/>
        <item x="139"/>
        <item x="490"/>
        <item x="305"/>
        <item x="87"/>
        <item x="108"/>
        <item x="460"/>
        <item x="26"/>
        <item x="211"/>
        <item x="582"/>
        <item x="551"/>
        <item x="464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258"/>
        <item x="193"/>
        <item x="598"/>
        <item x="131"/>
        <item x="179"/>
        <item x="240"/>
        <item x="222"/>
        <item x="137"/>
        <item x="369"/>
        <item x="59"/>
        <item x="571"/>
        <item x="408"/>
        <item x="495"/>
        <item x="543"/>
        <item x="481"/>
        <item x="57"/>
        <item x="361"/>
        <item x="201"/>
        <item x="546"/>
        <item x="186"/>
        <item x="334"/>
        <item x="0"/>
        <item x="79"/>
        <item x="12"/>
        <item x="314"/>
        <item x="627"/>
        <item x="483"/>
        <item x="486"/>
        <item x="74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333"/>
        <item x="161"/>
        <item x="593"/>
        <item x="118"/>
        <item x="52"/>
        <item x="231"/>
        <item x="304"/>
        <item x="443"/>
        <item x="103"/>
        <item x="599"/>
        <item x="447"/>
        <item x="485"/>
        <item x="277"/>
        <item x="581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271"/>
        <item x="46"/>
        <item x="580"/>
        <item x="156"/>
        <item x="270"/>
        <item x="328"/>
        <item x="437"/>
        <item x="293"/>
        <item x="520"/>
        <item x="501"/>
        <item x="229"/>
        <item x="601"/>
        <item x="321"/>
        <item x="332"/>
        <item x="492"/>
        <item x="259"/>
        <item x="14"/>
        <item x="458"/>
        <item x="269"/>
        <item x="182"/>
        <item x="130"/>
        <item x="216"/>
        <item x="363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590"/>
        <item x="316"/>
        <item x="510"/>
        <item x="612"/>
        <item x="530"/>
        <item x="343"/>
        <item x="73"/>
        <item x="419"/>
        <item x="386"/>
        <item x="489"/>
        <item x="32"/>
        <item x="241"/>
        <item x="136"/>
        <item x="446"/>
        <item x="30"/>
        <item x="518"/>
        <item x="325"/>
        <item x="309"/>
        <item x="301"/>
        <item x="143"/>
        <item x="421"/>
        <item x="92"/>
        <item x="564"/>
        <item x="504"/>
        <item x="246"/>
        <item x="610"/>
        <item x="11"/>
        <item x="158"/>
        <item x="185"/>
        <item x="470"/>
        <item x="289"/>
        <item x="615"/>
        <item x="558"/>
        <item x="41"/>
        <item x="70"/>
        <item x="43"/>
        <item x="623"/>
        <item x="616"/>
        <item x="545"/>
        <item x="123"/>
        <item x="78"/>
        <item x="515"/>
        <item x="502"/>
        <item x="416"/>
        <item x="22"/>
        <item x="549"/>
        <item x="62"/>
        <item x="4"/>
        <item x="154"/>
        <item x="312"/>
        <item x="197"/>
        <item x="380"/>
        <item x="527"/>
        <item x="274"/>
        <item x="393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576"/>
        <item x="65"/>
        <item x="250"/>
        <item x="163"/>
        <item x="349"/>
        <item x="244"/>
        <item x="449"/>
        <item x="104"/>
        <item x="450"/>
        <item x="265"/>
        <item x="441"/>
        <item x="299"/>
        <item x="364"/>
        <item x="630"/>
        <item x="167"/>
        <item x="381"/>
        <item x="105"/>
        <item x="145"/>
        <item x="430"/>
        <item x="433"/>
        <item x="399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281"/>
        <item x="8"/>
        <item x="455"/>
        <item x="359"/>
        <item x="148"/>
        <item x="595"/>
        <item x="200"/>
        <item x="38"/>
        <item x="170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50"/>
        <item x="335"/>
        <item x="469"/>
        <item x="317"/>
        <item x="351"/>
        <item x="499"/>
        <item x="228"/>
        <item x="371"/>
        <item x="402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427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204"/>
        <item x="300"/>
        <item x="144"/>
        <item x="16"/>
        <item x="324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99"/>
        <item x="329"/>
        <item x="188"/>
        <item x="336"/>
        <item x="207"/>
        <item x="339"/>
        <item x="487"/>
        <item x="607"/>
        <item x="159"/>
        <item x="273"/>
        <item x="219"/>
        <item x="423"/>
        <item x="153"/>
        <item x="56"/>
        <item x="550"/>
        <item x="111"/>
        <item x="340"/>
        <item x="622"/>
        <item x="426"/>
        <item x="226"/>
        <item x="542"/>
        <item x="496"/>
        <item x="310"/>
        <item x="195"/>
        <item x="442"/>
        <item x="414"/>
        <item x="173"/>
        <item x="55"/>
        <item x="548"/>
        <item x="142"/>
        <item x="374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42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57"/>
        <item x="624"/>
        <item x="512"/>
        <item x="557"/>
        <item x="537"/>
        <item x="592"/>
        <item x="100"/>
        <item x="319"/>
        <item x="199"/>
        <item x="396"/>
        <item x="392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493"/>
        <item x="172"/>
        <item x="286"/>
        <item x="298"/>
        <item x="96"/>
        <item x="586"/>
        <item x="389"/>
        <item x="54"/>
        <item x="83"/>
        <item x="247"/>
        <item x="631"/>
        <item x="119"/>
        <item x="575"/>
        <item x="89"/>
        <item x="572"/>
        <item x="418"/>
        <item x="106"/>
        <item x="177"/>
        <item x="7"/>
        <item x="517"/>
        <item x="532"/>
        <item x="282"/>
        <item x="354"/>
        <item x="263"/>
        <item x="243"/>
        <item x="51"/>
        <item x="531"/>
        <item x="109"/>
        <item x="305"/>
        <item x="461"/>
        <item x="341"/>
        <item x="221"/>
        <item x="620"/>
        <item x="291"/>
        <item x="311"/>
        <item x="108"/>
        <item x="602"/>
        <item x="230"/>
        <item x="490"/>
        <item x="551"/>
        <item x="127"/>
        <item x="519"/>
        <item x="445"/>
        <item x="323"/>
        <item x="476"/>
        <item x="464"/>
        <item x="582"/>
        <item x="391"/>
        <item x="347"/>
        <item x="26"/>
        <item x="621"/>
        <item x="217"/>
        <item x="330"/>
        <item x="326"/>
        <item x="460"/>
        <item x="116"/>
        <item x="211"/>
        <item x="412"/>
        <item x="128"/>
        <item x="124"/>
        <item x="174"/>
        <item x="466"/>
        <item x="344"/>
        <item x="463"/>
        <item x="597"/>
        <item x="245"/>
        <item x="139"/>
        <item x="113"/>
        <item x="570"/>
        <item x="169"/>
        <item x="87"/>
        <item x="28"/>
        <item x="526"/>
        <item x="232"/>
        <item x="608"/>
        <item x="318"/>
        <item x="257"/>
        <item x="609"/>
        <item x="565"/>
        <item x="439"/>
        <item x="114"/>
        <item x="5"/>
        <item x="508"/>
        <item x="579"/>
        <item x="6"/>
        <item x="297"/>
        <item x="434"/>
        <item x="481"/>
        <item x="334"/>
        <item x="222"/>
        <item x="133"/>
        <item x="495"/>
        <item x="627"/>
        <item x="403"/>
        <item x="0"/>
        <item x="258"/>
        <item x="82"/>
        <item x="584"/>
        <item x="581"/>
        <item x="546"/>
        <item x="53"/>
        <item x="327"/>
        <item x="511"/>
        <item x="296"/>
        <item x="239"/>
        <item x="231"/>
        <item x="57"/>
        <item x="436"/>
        <item x="304"/>
        <item x="39"/>
        <item x="604"/>
        <item x="254"/>
        <item x="443"/>
        <item x="370"/>
        <item x="491"/>
        <item x="194"/>
        <item x="378"/>
        <item x="307"/>
        <item x="277"/>
        <item x="240"/>
        <item x="233"/>
        <item x="598"/>
        <item x="293"/>
        <item x="486"/>
        <item x="71"/>
        <item x="178"/>
        <item x="103"/>
        <item x="248"/>
        <item x="488"/>
        <item x="156"/>
        <item x="12"/>
        <item x="130"/>
        <item x="571"/>
        <item x="79"/>
        <item x="350"/>
        <item x="118"/>
        <item x="308"/>
        <item x="186"/>
        <item x="458"/>
        <item x="462"/>
        <item x="410"/>
        <item x="182"/>
        <item x="328"/>
        <item x="432"/>
        <item x="358"/>
        <item x="483"/>
        <item x="285"/>
        <item x="513"/>
        <item x="563"/>
        <item x="161"/>
        <item x="498"/>
        <item x="369"/>
        <item x="599"/>
        <item x="594"/>
        <item x="314"/>
        <item x="171"/>
        <item x="59"/>
        <item x="524"/>
        <item x="437"/>
        <item x="332"/>
        <item x="46"/>
        <item x="69"/>
        <item x="191"/>
        <item x="141"/>
        <item x="509"/>
        <item x="338"/>
        <item x="137"/>
        <item x="179"/>
        <item x="74"/>
        <item x="214"/>
        <item x="616"/>
        <item x="279"/>
        <item x="90"/>
        <item x="447"/>
        <item x="158"/>
        <item x="540"/>
        <item x="373"/>
        <item x="315"/>
        <item x="201"/>
        <item x="227"/>
        <item x="446"/>
        <item x="473"/>
        <item x="206"/>
        <item x="218"/>
        <item x="27"/>
        <item x="470"/>
        <item x="271"/>
        <item x="525"/>
        <item x="408"/>
        <item x="578"/>
        <item x="43"/>
        <item x="146"/>
        <item x="502"/>
        <item x="168"/>
        <item x="331"/>
        <item x="183"/>
        <item x="309"/>
        <item x="503"/>
        <item x="596"/>
        <item x="543"/>
        <item x="3"/>
        <item x="88"/>
        <item x="386"/>
        <item x="75"/>
        <item x="270"/>
        <item x="262"/>
        <item x="301"/>
        <item x="32"/>
        <item x="489"/>
        <item x="349"/>
        <item x="193"/>
        <item x="485"/>
        <item x="333"/>
        <item x="25"/>
        <item x="102"/>
        <item x="274"/>
        <item x="94"/>
        <item x="37"/>
        <item x="131"/>
        <item x="589"/>
        <item x="593"/>
        <item x="145"/>
        <item x="163"/>
        <item x="520"/>
        <item x="368"/>
        <item x="558"/>
        <item x="316"/>
        <item x="92"/>
        <item x="544"/>
        <item x="33"/>
        <item x="630"/>
        <item x="220"/>
        <item x="250"/>
        <item x="518"/>
        <item x="398"/>
        <item x="152"/>
        <item x="430"/>
        <item x="35"/>
        <item x="477"/>
        <item x="580"/>
        <item x="450"/>
        <item x="62"/>
        <item x="561"/>
        <item x="536"/>
        <item x="533"/>
        <item x="595"/>
        <item x="417"/>
        <item x="15"/>
        <item x="433"/>
        <item x="101"/>
        <item x="238"/>
        <item x="212"/>
        <item x="515"/>
        <item x="104"/>
        <item x="312"/>
        <item x="294"/>
        <item x="361"/>
        <item x="78"/>
        <item x="162"/>
        <item x="269"/>
        <item x="421"/>
        <item x="197"/>
        <item x="41"/>
        <item x="411"/>
        <item x="22"/>
        <item x="241"/>
        <item x="164"/>
        <item x="143"/>
        <item x="268"/>
        <item x="343"/>
        <item x="129"/>
        <item x="345"/>
        <item x="283"/>
        <item x="189"/>
        <item x="577"/>
        <item x="419"/>
        <item x="216"/>
        <item x="453"/>
        <item x="98"/>
        <item x="523"/>
        <item x="559"/>
        <item x="281"/>
        <item x="472"/>
        <item x="8"/>
        <item x="325"/>
        <item x="405"/>
        <item x="615"/>
        <item x="507"/>
        <item x="52"/>
        <item x="198"/>
        <item x="246"/>
        <item x="70"/>
        <item x="425"/>
        <item x="155"/>
        <item x="413"/>
        <item x="367"/>
        <item x="30"/>
        <item x="530"/>
        <item x="549"/>
        <item x="275"/>
        <item x="136"/>
        <item x="612"/>
        <item x="176"/>
        <item x="457"/>
        <item x="499"/>
        <item x="359"/>
        <item x="527"/>
        <item x="623"/>
        <item x="154"/>
        <item x="535"/>
        <item x="510"/>
        <item x="451"/>
        <item x="67"/>
        <item x="564"/>
        <item x="610"/>
        <item x="541"/>
        <item x="185"/>
        <item x="494"/>
        <item x="342"/>
        <item x="68"/>
        <item x="321"/>
        <item x="303"/>
        <item x="605"/>
        <item x="504"/>
        <item x="415"/>
        <item x="335"/>
        <item x="455"/>
        <item x="538"/>
        <item x="363"/>
        <item x="601"/>
        <item x="14"/>
        <item x="290"/>
        <item x="148"/>
        <item x="380"/>
        <item x="93"/>
        <item x="295"/>
        <item x="147"/>
        <item x="287"/>
        <item x="13"/>
        <item x="249"/>
        <item x="404"/>
        <item x="492"/>
        <item x="467"/>
        <item x="210"/>
        <item x="320"/>
        <item x="280"/>
        <item x="441"/>
        <item x="4"/>
        <item x="591"/>
        <item x="611"/>
        <item x="255"/>
        <item x="267"/>
        <item x="23"/>
        <item x="393"/>
        <item x="229"/>
        <item x="261"/>
        <item x="366"/>
        <item x="394"/>
        <item x="547"/>
        <item x="545"/>
        <item x="500"/>
        <item x="20"/>
        <item x="576"/>
        <item x="29"/>
        <item x="399"/>
        <item x="21"/>
        <item x="440"/>
        <item x="225"/>
        <item x="452"/>
        <item x="474"/>
        <item x="123"/>
        <item x="428"/>
        <item x="420"/>
        <item x="324"/>
        <item x="38"/>
        <item x="469"/>
        <item x="614"/>
        <item x="24"/>
        <item x="259"/>
        <item x="364"/>
        <item x="251"/>
        <item x="50"/>
        <item x="381"/>
        <item x="121"/>
        <item x="444"/>
        <item x="115"/>
        <item x="590"/>
        <item x="209"/>
        <item x="228"/>
        <item x="204"/>
        <item x="454"/>
        <item x="150"/>
        <item x="284"/>
        <item x="377"/>
        <item x="501"/>
        <item x="395"/>
        <item x="568"/>
        <item x="56"/>
        <item x="253"/>
        <item x="170"/>
        <item x="552"/>
        <item x="34"/>
        <item x="456"/>
        <item x="73"/>
        <item x="205"/>
        <item x="213"/>
        <item x="299"/>
        <item x="85"/>
        <item x="234"/>
        <item x="91"/>
        <item x="607"/>
        <item x="256"/>
        <item x="606"/>
        <item x="125"/>
        <item x="167"/>
        <item x="371"/>
        <item x="207"/>
        <item x="449"/>
        <item x="260"/>
        <item x="157"/>
        <item x="416"/>
        <item x="86"/>
        <item x="107"/>
        <item x="208"/>
        <item x="414"/>
        <item x="355"/>
        <item x="215"/>
        <item x="105"/>
        <item x="554"/>
        <item x="529"/>
        <item x="135"/>
        <item x="573"/>
        <item x="336"/>
        <item x="288"/>
        <item x="574"/>
        <item x="10"/>
        <item x="110"/>
        <item x="153"/>
        <item x="44"/>
        <item x="348"/>
        <item x="351"/>
        <item x="442"/>
        <item x="160"/>
        <item x="200"/>
        <item x="505"/>
        <item x="132"/>
        <item x="379"/>
        <item x="329"/>
        <item x="585"/>
        <item x="487"/>
        <item x="166"/>
        <item x="475"/>
        <item x="317"/>
        <item x="202"/>
        <item x="555"/>
        <item x="496"/>
        <item x="550"/>
        <item x="400"/>
        <item x="514"/>
        <item x="219"/>
        <item x="340"/>
        <item x="292"/>
        <item x="566"/>
        <item x="553"/>
        <item x="235"/>
        <item x="401"/>
        <item x="144"/>
        <item x="244"/>
        <item x="387"/>
        <item x="402"/>
        <item x="224"/>
        <item x="390"/>
        <item x="300"/>
        <item x="459"/>
        <item x="289"/>
        <item x="372"/>
        <item x="122"/>
        <item x="310"/>
        <item x="569"/>
        <item x="65"/>
        <item x="384"/>
        <item x="409"/>
        <item x="484"/>
        <item x="159"/>
        <item x="522"/>
        <item x="66"/>
        <item x="388"/>
        <item x="339"/>
        <item x="516"/>
        <item x="2"/>
        <item x="468"/>
        <item x="226"/>
        <item x="61"/>
        <item x="374"/>
        <item x="151"/>
        <item x="471"/>
        <item x="76"/>
        <item x="252"/>
        <item x="352"/>
        <item x="11"/>
        <item x="134"/>
        <item x="322"/>
        <item x="479"/>
        <item x="120"/>
        <item x="84"/>
        <item x="628"/>
        <item x="188"/>
        <item x="600"/>
        <item x="190"/>
        <item x="625"/>
        <item x="77"/>
        <item x="81"/>
        <item x="173"/>
        <item x="365"/>
        <item x="406"/>
        <item x="18"/>
        <item x="36"/>
        <item x="19"/>
        <item x="629"/>
        <item x="482"/>
        <item x="603"/>
        <item x="480"/>
        <item x="95"/>
        <item x="42"/>
        <item x="17"/>
        <item x="587"/>
        <item x="31"/>
        <item x="64"/>
        <item x="278"/>
        <item x="560"/>
        <item x="111"/>
        <item x="617"/>
        <item x="397"/>
        <item x="265"/>
        <item x="48"/>
        <item x="438"/>
        <item x="427"/>
        <item x="266"/>
        <item x="100"/>
        <item x="99"/>
        <item x="273"/>
        <item x="356"/>
        <item x="478"/>
        <item x="542"/>
        <item x="97"/>
        <item x="429"/>
        <item x="181"/>
        <item x="313"/>
        <item x="562"/>
        <item x="360"/>
        <item x="626"/>
        <item x="534"/>
        <item x="337"/>
        <item x="45"/>
        <item x="435"/>
        <item x="149"/>
        <item x="72"/>
        <item x="184"/>
        <item x="60"/>
        <item x="557"/>
        <item x="196"/>
        <item x="618"/>
        <item x="353"/>
        <item x="16"/>
        <item x="431"/>
        <item x="548"/>
        <item x="407"/>
        <item x="556"/>
        <item x="506"/>
        <item x="195"/>
        <item x="592"/>
        <item x="138"/>
        <item x="624"/>
        <item x="426"/>
        <item x="567"/>
        <item x="242"/>
        <item x="376"/>
        <item x="537"/>
        <item x="40"/>
        <item x="448"/>
        <item x="302"/>
        <item x="396"/>
        <item x="49"/>
        <item x="272"/>
        <item x="192"/>
        <item x="583"/>
        <item x="223"/>
        <item x="142"/>
        <item x="521"/>
        <item x="497"/>
        <item x="187"/>
        <item x="357"/>
        <item x="382"/>
        <item x="117"/>
        <item x="236"/>
        <item x="622"/>
        <item x="55"/>
        <item x="199"/>
        <item x="264"/>
        <item x="1"/>
        <item x="375"/>
        <item x="588"/>
        <item x="613"/>
        <item x="306"/>
        <item x="619"/>
        <item x="424"/>
        <item x="423"/>
        <item x="385"/>
        <item x="203"/>
        <item x="539"/>
        <item x="80"/>
        <item x="362"/>
        <item x="392"/>
        <item x="126"/>
        <item x="9"/>
        <item x="346"/>
        <item x="47"/>
        <item x="512"/>
        <item x="319"/>
        <item x="383"/>
        <item x="528"/>
        <item x="465"/>
        <item x="276"/>
        <item x="175"/>
        <item x="165"/>
        <item x="422"/>
        <item x="63"/>
        <item x="140"/>
        <item x="58"/>
        <item x="237"/>
        <item t="default"/>
      </items>
    </pivotField>
    <pivotField compact="0" numFmtId="44" showAll="0">
      <items count="633">
        <item x="1"/>
        <item x="385"/>
        <item x="626"/>
        <item x="265"/>
        <item x="11"/>
        <item x="560"/>
        <item x="132"/>
        <item x="134"/>
        <item x="423"/>
        <item x="289"/>
        <item x="497"/>
        <item x="58"/>
        <item x="501"/>
        <item x="187"/>
        <item x="65"/>
        <item x="125"/>
        <item x="192"/>
        <item x="407"/>
        <item x="150"/>
        <item x="244"/>
        <item x="259"/>
        <item x="73"/>
        <item x="72"/>
        <item x="388"/>
        <item x="590"/>
        <item x="229"/>
        <item x="416"/>
        <item x="152"/>
        <item x="477"/>
        <item x="492"/>
        <item x="98"/>
        <item x="361"/>
        <item x="2"/>
        <item x="196"/>
        <item x="52"/>
        <item x="617"/>
        <item x="363"/>
        <item x="622"/>
        <item x="404"/>
        <item x="601"/>
        <item x="605"/>
        <item x="105"/>
        <item x="397"/>
        <item x="14"/>
        <item x="146"/>
        <item x="131"/>
        <item x="384"/>
        <item x="540"/>
        <item x="338"/>
        <item x="193"/>
        <item x="321"/>
        <item x="66"/>
        <item x="432"/>
        <item x="27"/>
        <item x="449"/>
        <item x="427"/>
        <item x="543"/>
        <item x="167"/>
        <item x="224"/>
        <item x="55"/>
        <item x="303"/>
        <item x="373"/>
        <item x="457"/>
        <item x="166"/>
        <item x="81"/>
        <item x="122"/>
        <item x="114"/>
        <item x="101"/>
        <item x="94"/>
        <item x="408"/>
        <item x="593"/>
        <item x="116"/>
        <item x="3"/>
        <item x="252"/>
        <item x="268"/>
        <item x="434"/>
        <item x="411"/>
        <item x="323"/>
        <item x="299"/>
        <item x="333"/>
        <item x="238"/>
        <item x="201"/>
        <item x="36"/>
        <item x="68"/>
        <item x="137"/>
        <item x="390"/>
        <item x="230"/>
        <item x="177"/>
        <item x="179"/>
        <item x="74"/>
        <item x="87"/>
        <item x="53"/>
        <item x="519"/>
        <item x="127"/>
        <item x="631"/>
        <item x="123"/>
        <item x="574"/>
        <item x="139"/>
        <item x="54"/>
        <item x="476"/>
        <item x="200"/>
        <item x="109"/>
        <item x="298"/>
        <item x="286"/>
        <item x="112"/>
        <item x="212"/>
        <item x="609"/>
        <item x="180"/>
        <item x="263"/>
        <item x="532"/>
        <item x="96"/>
        <item x="51"/>
        <item x="106"/>
        <item x="35"/>
        <item x="172"/>
        <item x="531"/>
        <item x="493"/>
        <item x="311"/>
        <item x="561"/>
        <item x="575"/>
        <item x="285"/>
        <item x="85"/>
        <item x="275"/>
        <item x="282"/>
        <item x="216"/>
        <item x="485"/>
        <item x="243"/>
        <item x="7"/>
        <item x="83"/>
        <item x="586"/>
        <item x="89"/>
        <item x="221"/>
        <item x="119"/>
        <item x="389"/>
        <item x="358"/>
        <item x="602"/>
        <item x="461"/>
        <item x="526"/>
        <item x="247"/>
        <item x="418"/>
        <item x="620"/>
        <item x="15"/>
        <item x="291"/>
        <item x="257"/>
        <item x="59"/>
        <item x="198"/>
        <item x="545"/>
        <item x="462"/>
        <item x="248"/>
        <item x="572"/>
        <item x="460"/>
        <item x="463"/>
        <item x="341"/>
        <item x="211"/>
        <item x="269"/>
        <item x="517"/>
        <item x="369"/>
        <item x="174"/>
        <item x="510"/>
        <item x="86"/>
        <item x="6"/>
        <item x="580"/>
        <item x="113"/>
        <item x="606"/>
        <item x="354"/>
        <item x="227"/>
        <item x="26"/>
        <item x="307"/>
        <item x="169"/>
        <item x="490"/>
        <item x="155"/>
        <item x="402"/>
        <item x="124"/>
        <item x="190"/>
        <item x="582"/>
        <item x="412"/>
        <item x="439"/>
        <item x="447"/>
        <item x="464"/>
        <item x="383"/>
        <item x="608"/>
        <item x="39"/>
        <item x="350"/>
        <item x="612"/>
        <item x="488"/>
        <item x="511"/>
        <item x="530"/>
        <item x="297"/>
        <item x="108"/>
        <item x="314"/>
        <item x="318"/>
        <item x="551"/>
        <item x="232"/>
        <item x="194"/>
        <item x="445"/>
        <item x="305"/>
        <item x="162"/>
        <item x="618"/>
        <item x="16"/>
        <item x="4"/>
        <item x="217"/>
        <item x="520"/>
        <item x="317"/>
        <item x="347"/>
        <item x="393"/>
        <item x="133"/>
        <item x="189"/>
        <item x="239"/>
        <item x="75"/>
        <item x="536"/>
        <item x="327"/>
        <item x="326"/>
        <item x="417"/>
        <item x="513"/>
        <item x="234"/>
        <item x="621"/>
        <item x="370"/>
        <item x="10"/>
        <item x="340"/>
        <item x="364"/>
        <item x="381"/>
        <item x="504"/>
        <item x="128"/>
        <item x="136"/>
        <item x="571"/>
        <item x="584"/>
        <item x="186"/>
        <item x="401"/>
        <item x="466"/>
        <item x="483"/>
        <item x="235"/>
        <item x="598"/>
        <item x="330"/>
        <item x="240"/>
        <item x="564"/>
        <item x="391"/>
        <item x="30"/>
        <item x="168"/>
        <item x="215"/>
        <item x="245"/>
        <item x="270"/>
        <item x="218"/>
        <item x="610"/>
        <item x="578"/>
        <item x="566"/>
        <item x="79"/>
        <item x="296"/>
        <item x="351"/>
        <item x="343"/>
        <item x="185"/>
        <item x="410"/>
        <item x="161"/>
        <item x="576"/>
        <item x="206"/>
        <item x="597"/>
        <item x="508"/>
        <item x="12"/>
        <item x="246"/>
        <item x="344"/>
        <item x="570"/>
        <item x="170"/>
        <item x="591"/>
        <item x="294"/>
        <item x="599"/>
        <item x="258"/>
        <item x="380"/>
        <item x="554"/>
        <item x="271"/>
        <item x="308"/>
        <item x="5"/>
        <item x="419"/>
        <item x="579"/>
        <item x="325"/>
        <item x="486"/>
        <item x="395"/>
        <item x="57"/>
        <item x="623"/>
        <item x="28"/>
        <item x="400"/>
        <item x="222"/>
        <item x="208"/>
        <item x="249"/>
        <item x="565"/>
        <item x="233"/>
        <item x="546"/>
        <item x="524"/>
        <item x="495"/>
        <item x="154"/>
        <item x="241"/>
        <item x="0"/>
        <item x="262"/>
        <item x="481"/>
        <item x="118"/>
        <item x="328"/>
        <item x="399"/>
        <item x="334"/>
        <item x="70"/>
        <item x="596"/>
        <item x="428"/>
        <item x="549"/>
        <item x="615"/>
        <item x="365"/>
        <item x="84"/>
        <item x="627"/>
        <item x="143"/>
        <item x="604"/>
        <item x="25"/>
        <item x="316"/>
        <item x="441"/>
        <item x="527"/>
        <item x="403"/>
        <item x="46"/>
        <item x="103"/>
        <item x="421"/>
        <item x="436"/>
        <item x="82"/>
        <item x="332"/>
        <item x="184"/>
        <item x="503"/>
        <item x="277"/>
        <item x="494"/>
        <item x="231"/>
        <item x="44"/>
        <item x="142"/>
        <item x="443"/>
        <item x="437"/>
        <item x="377"/>
        <item x="525"/>
        <item x="304"/>
        <item x="183"/>
        <item x="214"/>
        <item x="71"/>
        <item x="331"/>
        <item x="50"/>
        <item x="284"/>
        <item x="518"/>
        <item x="78"/>
        <item x="473"/>
        <item x="41"/>
        <item x="406"/>
        <item x="387"/>
        <item x="90"/>
        <item x="420"/>
        <item x="371"/>
        <item x="151"/>
        <item x="378"/>
        <item x="581"/>
        <item x="438"/>
        <item x="254"/>
        <item x="22"/>
        <item x="491"/>
        <item x="141"/>
        <item x="38"/>
        <item x="92"/>
        <item x="426"/>
        <item x="489"/>
        <item x="147"/>
        <item x="509"/>
        <item x="32"/>
        <item x="386"/>
        <item x="515"/>
        <item x="315"/>
        <item x="182"/>
        <item x="99"/>
        <item x="178"/>
        <item x="156"/>
        <item x="458"/>
        <item x="301"/>
        <item x="435"/>
        <item x="197"/>
        <item x="553"/>
        <item x="558"/>
        <item x="279"/>
        <item x="312"/>
        <item x="283"/>
        <item x="594"/>
        <item x="309"/>
        <item x="293"/>
        <item x="191"/>
        <item x="62"/>
        <item x="479"/>
        <item x="453"/>
        <item x="130"/>
        <item x="467"/>
        <item x="512"/>
        <item x="228"/>
        <item x="563"/>
        <item x="164"/>
        <item x="69"/>
        <item x="498"/>
        <item x="516"/>
        <item x="171"/>
        <item x="446"/>
        <item x="375"/>
        <item x="236"/>
        <item x="484"/>
        <item x="573"/>
        <item x="469"/>
        <item x="195"/>
        <item x="547"/>
        <item x="533"/>
        <item x="470"/>
        <item x="281"/>
        <item x="104"/>
        <item x="522"/>
        <item x="43"/>
        <item x="274"/>
        <item x="559"/>
        <item x="587"/>
        <item x="148"/>
        <item x="502"/>
        <item x="158"/>
        <item x="67"/>
        <item x="405"/>
        <item x="455"/>
        <item x="382"/>
        <item x="250"/>
        <item x="49"/>
        <item x="209"/>
        <item x="450"/>
        <item x="256"/>
        <item x="163"/>
        <item x="589"/>
        <item x="251"/>
        <item x="272"/>
        <item x="37"/>
        <item x="552"/>
        <item x="88"/>
        <item x="616"/>
        <item x="433"/>
        <item x="359"/>
        <item x="345"/>
        <item x="31"/>
        <item x="619"/>
        <item x="548"/>
        <item x="630"/>
        <item x="91"/>
        <item x="349"/>
        <item x="577"/>
        <item x="430"/>
        <item x="64"/>
        <item x="535"/>
        <item x="145"/>
        <item x="264"/>
        <item x="398"/>
        <item x="319"/>
        <item x="409"/>
        <item x="33"/>
        <item x="8"/>
        <item x="220"/>
        <item x="160"/>
        <item x="425"/>
        <item x="242"/>
        <item x="614"/>
        <item x="176"/>
        <item x="335"/>
        <item x="507"/>
        <item x="292"/>
        <item x="368"/>
        <item x="267"/>
        <item x="280"/>
        <item x="585"/>
        <item x="472"/>
        <item x="102"/>
        <item x="261"/>
        <item x="544"/>
        <item x="468"/>
        <item x="413"/>
        <item x="456"/>
        <item x="459"/>
        <item x="273"/>
        <item x="499"/>
        <item x="611"/>
        <item x="595"/>
        <item x="210"/>
        <item x="306"/>
        <item x="474"/>
        <item x="352"/>
        <item x="523"/>
        <item x="392"/>
        <item x="129"/>
        <item x="506"/>
        <item x="339"/>
        <item x="542"/>
        <item x="138"/>
        <item x="300"/>
        <item x="366"/>
        <item x="21"/>
        <item x="45"/>
        <item x="188"/>
        <item x="355"/>
        <item x="415"/>
        <item x="394"/>
        <item x="260"/>
        <item x="144"/>
        <item x="29"/>
        <item x="290"/>
        <item x="63"/>
        <item x="500"/>
        <item x="440"/>
        <item x="444"/>
        <item x="202"/>
        <item x="111"/>
        <item x="107"/>
        <item x="23"/>
        <item x="61"/>
        <item x="367"/>
        <item x="353"/>
        <item x="60"/>
        <item x="562"/>
        <item x="287"/>
        <item x="93"/>
        <item x="157"/>
        <item x="225"/>
        <item x="541"/>
        <item x="451"/>
        <item x="295"/>
        <item x="454"/>
        <item x="42"/>
        <item x="342"/>
        <item x="213"/>
        <item x="538"/>
        <item x="121"/>
        <item x="528"/>
        <item x="203"/>
        <item x="302"/>
        <item x="583"/>
        <item x="13"/>
        <item x="475"/>
        <item x="97"/>
        <item x="159"/>
        <item x="348"/>
        <item x="360"/>
        <item x="219"/>
        <item x="288"/>
        <item x="568"/>
        <item x="320"/>
        <item x="173"/>
        <item x="329"/>
        <item x="253"/>
        <item x="115"/>
        <item x="110"/>
        <item x="452"/>
        <item x="226"/>
        <item x="205"/>
        <item x="374"/>
        <item x="135"/>
        <item x="20"/>
        <item x="204"/>
        <item x="40"/>
        <item x="24"/>
        <item x="487"/>
        <item x="625"/>
        <item x="310"/>
        <item x="336"/>
        <item x="255"/>
        <item x="77"/>
        <item x="550"/>
        <item x="34"/>
        <item x="628"/>
        <item x="153"/>
        <item x="278"/>
        <item x="324"/>
        <item x="207"/>
        <item x="48"/>
        <item x="496"/>
        <item x="600"/>
        <item x="337"/>
        <item x="372"/>
        <item x="17"/>
        <item x="607"/>
        <item x="442"/>
        <item x="376"/>
        <item x="482"/>
        <item x="56"/>
        <item x="567"/>
        <item x="76"/>
        <item x="505"/>
        <item x="569"/>
        <item x="357"/>
        <item x="514"/>
        <item x="313"/>
        <item x="414"/>
        <item x="266"/>
        <item x="448"/>
        <item x="555"/>
        <item x="379"/>
        <item x="471"/>
        <item x="429"/>
        <item x="181"/>
        <item x="18"/>
        <item x="149"/>
        <item x="534"/>
        <item x="529"/>
        <item x="9"/>
        <item x="19"/>
        <item x="478"/>
        <item x="603"/>
        <item x="556"/>
        <item x="480"/>
        <item x="120"/>
        <item x="629"/>
        <item x="322"/>
        <item x="356"/>
        <item x="424"/>
        <item x="199"/>
        <item x="140"/>
        <item x="624"/>
        <item x="80"/>
        <item x="95"/>
        <item x="537"/>
        <item x="126"/>
        <item x="592"/>
        <item x="276"/>
        <item x="557"/>
        <item x="396"/>
        <item x="539"/>
        <item x="465"/>
        <item x="165"/>
        <item x="100"/>
        <item x="431"/>
        <item x="117"/>
        <item x="588"/>
        <item x="521"/>
        <item x="346"/>
        <item x="223"/>
        <item x="175"/>
        <item x="362"/>
        <item x="422"/>
        <item x="613"/>
        <item x="237"/>
        <item x="47"/>
        <item t="default"/>
      </items>
    </pivotField>
    <pivotField compact="0" numFmtId="44" showAll="0">
      <items count="633">
        <item x="1"/>
        <item x="385"/>
        <item x="11"/>
        <item x="626"/>
        <item x="132"/>
        <item x="265"/>
        <item x="289"/>
        <item x="501"/>
        <item x="560"/>
        <item x="134"/>
        <item x="150"/>
        <item x="125"/>
        <item x="259"/>
        <item x="152"/>
        <item x="477"/>
        <item x="361"/>
        <item x="65"/>
        <item x="146"/>
        <item x="98"/>
        <item x="338"/>
        <item x="540"/>
        <item x="73"/>
        <item x="432"/>
        <item x="116"/>
        <item x="229"/>
        <item x="52"/>
        <item x="131"/>
        <item x="114"/>
        <item x="323"/>
        <item x="177"/>
        <item x="298"/>
        <item x="631"/>
        <item x="193"/>
        <item x="112"/>
        <item x="180"/>
        <item x="286"/>
        <item x="54"/>
        <item x="230"/>
        <item x="96"/>
        <item x="172"/>
        <item x="493"/>
        <item x="109"/>
        <item x="519"/>
        <item x="532"/>
        <item x="127"/>
        <item x="263"/>
        <item x="106"/>
        <item x="27"/>
        <item x="492"/>
        <item x="244"/>
        <item x="531"/>
        <item x="434"/>
        <item x="575"/>
        <item x="590"/>
        <item x="51"/>
        <item x="476"/>
        <item x="586"/>
        <item x="282"/>
        <item x="83"/>
        <item x="389"/>
        <item x="311"/>
        <item x="119"/>
        <item x="89"/>
        <item x="7"/>
        <item x="87"/>
        <item x="243"/>
        <item x="247"/>
        <item x="221"/>
        <item x="139"/>
        <item x="418"/>
        <item x="605"/>
        <item x="461"/>
        <item x="602"/>
        <item x="373"/>
        <item x="620"/>
        <item x="601"/>
        <item x="572"/>
        <item x="291"/>
        <item x="543"/>
        <item x="609"/>
        <item x="53"/>
        <item x="404"/>
        <item x="14"/>
        <item x="517"/>
        <item x="341"/>
        <item x="354"/>
        <item x="460"/>
        <item x="526"/>
        <item x="416"/>
        <item x="211"/>
        <item x="408"/>
        <item x="463"/>
        <item x="490"/>
        <item x="257"/>
        <item x="363"/>
        <item x="321"/>
        <item x="174"/>
        <item x="26"/>
        <item x="113"/>
        <item x="582"/>
        <item x="3"/>
        <item x="94"/>
        <item x="179"/>
        <item x="124"/>
        <item x="412"/>
        <item x="169"/>
        <item x="108"/>
        <item x="464"/>
        <item x="593"/>
        <item x="285"/>
        <item x="305"/>
        <item x="551"/>
        <item x="201"/>
        <item x="6"/>
        <item x="137"/>
        <item x="445"/>
        <item x="101"/>
        <item x="248"/>
        <item x="333"/>
        <item x="358"/>
        <item x="388"/>
        <item x="439"/>
        <item x="608"/>
        <item x="462"/>
        <item x="217"/>
        <item x="347"/>
        <item x="307"/>
        <item x="318"/>
        <item x="232"/>
        <item x="59"/>
        <item x="297"/>
        <item x="303"/>
        <item x="326"/>
        <item x="39"/>
        <item x="268"/>
        <item x="411"/>
        <item x="621"/>
        <item x="457"/>
        <item x="238"/>
        <item x="511"/>
        <item x="369"/>
        <item x="128"/>
        <item x="350"/>
        <item x="488"/>
        <item x="466"/>
        <item x="330"/>
        <item x="485"/>
        <item x="391"/>
        <item x="133"/>
        <item x="194"/>
        <item x="35"/>
        <item x="74"/>
        <item x="212"/>
        <item x="561"/>
        <item x="245"/>
        <item x="239"/>
        <item x="327"/>
        <item x="227"/>
        <item x="584"/>
        <item x="314"/>
        <item x="370"/>
        <item x="597"/>
        <item x="15"/>
        <item x="68"/>
        <item x="598"/>
        <item x="344"/>
        <item x="216"/>
        <item x="571"/>
        <item x="570"/>
        <item x="240"/>
        <item x="186"/>
        <item x="2"/>
        <item x="513"/>
        <item x="296"/>
        <item x="508"/>
        <item x="580"/>
        <item x="483"/>
        <item x="275"/>
        <item x="407"/>
        <item x="449"/>
        <item x="269"/>
        <item x="79"/>
        <item x="198"/>
        <item x="447"/>
        <item x="497"/>
        <item x="5"/>
        <item x="258"/>
        <item x="12"/>
        <item x="28"/>
        <item x="105"/>
        <item x="410"/>
        <item x="579"/>
        <item x="75"/>
        <item x="161"/>
        <item x="384"/>
        <item x="520"/>
        <item x="565"/>
        <item x="123"/>
        <item x="222"/>
        <item x="57"/>
        <item x="155"/>
        <item x="510"/>
        <item x="218"/>
        <item x="72"/>
        <item x="168"/>
        <item x="308"/>
        <item x="486"/>
        <item x="578"/>
        <item x="162"/>
        <item x="536"/>
        <item x="495"/>
        <item x="546"/>
        <item x="599"/>
        <item x="167"/>
        <item x="417"/>
        <item x="270"/>
        <item x="206"/>
        <item x="612"/>
        <item x="233"/>
        <item x="481"/>
        <item x="530"/>
        <item x="189"/>
        <item x="0"/>
        <item x="192"/>
        <item x="299"/>
        <item x="545"/>
        <item x="423"/>
        <item x="334"/>
        <item x="617"/>
        <item x="66"/>
        <item x="166"/>
        <item x="271"/>
        <item x="118"/>
        <item x="627"/>
        <item x="524"/>
        <item x="187"/>
        <item x="224"/>
        <item x="604"/>
        <item x="403"/>
        <item x="136"/>
        <item x="82"/>
        <item x="397"/>
        <item x="85"/>
        <item x="436"/>
        <item x="504"/>
        <item x="30"/>
        <item x="4"/>
        <item x="103"/>
        <item x="122"/>
        <item x="564"/>
        <item x="574"/>
        <item x="294"/>
        <item x="610"/>
        <item x="231"/>
        <item x="277"/>
        <item x="200"/>
        <item x="343"/>
        <item x="443"/>
        <item x="185"/>
        <item x="262"/>
        <item x="304"/>
        <item x="46"/>
        <item x="419"/>
        <item x="196"/>
        <item x="596"/>
        <item x="606"/>
        <item x="390"/>
        <item x="325"/>
        <item x="86"/>
        <item x="393"/>
        <item x="71"/>
        <item x="364"/>
        <item x="25"/>
        <item x="81"/>
        <item x="252"/>
        <item x="437"/>
        <item x="246"/>
        <item x="381"/>
        <item x="581"/>
        <item x="241"/>
        <item x="623"/>
        <item x="332"/>
        <item x="576"/>
        <item x="316"/>
        <item x="380"/>
        <item x="378"/>
        <item x="591"/>
        <item x="254"/>
        <item x="214"/>
        <item x="503"/>
        <item x="525"/>
        <item x="491"/>
        <item x="328"/>
        <item x="143"/>
        <item x="234"/>
        <item x="70"/>
        <item x="154"/>
        <item x="183"/>
        <item x="615"/>
        <item x="249"/>
        <item x="473"/>
        <item x="421"/>
        <item x="36"/>
        <item x="331"/>
        <item x="549"/>
        <item x="178"/>
        <item x="90"/>
        <item x="156"/>
        <item x="402"/>
        <item x="182"/>
        <item x="141"/>
        <item x="458"/>
        <item x="215"/>
        <item x="509"/>
        <item x="317"/>
        <item x="527"/>
        <item x="518"/>
        <item x="10"/>
        <item x="293"/>
        <item x="399"/>
        <item x="315"/>
        <item x="41"/>
        <item x="395"/>
        <item x="130"/>
        <item x="489"/>
        <item x="441"/>
        <item x="594"/>
        <item x="494"/>
        <item x="32"/>
        <item x="428"/>
        <item x="386"/>
        <item x="279"/>
        <item x="351"/>
        <item x="92"/>
        <item x="235"/>
        <item x="401"/>
        <item x="191"/>
        <item x="170"/>
        <item x="554"/>
        <item x="190"/>
        <item x="22"/>
        <item x="301"/>
        <item x="78"/>
        <item x="563"/>
        <item x="208"/>
        <item x="566"/>
        <item x="498"/>
        <item x="515"/>
        <item x="69"/>
        <item x="309"/>
        <item x="558"/>
        <item x="171"/>
        <item x="197"/>
        <item x="62"/>
        <item x="312"/>
        <item x="446"/>
        <item x="400"/>
        <item x="283"/>
        <item x="147"/>
        <item x="377"/>
        <item x="622"/>
        <item x="453"/>
        <item x="420"/>
        <item x="164"/>
        <item x="284"/>
        <item x="470"/>
        <item x="427"/>
        <item x="38"/>
        <item x="43"/>
        <item x="158"/>
        <item x="502"/>
        <item x="44"/>
        <item x="533"/>
        <item x="274"/>
        <item x="467"/>
        <item x="371"/>
        <item x="104"/>
        <item x="618"/>
        <item x="616"/>
        <item x="84"/>
        <item x="250"/>
        <item x="559"/>
        <item x="16"/>
        <item x="365"/>
        <item x="589"/>
        <item x="163"/>
        <item x="55"/>
        <item x="37"/>
        <item x="450"/>
        <item x="50"/>
        <item x="88"/>
        <item x="405"/>
        <item x="228"/>
        <item x="387"/>
        <item x="67"/>
        <item x="547"/>
        <item x="349"/>
        <item x="469"/>
        <item x="148"/>
        <item x="433"/>
        <item x="455"/>
        <item x="630"/>
        <item x="430"/>
        <item x="345"/>
        <item x="151"/>
        <item x="553"/>
        <item x="145"/>
        <item x="577"/>
        <item x="406"/>
        <item x="398"/>
        <item x="359"/>
        <item x="33"/>
        <item x="573"/>
        <item x="535"/>
        <item x="220"/>
        <item x="251"/>
        <item x="209"/>
        <item x="184"/>
        <item x="438"/>
        <item x="281"/>
        <item x="8"/>
        <item x="368"/>
        <item x="479"/>
        <item x="516"/>
        <item x="102"/>
        <item x="425"/>
        <item x="256"/>
        <item x="552"/>
        <item x="484"/>
        <item x="544"/>
        <item x="176"/>
        <item x="507"/>
        <item x="335"/>
        <item x="472"/>
        <item x="91"/>
        <item x="522"/>
        <item x="595"/>
        <item x="413"/>
        <item x="435"/>
        <item x="267"/>
        <item x="614"/>
        <item x="280"/>
        <item x="499"/>
        <item x="261"/>
        <item x="523"/>
        <item x="587"/>
        <item x="142"/>
        <item x="129"/>
        <item x="611"/>
        <item x="426"/>
        <item x="210"/>
        <item x="160"/>
        <item x="409"/>
        <item x="474"/>
        <item x="456"/>
        <item x="31"/>
        <item x="585"/>
        <item x="64"/>
        <item x="292"/>
        <item x="99"/>
        <item x="195"/>
        <item x="415"/>
        <item x="366"/>
        <item x="21"/>
        <item x="290"/>
        <item x="394"/>
        <item x="459"/>
        <item x="468"/>
        <item x="29"/>
        <item x="367"/>
        <item x="58"/>
        <item x="500"/>
        <item x="23"/>
        <item x="440"/>
        <item x="383"/>
        <item x="548"/>
        <item x="260"/>
        <item x="287"/>
        <item x="355"/>
        <item x="444"/>
        <item x="541"/>
        <item x="93"/>
        <item x="352"/>
        <item x="49"/>
        <item x="236"/>
        <item x="451"/>
        <item x="272"/>
        <item x="295"/>
        <item x="300"/>
        <item x="375"/>
        <item x="273"/>
        <item x="342"/>
        <item x="107"/>
        <item x="225"/>
        <item x="538"/>
        <item x="144"/>
        <item x="382"/>
        <item x="202"/>
        <item x="242"/>
        <item x="454"/>
        <item x="157"/>
        <item x="188"/>
        <item x="121"/>
        <item x="542"/>
        <item x="13"/>
        <item x="213"/>
        <item x="61"/>
        <item x="320"/>
        <item x="111"/>
        <item x="264"/>
        <item x="45"/>
        <item x="619"/>
        <item x="506"/>
        <item x="452"/>
        <item x="568"/>
        <item x="339"/>
        <item x="115"/>
        <item x="138"/>
        <item x="475"/>
        <item x="253"/>
        <item x="20"/>
        <item x="348"/>
        <item x="288"/>
        <item x="562"/>
        <item x="60"/>
        <item x="512"/>
        <item x="24"/>
        <item x="353"/>
        <item x="204"/>
        <item x="205"/>
        <item x="329"/>
        <item x="159"/>
        <item x="110"/>
        <item x="255"/>
        <item x="135"/>
        <item x="306"/>
        <item x="226"/>
        <item x="173"/>
        <item x="487"/>
        <item x="336"/>
        <item x="97"/>
        <item x="34"/>
        <item x="324"/>
        <item x="219"/>
        <item x="550"/>
        <item x="360"/>
        <item x="310"/>
        <item x="340"/>
        <item x="207"/>
        <item x="319"/>
        <item x="153"/>
        <item x="625"/>
        <item x="374"/>
        <item x="302"/>
        <item x="77"/>
        <item x="496"/>
        <item x="583"/>
        <item x="628"/>
        <item x="607"/>
        <item x="372"/>
        <item x="278"/>
        <item x="42"/>
        <item x="600"/>
        <item x="56"/>
        <item x="48"/>
        <item x="442"/>
        <item x="40"/>
        <item x="17"/>
        <item x="203"/>
        <item x="505"/>
        <item x="414"/>
        <item x="337"/>
        <item x="514"/>
        <item x="569"/>
        <item x="482"/>
        <item x="76"/>
        <item x="379"/>
        <item x="555"/>
        <item x="529"/>
        <item x="471"/>
        <item x="266"/>
        <item x="313"/>
        <item x="528"/>
        <item x="376"/>
        <item x="18"/>
        <item x="567"/>
        <item x="429"/>
        <item x="181"/>
        <item x="19"/>
        <item x="448"/>
        <item x="149"/>
        <item x="534"/>
        <item x="603"/>
        <item x="478"/>
        <item x="357"/>
        <item x="120"/>
        <item x="480"/>
        <item x="322"/>
        <item x="629"/>
        <item x="556"/>
        <item x="356"/>
        <item x="392"/>
        <item x="63"/>
        <item x="95"/>
        <item x="9"/>
        <item x="624"/>
        <item x="537"/>
        <item x="199"/>
        <item x="424"/>
        <item x="592"/>
        <item x="557"/>
        <item x="80"/>
        <item x="126"/>
        <item x="396"/>
        <item x="100"/>
        <item x="539"/>
        <item x="431"/>
        <item x="140"/>
        <item x="276"/>
        <item x="117"/>
        <item x="521"/>
        <item x="588"/>
        <item x="465"/>
        <item x="165"/>
        <item x="223"/>
        <item x="346"/>
        <item x="362"/>
        <item x="175"/>
        <item x="613"/>
        <item x="422"/>
        <item x="47"/>
        <item x="237"/>
        <item t="default"/>
      </items>
    </pivotField>
    <pivotField compact="0" showAll="0">
      <items count="633">
        <item x="1"/>
        <item x="132"/>
        <item x="11"/>
        <item x="116"/>
        <item x="501"/>
        <item x="626"/>
        <item x="385"/>
        <item x="265"/>
        <item x="152"/>
        <item x="177"/>
        <item x="289"/>
        <item x="477"/>
        <item x="150"/>
        <item x="298"/>
        <item x="560"/>
        <item x="259"/>
        <item x="134"/>
        <item x="338"/>
        <item x="146"/>
        <item x="125"/>
        <item x="323"/>
        <item x="361"/>
        <item x="540"/>
        <item x="432"/>
        <item x="98"/>
        <item x="114"/>
        <item x="65"/>
        <item x="112"/>
        <item x="131"/>
        <item x="52"/>
        <item x="73"/>
        <item x="229"/>
        <item x="631"/>
        <item x="193"/>
        <item x="244"/>
        <item x="590"/>
        <item x="492"/>
        <item x="230"/>
        <item x="27"/>
        <item x="286"/>
        <item x="605"/>
        <item x="363"/>
        <item x="601"/>
        <item x="416"/>
        <item x="404"/>
        <item x="54"/>
        <item x="14"/>
        <item x="388"/>
        <item x="497"/>
        <item x="434"/>
        <item x="423"/>
        <item x="407"/>
        <item x="373"/>
        <item x="543"/>
        <item x="321"/>
        <item x="187"/>
        <item x="180"/>
        <item x="192"/>
        <item x="72"/>
        <item x="2"/>
        <item x="105"/>
        <item x="519"/>
        <item x="127"/>
        <item x="408"/>
        <item x="617"/>
        <item x="384"/>
        <item x="94"/>
        <item x="303"/>
        <item x="196"/>
        <item x="397"/>
        <item x="3"/>
        <item x="593"/>
        <item x="449"/>
        <item x="457"/>
        <item x="101"/>
        <item x="87"/>
        <item x="66"/>
        <item x="58"/>
        <item x="167"/>
        <item x="109"/>
        <item x="201"/>
        <item x="622"/>
        <item x="268"/>
        <item x="411"/>
        <item x="427"/>
        <item x="333"/>
        <item x="224"/>
        <item x="53"/>
        <item x="137"/>
        <item x="139"/>
        <item x="166"/>
        <item x="238"/>
        <item x="476"/>
        <item x="122"/>
        <item x="81"/>
        <item x="179"/>
        <item x="74"/>
        <item x="252"/>
        <item x="68"/>
        <item x="55"/>
        <item x="299"/>
        <item x="36"/>
        <item x="390"/>
        <item x="123"/>
        <item x="574"/>
        <item x="263"/>
        <item x="609"/>
        <item x="200"/>
        <item x="532"/>
        <item x="212"/>
        <item x="96"/>
        <item x="35"/>
        <item x="85"/>
        <item x="561"/>
        <item x="275"/>
        <item x="383"/>
        <item x="216"/>
        <item x="485"/>
        <item x="285"/>
        <item x="51"/>
        <item x="545"/>
        <item x="106"/>
        <item x="190"/>
        <item x="402"/>
        <item x="86"/>
        <item x="16"/>
        <item x="618"/>
        <item x="15"/>
        <item x="606"/>
        <item x="198"/>
        <item x="531"/>
        <item x="358"/>
        <item x="510"/>
        <item x="269"/>
        <item x="317"/>
        <item x="155"/>
        <item x="311"/>
        <item x="340"/>
        <item x="401"/>
        <item x="235"/>
        <item x="59"/>
        <item x="10"/>
        <item x="580"/>
        <item x="234"/>
        <item x="612"/>
        <item x="566"/>
        <item x="512"/>
        <item x="530"/>
        <item x="462"/>
        <item x="215"/>
        <item x="4"/>
        <item x="393"/>
        <item x="351"/>
        <item x="381"/>
        <item x="364"/>
        <item x="142"/>
        <item x="227"/>
        <item x="248"/>
        <item x="369"/>
        <item x="184"/>
        <item x="526"/>
        <item x="400"/>
        <item x="170"/>
        <item x="504"/>
        <item x="365"/>
        <item x="554"/>
        <item x="162"/>
        <item x="84"/>
        <item x="426"/>
        <item x="189"/>
        <item x="375"/>
        <item x="319"/>
        <item x="447"/>
        <item x="136"/>
        <item x="208"/>
        <item x="236"/>
        <item x="576"/>
        <item x="63"/>
        <item x="564"/>
        <item x="257"/>
        <item x="520"/>
        <item x="395"/>
        <item x="30"/>
        <item x="536"/>
        <item x="610"/>
        <item x="417"/>
        <item x="435"/>
        <item x="382"/>
        <item x="438"/>
        <item x="406"/>
        <item x="185"/>
        <item x="591"/>
        <item x="619"/>
        <item x="99"/>
        <item x="75"/>
        <item x="307"/>
        <item x="195"/>
        <item x="151"/>
        <item x="264"/>
        <item x="380"/>
        <item x="49"/>
        <item x="314"/>
        <item x="246"/>
        <item x="272"/>
        <item x="44"/>
        <item x="343"/>
        <item x="282"/>
        <item x="387"/>
        <item x="392"/>
        <item x="249"/>
        <item x="575"/>
        <item x="350"/>
        <item x="428"/>
        <item x="399"/>
        <item x="6"/>
        <item x="623"/>
        <item x="306"/>
        <item x="479"/>
        <item x="528"/>
        <item x="270"/>
        <item x="548"/>
        <item x="221"/>
        <item x="488"/>
        <item x="325"/>
        <item x="377"/>
        <item x="168"/>
        <item x="553"/>
        <item x="419"/>
        <item x="294"/>
        <item x="39"/>
        <item x="371"/>
        <item x="242"/>
        <item x="516"/>
        <item x="154"/>
        <item x="284"/>
        <item x="587"/>
        <item x="441"/>
        <item x="463"/>
        <item x="602"/>
        <item x="578"/>
        <item x="50"/>
        <item x="218"/>
        <item x="484"/>
        <item x="513"/>
        <item x="549"/>
        <item x="243"/>
        <item x="70"/>
        <item x="511"/>
        <item x="460"/>
        <item x="522"/>
        <item x="211"/>
        <item x="194"/>
        <item x="31"/>
        <item x="527"/>
        <item x="206"/>
        <item x="420"/>
        <item x="241"/>
        <item x="64"/>
        <item x="439"/>
        <item x="203"/>
        <item x="615"/>
        <item x="483"/>
        <item x="38"/>
        <item x="506"/>
        <item x="461"/>
        <item x="7"/>
        <item x="494"/>
        <item x="138"/>
        <item x="573"/>
        <item x="169"/>
        <item x="174"/>
        <item x="297"/>
        <item x="186"/>
        <item x="113"/>
        <item x="143"/>
        <item x="140"/>
        <item x="608"/>
        <item x="273"/>
        <item x="271"/>
        <item x="571"/>
        <item x="620"/>
        <item x="228"/>
        <item x="421"/>
        <item x="147"/>
        <item x="161"/>
        <item x="409"/>
        <item x="291"/>
        <item x="370"/>
        <item x="542"/>
        <item x="239"/>
        <item x="89"/>
        <item x="262"/>
        <item x="45"/>
        <item x="598"/>
        <item x="353"/>
        <item x="583"/>
        <item x="316"/>
        <item x="172"/>
        <item x="327"/>
        <item x="302"/>
        <item x="410"/>
        <item x="60"/>
        <item x="318"/>
        <item x="133"/>
        <item x="596"/>
        <item x="468"/>
        <item x="240"/>
        <item x="25"/>
        <item x="469"/>
        <item x="256"/>
        <item x="599"/>
        <item x="467"/>
        <item x="79"/>
        <item x="124"/>
        <item x="562"/>
        <item x="232"/>
        <item x="41"/>
        <item x="352"/>
        <item x="119"/>
        <item x="292"/>
        <item x="552"/>
        <item x="78"/>
        <item x="160"/>
        <item x="9"/>
        <item x="91"/>
        <item x="459"/>
        <item x="209"/>
        <item x="276"/>
        <item x="584"/>
        <item x="40"/>
        <item x="412"/>
        <item x="26"/>
        <item x="111"/>
        <item x="547"/>
        <item x="22"/>
        <item x="12"/>
        <item x="585"/>
        <item x="339"/>
        <item x="188"/>
        <item x="518"/>
        <item x="83"/>
        <item x="251"/>
        <item x="524"/>
        <item x="503"/>
        <item x="418"/>
        <item x="360"/>
        <item x="97"/>
        <item x="515"/>
        <item x="357"/>
        <item x="296"/>
        <item x="308"/>
        <item x="300"/>
        <item x="283"/>
        <item x="42"/>
        <item x="197"/>
        <item x="61"/>
        <item x="183"/>
        <item x="465"/>
        <item x="453"/>
        <item x="165"/>
        <item x="341"/>
        <item x="148"/>
        <item x="92"/>
        <item x="144"/>
        <item x="331"/>
        <item x="582"/>
        <item x="312"/>
        <item x="525"/>
        <item x="455"/>
        <item x="126"/>
        <item x="456"/>
        <item x="376"/>
        <item x="164"/>
        <item x="328"/>
        <item x="46"/>
        <item x="486"/>
        <item x="614"/>
        <item x="67"/>
        <item x="424"/>
        <item x="489"/>
        <item x="464"/>
        <item x="567"/>
        <item x="332"/>
        <item x="448"/>
        <item x="558"/>
        <item x="80"/>
        <item x="32"/>
        <item x="202"/>
        <item x="62"/>
        <item x="490"/>
        <item x="473"/>
        <item x="386"/>
        <item x="173"/>
        <item x="337"/>
        <item x="237"/>
        <item x="247"/>
        <item x="355"/>
        <item x="281"/>
        <item x="214"/>
        <item x="301"/>
        <item x="233"/>
        <item x="199"/>
        <item x="559"/>
        <item x="118"/>
        <item x="260"/>
        <item x="405"/>
        <item x="359"/>
        <item x="159"/>
        <item x="90"/>
        <item x="175"/>
        <item x="57"/>
        <item x="48"/>
        <item x="508"/>
        <item x="437"/>
        <item x="625"/>
        <item x="267"/>
        <item x="107"/>
        <item x="226"/>
        <item x="258"/>
        <item x="535"/>
        <item x="374"/>
        <item x="261"/>
        <item x="278"/>
        <item x="77"/>
        <item x="309"/>
        <item x="104"/>
        <item x="533"/>
        <item x="280"/>
        <item x="474"/>
        <item x="313"/>
        <item x="219"/>
        <item x="628"/>
        <item x="315"/>
        <item x="556"/>
        <item x="475"/>
        <item x="157"/>
        <item x="335"/>
        <item x="611"/>
        <item x="17"/>
        <item x="600"/>
        <item x="539"/>
        <item x="141"/>
        <item x="348"/>
        <item x="149"/>
        <item x="345"/>
        <item x="546"/>
        <item x="181"/>
        <item x="429"/>
        <item x="210"/>
        <item x="310"/>
        <item x="509"/>
        <item x="329"/>
        <item x="577"/>
        <item x="176"/>
        <item x="534"/>
        <item x="266"/>
        <item x="444"/>
        <item x="217"/>
        <item x="422"/>
        <item x="425"/>
        <item x="103"/>
        <item x="572"/>
        <item x="579"/>
        <item x="128"/>
        <item x="213"/>
        <item x="288"/>
        <item x="110"/>
        <item x="346"/>
        <item x="222"/>
        <item x="279"/>
        <item x="21"/>
        <item x="466"/>
        <item x="5"/>
        <item x="482"/>
        <item x="537"/>
        <item x="450"/>
        <item x="250"/>
        <item x="624"/>
        <item x="366"/>
        <item x="274"/>
        <item x="347"/>
        <item x="8"/>
        <item x="454"/>
        <item x="433"/>
        <item x="495"/>
        <item x="29"/>
        <item x="517"/>
        <item x="487"/>
        <item x="394"/>
        <item x="550"/>
        <item x="326"/>
        <item x="586"/>
        <item x="507"/>
        <item x="440"/>
        <item x="163"/>
        <item x="478"/>
        <item x="604"/>
        <item x="413"/>
        <item x="245"/>
        <item x="499"/>
        <item x="135"/>
        <item x="0"/>
        <item x="551"/>
        <item x="389"/>
        <item x="500"/>
        <item x="445"/>
        <item x="372"/>
        <item x="76"/>
        <item x="446"/>
        <item x="589"/>
        <item x="592"/>
        <item x="191"/>
        <item x="430"/>
        <item x="121"/>
        <item x="277"/>
        <item x="630"/>
        <item x="496"/>
        <item x="472"/>
        <item x="37"/>
        <item x="18"/>
        <item x="23"/>
        <item x="336"/>
        <item x="568"/>
        <item x="481"/>
        <item x="253"/>
        <item x="621"/>
        <item x="153"/>
        <item x="225"/>
        <item x="436"/>
        <item x="43"/>
        <item x="182"/>
        <item x="588"/>
        <item x="396"/>
        <item x="470"/>
        <item x="398"/>
        <item x="565"/>
        <item x="205"/>
        <item x="502"/>
        <item x="71"/>
        <item x="334"/>
        <item x="594"/>
        <item x="108"/>
        <item x="69"/>
        <item x="471"/>
        <item x="570"/>
        <item x="354"/>
        <item x="356"/>
        <item x="569"/>
        <item x="290"/>
        <item x="117"/>
        <item x="19"/>
        <item x="415"/>
        <item x="145"/>
        <item x="603"/>
        <item x="33"/>
        <item x="627"/>
        <item x="88"/>
        <item x="493"/>
        <item x="443"/>
        <item x="349"/>
        <item x="480"/>
        <item x="28"/>
        <item x="115"/>
        <item x="458"/>
        <item x="597"/>
        <item x="82"/>
        <item x="220"/>
        <item x="287"/>
        <item x="523"/>
        <item x="403"/>
        <item x="204"/>
        <item x="629"/>
        <item x="330"/>
        <item x="442"/>
        <item x="362"/>
        <item x="231"/>
        <item x="171"/>
        <item x="563"/>
        <item x="93"/>
        <item x="557"/>
        <item x="207"/>
        <item x="34"/>
        <item x="514"/>
        <item x="158"/>
        <item x="498"/>
        <item x="304"/>
        <item x="120"/>
        <item x="295"/>
        <item x="505"/>
        <item x="368"/>
        <item x="344"/>
        <item x="129"/>
        <item x="521"/>
        <item x="555"/>
        <item x="322"/>
        <item x="378"/>
        <item x="24"/>
        <item x="544"/>
        <item x="452"/>
        <item x="156"/>
        <item x="391"/>
        <item x="595"/>
        <item x="379"/>
        <item x="367"/>
        <item x="607"/>
        <item x="95"/>
        <item x="178"/>
        <item x="541"/>
        <item x="538"/>
        <item x="13"/>
        <item x="491"/>
        <item x="451"/>
        <item x="342"/>
        <item x="102"/>
        <item x="254"/>
        <item x="320"/>
        <item x="20"/>
        <item x="414"/>
        <item x="616"/>
        <item x="431"/>
        <item x="130"/>
        <item x="223"/>
        <item x="56"/>
        <item x="324"/>
        <item x="293"/>
        <item x="305"/>
        <item x="581"/>
        <item x="613"/>
        <item x="529"/>
        <item x="255"/>
        <item x="100"/>
        <item x="47"/>
        <item t="default"/>
      </items>
    </pivotField>
    <pivotField compact="0" defaultSubtotal="0" showAll="0">
      <items count="5">
        <item x="0"/>
        <item x="4"/>
        <item x="1"/>
        <item x="2"/>
        <item x="3"/>
      </items>
    </pivotField>
  </pivotFields>
  <rowFields count="3">
    <field x="9"/>
    <field x="10"/>
    <field x="11"/>
  </rowFields>
  <rowItems count="58">
    <i>
      <x/>
    </i>
    <i r="1">
      <x v="7"/>
    </i>
    <i r="1">
      <x v="8"/>
    </i>
    <i r="2">
      <x/>
    </i>
    <i r="2">
      <x v="15"/>
    </i>
    <i r="2">
      <x v="30"/>
    </i>
    <i r="2">
      <x v="38"/>
    </i>
    <i r="1">
      <x v="9"/>
    </i>
    <i r="2">
      <x v="7"/>
    </i>
    <i r="2">
      <x v="10"/>
    </i>
    <i r="2">
      <x v="13"/>
    </i>
    <i>
      <x v="1"/>
    </i>
    <i r="1">
      <x/>
    </i>
    <i r="2">
      <x v="6"/>
    </i>
    <i r="2">
      <x v="31"/>
    </i>
    <i r="2">
      <x v="33"/>
    </i>
    <i r="2">
      <x v="38"/>
    </i>
    <i r="1">
      <x v="1"/>
    </i>
    <i r="2">
      <x v="21"/>
    </i>
    <i r="2">
      <x v="37"/>
    </i>
    <i r="2">
      <x v="38"/>
    </i>
    <i r="2">
      <x v="39"/>
    </i>
    <i r="1">
      <x v="11"/>
    </i>
    <i r="2">
      <x v="1"/>
    </i>
    <i r="2">
      <x v="8"/>
    </i>
    <i r="2">
      <x v="27"/>
    </i>
    <i r="2">
      <x v="32"/>
    </i>
    <i>
      <x v="2"/>
    </i>
    <i r="1">
      <x v="2"/>
    </i>
    <i r="2">
      <x v="2"/>
    </i>
    <i r="2">
      <x v="34"/>
    </i>
    <i r="2">
      <x v="35"/>
    </i>
    <i r="2">
      <x v="38"/>
    </i>
    <i r="1">
      <x v="5"/>
    </i>
    <i r="2">
      <x v="3"/>
    </i>
    <i r="2">
      <x v="9"/>
    </i>
    <i r="2">
      <x v="12"/>
    </i>
    <i r="2">
      <x v="22"/>
    </i>
    <i r="2">
      <x v="38"/>
    </i>
    <i r="1">
      <x v="6"/>
    </i>
    <i r="2">
      <x v="24"/>
    </i>
    <i r="2">
      <x v="28"/>
    </i>
    <i r="2">
      <x v="36"/>
    </i>
    <i>
      <x v="3"/>
    </i>
    <i r="1">
      <x v="3"/>
    </i>
    <i r="2">
      <x v="17"/>
    </i>
    <i r="2">
      <x v="19"/>
    </i>
    <i r="2">
      <x v="29"/>
    </i>
    <i r="1">
      <x v="4"/>
    </i>
    <i r="2">
      <x v="4"/>
    </i>
    <i r="2">
      <x v="11"/>
    </i>
    <i r="2">
      <x v="23"/>
    </i>
    <i r="1">
      <x v="10"/>
    </i>
    <i r="2">
      <x v="5"/>
    </i>
    <i r="2">
      <x v="16"/>
    </i>
    <i r="2">
      <x v="18"/>
    </i>
    <i r="2">
      <x v="38"/>
    </i>
    <i t="grand">
      <x/>
    </i>
  </rowItems>
  <colItems count="1">
    <i/>
  </colItem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A3:E12" firstHeaderRow="1" firstDataRow="2" firstDataCol="1"/>
  <pivotFields count="34">
    <pivotField compact="0" showAll="0">
      <items count="632">
        <item x="605"/>
        <item x="449"/>
        <item x="7"/>
        <item x="518"/>
        <item x="573"/>
        <item x="46"/>
        <item x="367"/>
        <item x="201"/>
        <item x="551"/>
        <item x="324"/>
        <item x="438"/>
        <item x="166"/>
        <item x="80"/>
        <item x="361"/>
        <item x="328"/>
        <item x="300"/>
        <item x="453"/>
        <item x="577"/>
        <item x="193"/>
        <item x="122"/>
        <item x="332"/>
        <item x="439"/>
        <item x="457"/>
        <item x="148"/>
        <item x="224"/>
        <item x="190"/>
        <item x="347"/>
        <item x="278"/>
        <item x="350"/>
        <item x="535"/>
        <item x="54"/>
        <item x="65"/>
        <item x="163"/>
        <item x="470"/>
        <item x="580"/>
        <item x="625"/>
        <item x="106"/>
        <item x="269"/>
        <item x="256"/>
        <item x="89"/>
        <item x="339"/>
        <item x="24"/>
        <item x="220"/>
        <item x="281"/>
        <item x="250"/>
        <item x="376"/>
        <item x="540"/>
        <item x="172"/>
        <item x="225"/>
        <item x="78"/>
        <item x="49"/>
        <item x="603"/>
        <item x="226"/>
        <item x="168"/>
        <item x="45"/>
        <item x="144"/>
        <item x="183"/>
        <item x="574"/>
        <item x="81"/>
        <item x="512"/>
        <item x="562"/>
        <item x="315"/>
        <item x="391"/>
        <item x="288"/>
        <item x="272"/>
        <item x="2"/>
        <item x="92"/>
        <item x="292"/>
        <item x="434"/>
        <item x="585"/>
        <item x="199"/>
        <item x="74"/>
        <item x="363"/>
        <item x="204"/>
        <item x="185"/>
        <item x="497"/>
        <item x="52"/>
        <item x="99"/>
        <item x="118"/>
        <item x="132"/>
        <item x="215"/>
        <item x="495"/>
        <item x="171"/>
        <item x="613"/>
        <item x="543"/>
        <item x="629"/>
        <item x="520"/>
        <item x="547"/>
        <item x="255"/>
        <item x="351"/>
        <item x="64"/>
        <item x="546"/>
        <item x="151"/>
        <item x="223"/>
        <item x="615"/>
        <item x="239"/>
        <item x="260"/>
        <item x="129"/>
        <item x="532"/>
        <item x="326"/>
        <item x="459"/>
        <item x="371"/>
        <item x="66"/>
        <item x="626"/>
        <item x="604"/>
        <item x="624"/>
        <item x="31"/>
        <item x="515"/>
        <item x="477"/>
        <item x="344"/>
        <item x="499"/>
        <item x="197"/>
        <item x="121"/>
        <item x="445"/>
        <item x="455"/>
        <item x="202"/>
        <item x="474"/>
        <item x="301"/>
        <item x="382"/>
        <item x="152"/>
        <item x="485"/>
        <item x="296"/>
        <item x="124"/>
        <item x="229"/>
        <item x="478"/>
        <item x="284"/>
        <item x="137"/>
        <item x="216"/>
        <item x="387"/>
        <item x="591"/>
        <item x="316"/>
        <item x="537"/>
        <item x="419"/>
        <item x="261"/>
        <item x="266"/>
        <item x="259"/>
        <item x="528"/>
        <item x="39"/>
        <item x="213"/>
        <item x="431"/>
        <item x="337"/>
        <item x="176"/>
        <item x="609"/>
        <item x="291"/>
        <item x="408"/>
        <item x="384"/>
        <item x="596"/>
        <item x="526"/>
        <item x="198"/>
        <item x="460"/>
        <item x="221"/>
        <item x="576"/>
        <item x="279"/>
        <item x="75"/>
        <item x="5"/>
        <item x="589"/>
        <item x="466"/>
        <item x="412"/>
        <item x="349"/>
        <item x="501"/>
        <item x="243"/>
        <item x="68"/>
        <item x="436"/>
        <item x="619"/>
        <item x="340"/>
        <item x="444"/>
        <item x="450"/>
        <item x="476"/>
        <item x="437"/>
        <item x="69"/>
        <item x="539"/>
        <item x="369"/>
        <item x="4"/>
        <item x="338"/>
        <item x="145"/>
        <item x="187"/>
        <item x="318"/>
        <item x="388"/>
        <item x="85"/>
        <item x="154"/>
        <item x="441"/>
        <item x="160"/>
        <item x="404"/>
        <item x="370"/>
        <item x="581"/>
        <item x="35"/>
        <item x="507"/>
        <item x="483"/>
        <item x="135"/>
        <item x="21"/>
        <item x="570"/>
        <item x="95"/>
        <item x="115"/>
        <item x="456"/>
        <item x="125"/>
        <item x="308"/>
        <item x="165"/>
        <item x="623"/>
        <item x="258"/>
        <item x="321"/>
        <item x="311"/>
        <item x="28"/>
        <item x="346"/>
        <item x="140"/>
        <item x="142"/>
        <item x="509"/>
        <item x="205"/>
        <item x="627"/>
        <item x="192"/>
        <item x="393"/>
        <item x="469"/>
        <item x="411"/>
        <item x="15"/>
        <item x="331"/>
        <item x="233"/>
        <item x="228"/>
        <item x="555"/>
        <item x="542"/>
        <item x="628"/>
        <item x="237"/>
        <item x="267"/>
        <item x="538"/>
        <item x="114"/>
        <item x="414"/>
        <item x="178"/>
        <item x="396"/>
        <item x="479"/>
        <item x="336"/>
        <item x="164"/>
        <item x="155"/>
        <item x="549"/>
        <item x="325"/>
        <item x="105"/>
        <item x="134"/>
        <item x="309"/>
        <item x="109"/>
        <item x="34"/>
        <item x="401"/>
        <item x="30"/>
        <item x="79"/>
        <item x="214"/>
        <item x="153"/>
        <item x="458"/>
        <item x="548"/>
        <item x="16"/>
        <item x="322"/>
        <item x="523"/>
        <item x="297"/>
        <item x="564"/>
        <item x="480"/>
        <item x="10"/>
        <item x="147"/>
        <item x="191"/>
        <item x="25"/>
        <item x="162"/>
        <item x="251"/>
        <item x="111"/>
        <item x="353"/>
        <item x="139"/>
        <item x="181"/>
        <item x="586"/>
        <item x="489"/>
        <item x="63"/>
        <item x="560"/>
        <item x="392"/>
        <item x="454"/>
        <item x="51"/>
        <item x="607"/>
        <item x="0"/>
        <item x="287"/>
        <item x="234"/>
        <item x="107"/>
        <item x="70"/>
        <item x="57"/>
        <item x="41"/>
        <item x="252"/>
        <item x="390"/>
        <item x="504"/>
        <item x="247"/>
        <item x="167"/>
        <item x="561"/>
        <item x="610"/>
        <item x="334"/>
        <item x="341"/>
        <item x="6"/>
        <item x="612"/>
        <item x="362"/>
        <item x="67"/>
        <item x="253"/>
        <item x="536"/>
        <item x="572"/>
        <item x="461"/>
        <item x="161"/>
        <item x="1"/>
        <item x="524"/>
        <item x="283"/>
        <item x="486"/>
        <item x="410"/>
        <item x="429"/>
        <item x="484"/>
        <item x="143"/>
        <item x="44"/>
        <item x="405"/>
        <item x="383"/>
        <item x="517"/>
        <item x="310"/>
        <item x="545"/>
        <item x="231"/>
        <item x="313"/>
        <item x="494"/>
        <item x="568"/>
        <item x="149"/>
        <item x="594"/>
        <item x="194"/>
        <item x="440"/>
        <item x="76"/>
        <item x="77"/>
        <item x="413"/>
        <item x="50"/>
        <item x="521"/>
        <item x="423"/>
        <item x="117"/>
        <item x="103"/>
        <item x="578"/>
        <item x="274"/>
        <item x="23"/>
        <item x="265"/>
        <item x="323"/>
        <item x="188"/>
        <item x="464"/>
        <item x="443"/>
        <item x="356"/>
        <item x="424"/>
        <item x="492"/>
        <item x="386"/>
        <item x="529"/>
        <item x="554"/>
        <item x="409"/>
        <item x="245"/>
        <item x="47"/>
        <item x="600"/>
        <item x="157"/>
        <item x="558"/>
        <item x="448"/>
        <item x="500"/>
        <item x="232"/>
        <item x="335"/>
        <item x="587"/>
        <item x="493"/>
        <item x="277"/>
        <item x="433"/>
        <item x="126"/>
        <item x="598"/>
        <item x="123"/>
        <item x="8"/>
        <item x="582"/>
        <item x="86"/>
        <item x="38"/>
        <item x="88"/>
        <item x="128"/>
        <item x="170"/>
        <item x="400"/>
        <item x="541"/>
        <item x="33"/>
        <item x="40"/>
        <item x="97"/>
        <item x="184"/>
        <item x="475"/>
        <item x="342"/>
        <item x="472"/>
        <item x="430"/>
        <item x="415"/>
        <item x="249"/>
        <item x="195"/>
        <item x="402"/>
        <item x="209"/>
        <item x="557"/>
        <item x="207"/>
        <item x="583"/>
        <item x="373"/>
        <item x="36"/>
        <item x="359"/>
        <item x="527"/>
        <item x="320"/>
        <item x="217"/>
        <item x="496"/>
        <item x="506"/>
        <item x="611"/>
        <item x="442"/>
        <item x="271"/>
        <item x="418"/>
        <item x="618"/>
        <item x="189"/>
        <item x="156"/>
        <item x="567"/>
        <item x="104"/>
        <item x="508"/>
        <item x="218"/>
        <item x="138"/>
        <item x="465"/>
        <item x="26"/>
        <item x="295"/>
        <item x="490"/>
        <item x="108"/>
        <item x="20"/>
        <item x="73"/>
        <item x="235"/>
        <item x="427"/>
        <item x="621"/>
        <item x="365"/>
        <item x="319"/>
        <item x="522"/>
        <item x="273"/>
        <item x="136"/>
        <item x="432"/>
        <item x="608"/>
        <item x="101"/>
        <item x="451"/>
        <item x="244"/>
        <item x="27"/>
        <item x="254"/>
        <item x="286"/>
        <item x="242"/>
        <item x="374"/>
        <item x="559"/>
        <item x="303"/>
        <item x="268"/>
        <item x="447"/>
        <item x="13"/>
        <item x="358"/>
        <item x="519"/>
        <item x="343"/>
        <item x="238"/>
        <item x="345"/>
        <item x="141"/>
        <item x="60"/>
        <item x="599"/>
        <item x="110"/>
        <item x="352"/>
        <item x="112"/>
        <item x="354"/>
        <item x="312"/>
        <item x="616"/>
        <item x="72"/>
        <item x="169"/>
        <item x="592"/>
        <item x="275"/>
        <item x="177"/>
        <item x="510"/>
        <item x="357"/>
        <item x="511"/>
        <item x="48"/>
        <item x="196"/>
        <item x="174"/>
        <item x="435"/>
        <item x="398"/>
        <item x="487"/>
        <item x="565"/>
        <item x="211"/>
        <item x="426"/>
        <item x="93"/>
        <item x="42"/>
        <item x="200"/>
        <item x="82"/>
        <item x="364"/>
        <item x="236"/>
        <item x="513"/>
        <item x="304"/>
        <item x="206"/>
        <item x="534"/>
        <item x="617"/>
        <item x="579"/>
        <item x="3"/>
        <item x="569"/>
        <item x="571"/>
        <item x="120"/>
        <item x="257"/>
        <item x="375"/>
        <item x="601"/>
        <item x="299"/>
        <item x="379"/>
        <item x="417"/>
        <item x="314"/>
        <item x="17"/>
        <item x="146"/>
        <item x="150"/>
        <item x="584"/>
        <item x="248"/>
        <item x="482"/>
        <item x="488"/>
        <item x="606"/>
        <item x="96"/>
        <item x="372"/>
        <item x="420"/>
        <item x="302"/>
        <item x="588"/>
        <item x="575"/>
        <item x="227"/>
        <item x="462"/>
        <item x="368"/>
        <item x="533"/>
        <item x="333"/>
        <item x="100"/>
        <item x="84"/>
        <item x="502"/>
        <item x="553"/>
        <item x="552"/>
        <item x="133"/>
        <item x="306"/>
        <item x="294"/>
        <item x="416"/>
        <item x="307"/>
        <item x="481"/>
        <item x="452"/>
        <item x="159"/>
        <item x="550"/>
        <item x="263"/>
        <item x="525"/>
        <item x="446"/>
        <item x="505"/>
        <item x="32"/>
        <item x="348"/>
        <item x="270"/>
        <item x="389"/>
        <item x="394"/>
        <item x="293"/>
        <item x="12"/>
        <item x="83"/>
        <item x="463"/>
        <item x="131"/>
        <item x="240"/>
        <item x="407"/>
        <item x="11"/>
        <item x="62"/>
        <item x="91"/>
        <item x="614"/>
        <item x="127"/>
        <item x="285"/>
        <item x="98"/>
        <item x="186"/>
        <item x="29"/>
        <item x="212"/>
        <item x="53"/>
        <item x="22"/>
        <item x="210"/>
        <item x="397"/>
        <item x="360"/>
        <item x="399"/>
        <item x="366"/>
        <item x="90"/>
        <item x="208"/>
        <item x="514"/>
        <item x="377"/>
        <item x="58"/>
        <item x="71"/>
        <item x="241"/>
        <item x="113"/>
        <item x="622"/>
        <item x="130"/>
        <item x="421"/>
        <item x="179"/>
        <item x="329"/>
        <item x="563"/>
        <item x="102"/>
        <item x="180"/>
        <item x="428"/>
        <item x="395"/>
        <item x="276"/>
        <item x="222"/>
        <item x="503"/>
        <item x="473"/>
        <item x="597"/>
        <item x="280"/>
        <item x="116"/>
        <item x="173"/>
        <item x="491"/>
        <item x="595"/>
        <item x="37"/>
        <item x="94"/>
        <item x="630"/>
        <item x="330"/>
        <item x="19"/>
        <item x="602"/>
        <item x="290"/>
        <item x="230"/>
        <item x="219"/>
        <item x="59"/>
        <item x="55"/>
        <item x="158"/>
        <item x="531"/>
        <item x="327"/>
        <item x="61"/>
        <item x="471"/>
        <item x="381"/>
        <item x="467"/>
        <item x="425"/>
        <item x="43"/>
        <item x="380"/>
        <item x="498"/>
        <item x="516"/>
        <item x="422"/>
        <item x="14"/>
        <item x="18"/>
        <item x="175"/>
        <item x="593"/>
        <item x="317"/>
        <item x="87"/>
        <item x="385"/>
        <item x="556"/>
        <item x="406"/>
        <item x="264"/>
        <item x="182"/>
        <item x="620"/>
        <item x="262"/>
        <item x="403"/>
        <item x="378"/>
        <item x="289"/>
        <item x="530"/>
        <item x="566"/>
        <item x="56"/>
        <item x="298"/>
        <item x="305"/>
        <item x="246"/>
        <item x="468"/>
        <item x="355"/>
        <item x="119"/>
        <item x="544"/>
        <item x="203"/>
        <item x="282"/>
        <item x="590"/>
        <item x="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3">
        <item x="4"/>
        <item x="2"/>
        <item x="0"/>
        <item x="7"/>
        <item x="5"/>
        <item x="9"/>
        <item x="8"/>
        <item x="11"/>
        <item x="6"/>
        <item x="1"/>
        <item x="10"/>
        <item x="3"/>
        <item t="default"/>
      </items>
    </pivotField>
    <pivotField compact="0" showAll="0">
      <items count="469">
        <item x="5"/>
        <item x="455"/>
        <item x="271"/>
        <item x="415"/>
        <item x="181"/>
        <item x="7"/>
        <item x="371"/>
        <item x="184"/>
        <item x="119"/>
        <item x="424"/>
        <item x="122"/>
        <item x="171"/>
        <item x="180"/>
        <item x="312"/>
        <item x="23"/>
        <item x="77"/>
        <item x="426"/>
        <item x="62"/>
        <item x="152"/>
        <item x="147"/>
        <item x="361"/>
        <item x="29"/>
        <item x="159"/>
        <item x="452"/>
        <item x="2"/>
        <item x="107"/>
        <item x="432"/>
        <item x="226"/>
        <item x="336"/>
        <item x="206"/>
        <item x="315"/>
        <item x="211"/>
        <item x="342"/>
        <item x="64"/>
        <item x="278"/>
        <item x="150"/>
        <item x="33"/>
        <item x="50"/>
        <item x="451"/>
        <item x="163"/>
        <item x="89"/>
        <item x="458"/>
        <item x="125"/>
        <item x="290"/>
        <item x="27"/>
        <item x="387"/>
        <item x="153"/>
        <item x="43"/>
        <item x="67"/>
        <item x="460"/>
        <item x="15"/>
        <item x="441"/>
        <item x="410"/>
        <item x="129"/>
        <item x="449"/>
        <item x="177"/>
        <item x="275"/>
        <item x="239"/>
        <item x="406"/>
        <item x="20"/>
        <item x="382"/>
        <item x="362"/>
        <item x="72"/>
        <item x="207"/>
        <item x="373"/>
        <item x="234"/>
        <item x="328"/>
        <item x="408"/>
        <item x="446"/>
        <item x="308"/>
        <item x="109"/>
        <item x="280"/>
        <item x="367"/>
        <item x="75"/>
        <item x="251"/>
        <item x="37"/>
        <item x="264"/>
        <item x="169"/>
        <item x="44"/>
        <item x="87"/>
        <item x="85"/>
        <item x="306"/>
        <item x="186"/>
        <item x="140"/>
        <item x="133"/>
        <item x="422"/>
        <item x="425"/>
        <item x="376"/>
        <item x="47"/>
        <item x="289"/>
        <item x="386"/>
        <item x="256"/>
        <item x="172"/>
        <item x="370"/>
        <item x="245"/>
        <item x="288"/>
        <item x="131"/>
        <item x="203"/>
        <item x="443"/>
        <item x="242"/>
        <item x="235"/>
        <item x="174"/>
        <item x="389"/>
        <item x="115"/>
        <item x="183"/>
        <item x="419"/>
        <item x="66"/>
        <item x="114"/>
        <item x="260"/>
        <item x="417"/>
        <item x="343"/>
        <item x="200"/>
        <item x="161"/>
        <item x="345"/>
        <item x="52"/>
        <item x="429"/>
        <item x="137"/>
        <item x="459"/>
        <item x="73"/>
        <item x="216"/>
        <item x="364"/>
        <item x="158"/>
        <item x="199"/>
        <item x="323"/>
        <item x="204"/>
        <item x="231"/>
        <item x="155"/>
        <item x="327"/>
        <item x="233"/>
        <item x="348"/>
        <item x="176"/>
        <item x="358"/>
        <item x="259"/>
        <item x="282"/>
        <item x="391"/>
        <item x="324"/>
        <item x="250"/>
        <item x="143"/>
        <item x="193"/>
        <item x="276"/>
        <item x="285"/>
        <item x="112"/>
        <item x="106"/>
        <item x="214"/>
        <item x="134"/>
        <item x="294"/>
        <item x="297"/>
        <item x="63"/>
        <item x="374"/>
        <item x="4"/>
        <item x="141"/>
        <item x="340"/>
        <item x="380"/>
        <item x="202"/>
        <item x="195"/>
        <item x="295"/>
        <item x="81"/>
        <item x="240"/>
        <item x="311"/>
        <item x="423"/>
        <item x="113"/>
        <item x="360"/>
        <item x="300"/>
        <item x="279"/>
        <item x="435"/>
        <item x="241"/>
        <item x="39"/>
        <item x="182"/>
        <item x="94"/>
        <item x="347"/>
        <item x="303"/>
        <item x="13"/>
        <item x="84"/>
        <item x="436"/>
        <item x="247"/>
        <item x="10"/>
        <item x="145"/>
        <item x="162"/>
        <item x="383"/>
        <item x="437"/>
        <item x="179"/>
        <item x="128"/>
        <item x="221"/>
        <item x="292"/>
        <item x="142"/>
        <item x="351"/>
        <item x="439"/>
        <item x="354"/>
        <item x="352"/>
        <item x="194"/>
        <item x="397"/>
        <item x="263"/>
        <item x="314"/>
        <item x="428"/>
        <item x="220"/>
        <item x="34"/>
        <item x="307"/>
        <item x="58"/>
        <item x="0"/>
        <item x="450"/>
        <item x="227"/>
        <item x="246"/>
        <item x="68"/>
        <item x="363"/>
        <item x="265"/>
        <item x="248"/>
        <item x="215"/>
        <item x="244"/>
        <item x="149"/>
        <item x="136"/>
        <item x="403"/>
        <item x="82"/>
        <item x="286"/>
        <item x="70"/>
        <item x="413"/>
        <item x="31"/>
        <item x="36"/>
        <item x="395"/>
        <item x="412"/>
        <item x="400"/>
        <item x="230"/>
        <item x="372"/>
        <item x="8"/>
        <item x="375"/>
        <item x="322"/>
        <item x="385"/>
        <item x="393"/>
        <item x="45"/>
        <item x="313"/>
        <item x="22"/>
        <item x="173"/>
        <item x="42"/>
        <item x="98"/>
        <item x="65"/>
        <item x="154"/>
        <item x="398"/>
        <item x="91"/>
        <item x="118"/>
        <item x="101"/>
        <item x="368"/>
        <item x="151"/>
        <item x="416"/>
        <item x="344"/>
        <item x="116"/>
        <item x="274"/>
        <item x="102"/>
        <item x="103"/>
        <item x="369"/>
        <item x="132"/>
        <item x="249"/>
        <item x="269"/>
        <item x="304"/>
        <item x="463"/>
        <item x="104"/>
        <item x="24"/>
        <item x="411"/>
        <item x="287"/>
        <item x="293"/>
        <item x="157"/>
        <item x="320"/>
        <item x="26"/>
        <item x="334"/>
        <item x="19"/>
        <item x="465"/>
        <item x="228"/>
        <item x="453"/>
        <item x="447"/>
        <item x="399"/>
        <item x="144"/>
        <item x="298"/>
        <item x="326"/>
        <item x="175"/>
        <item x="99"/>
        <item x="421"/>
        <item x="456"/>
        <item x="353"/>
        <item x="396"/>
        <item x="365"/>
        <item x="32"/>
        <item x="38"/>
        <item x="74"/>
        <item x="341"/>
        <item x="434"/>
        <item x="225"/>
        <item x="209"/>
        <item x="210"/>
        <item x="331"/>
        <item x="255"/>
        <item x="191"/>
        <item x="187"/>
        <item x="212"/>
        <item x="97"/>
        <item x="197"/>
        <item x="178"/>
        <item x="138"/>
        <item x="366"/>
        <item x="189"/>
        <item x="166"/>
        <item x="88"/>
        <item x="238"/>
        <item x="156"/>
        <item x="407"/>
        <item x="196"/>
        <item x="464"/>
        <item x="46"/>
        <item x="100"/>
        <item x="49"/>
        <item x="462"/>
        <item x="168"/>
        <item x="1"/>
        <item x="404"/>
        <item x="40"/>
        <item x="229"/>
        <item x="291"/>
        <item x="148"/>
        <item x="356"/>
        <item x="61"/>
        <item x="273"/>
        <item x="333"/>
        <item x="48"/>
        <item x="299"/>
        <item x="223"/>
        <item x="444"/>
        <item x="405"/>
        <item x="392"/>
        <item x="127"/>
        <item x="76"/>
        <item x="379"/>
        <item x="302"/>
        <item x="461"/>
        <item x="25"/>
        <item x="219"/>
        <item x="96"/>
        <item x="430"/>
        <item x="390"/>
        <item x="16"/>
        <item x="330"/>
        <item x="126"/>
        <item x="71"/>
        <item x="55"/>
        <item x="337"/>
        <item x="124"/>
        <item x="130"/>
        <item x="359"/>
        <item x="6"/>
        <item x="357"/>
        <item x="272"/>
        <item x="11"/>
        <item x="409"/>
        <item x="316"/>
        <item x="123"/>
        <item x="420"/>
        <item x="283"/>
        <item x="170"/>
        <item x="105"/>
        <item x="335"/>
        <item x="51"/>
        <item x="266"/>
        <item x="93"/>
        <item x="192"/>
        <item x="318"/>
        <item x="167"/>
        <item x="185"/>
        <item x="317"/>
        <item x="414"/>
        <item x="54"/>
        <item x="120"/>
        <item x="146"/>
        <item x="433"/>
        <item x="454"/>
        <item x="243"/>
        <item x="338"/>
        <item x="349"/>
        <item x="467"/>
        <item x="121"/>
        <item x="12"/>
        <item x="339"/>
        <item x="402"/>
        <item x="418"/>
        <item x="252"/>
        <item x="310"/>
        <item x="309"/>
        <item x="381"/>
        <item x="401"/>
        <item x="80"/>
        <item x="3"/>
        <item x="258"/>
        <item x="95"/>
        <item x="277"/>
        <item x="254"/>
        <item x="53"/>
        <item x="28"/>
        <item x="69"/>
        <item x="377"/>
        <item x="261"/>
        <item x="332"/>
        <item x="440"/>
        <item x="160"/>
        <item x="139"/>
        <item x="448"/>
        <item x="222"/>
        <item x="79"/>
        <item x="208"/>
        <item x="60"/>
        <item x="86"/>
        <item x="57"/>
        <item x="355"/>
        <item x="267"/>
        <item x="321"/>
        <item x="78"/>
        <item x="394"/>
        <item x="217"/>
        <item x="253"/>
        <item x="270"/>
        <item x="281"/>
        <item x="9"/>
        <item x="329"/>
        <item x="41"/>
        <item x="262"/>
        <item x="108"/>
        <item x="346"/>
        <item x="56"/>
        <item x="21"/>
        <item x="325"/>
        <item x="296"/>
        <item x="111"/>
        <item x="236"/>
        <item x="268"/>
        <item x="35"/>
        <item x="305"/>
        <item x="438"/>
        <item x="232"/>
        <item x="350"/>
        <item x="110"/>
        <item x="445"/>
        <item x="190"/>
        <item x="201"/>
        <item x="213"/>
        <item x="466"/>
        <item x="18"/>
        <item x="188"/>
        <item x="92"/>
        <item x="319"/>
        <item x="30"/>
        <item x="378"/>
        <item x="90"/>
        <item x="218"/>
        <item x="442"/>
        <item x="117"/>
        <item x="431"/>
        <item x="83"/>
        <item x="205"/>
        <item x="457"/>
        <item x="384"/>
        <item x="301"/>
        <item x="427"/>
        <item x="164"/>
        <item x="198"/>
        <item x="257"/>
        <item x="388"/>
        <item x="14"/>
        <item x="237"/>
        <item x="17"/>
        <item x="59"/>
        <item x="135"/>
        <item x="224"/>
        <item x="284"/>
        <item x="165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numFmtId="181" showAll="0">
      <items count="470">
        <item x="5"/>
        <item x="7"/>
        <item x="185"/>
        <item x="199"/>
        <item x="411"/>
        <item x="270"/>
        <item x="125"/>
        <item x="128"/>
        <item x="187"/>
        <item x="441"/>
        <item x="78"/>
        <item x="24"/>
        <item x="419"/>
        <item x="183"/>
        <item x="62"/>
        <item x="279"/>
        <item x="174"/>
        <item x="152"/>
        <item x="111"/>
        <item x="422"/>
        <item x="297"/>
        <item x="162"/>
        <item x="157"/>
        <item x="384"/>
        <item x="96"/>
        <item x="223"/>
        <item x="2"/>
        <item x="155"/>
        <item x="214"/>
        <item x="211"/>
        <item x="314"/>
        <item x="50"/>
        <item x="339"/>
        <item x="310"/>
        <item x="64"/>
        <item x="290"/>
        <item x="132"/>
        <item x="277"/>
        <item x="166"/>
        <item x="130"/>
        <item x="357"/>
        <item x="400"/>
        <item x="15"/>
        <item x="453"/>
        <item x="450"/>
        <item x="437"/>
        <item x="92"/>
        <item x="189"/>
        <item x="43"/>
        <item x="430"/>
        <item x="235"/>
        <item x="206"/>
        <item x="67"/>
        <item x="184"/>
        <item x="28"/>
        <item x="295"/>
        <item x="72"/>
        <item x="370"/>
        <item x="426"/>
        <item x="379"/>
        <item x="383"/>
        <item x="180"/>
        <item x="408"/>
        <item x="21"/>
        <item x="281"/>
        <item x="435"/>
        <item x="359"/>
        <item x="103"/>
        <item x="403"/>
        <item x="212"/>
        <item x="374"/>
        <item x="76"/>
        <item x="282"/>
        <item x="114"/>
        <item x="326"/>
        <item x="367"/>
        <item x="271"/>
        <item x="90"/>
        <item x="37"/>
        <item x="305"/>
        <item x="440"/>
        <item x="87"/>
        <item x="44"/>
        <item x="393"/>
        <item x="260"/>
        <item x="420"/>
        <item x="416"/>
        <item x="438"/>
        <item x="418"/>
        <item x="138"/>
        <item x="467"/>
        <item x="373"/>
        <item x="172"/>
        <item x="264"/>
        <item x="145"/>
        <item x="175"/>
        <item x="47"/>
        <item x="464"/>
        <item x="208"/>
        <item x="254"/>
        <item x="241"/>
        <item x="238"/>
        <item x="386"/>
        <item x="289"/>
        <item x="177"/>
        <item x="170"/>
        <item x="230"/>
        <item x="136"/>
        <item x="466"/>
        <item x="52"/>
        <item x="286"/>
        <item x="120"/>
        <item x="121"/>
        <item x="66"/>
        <item x="204"/>
        <item x="165"/>
        <item x="79"/>
        <item x="340"/>
        <item x="460"/>
        <item x="142"/>
        <item x="380"/>
        <item x="413"/>
        <item x="258"/>
        <item x="360"/>
        <item x="203"/>
        <item x="322"/>
        <item x="227"/>
        <item x="73"/>
        <item x="308"/>
        <item x="161"/>
        <item x="456"/>
        <item x="229"/>
        <item x="355"/>
        <item x="353"/>
        <item x="159"/>
        <item x="325"/>
        <item x="395"/>
        <item x="209"/>
        <item x="406"/>
        <item x="263"/>
        <item x="147"/>
        <item x="323"/>
        <item x="257"/>
        <item x="179"/>
        <item x="247"/>
        <item x="284"/>
        <item x="388"/>
        <item x="196"/>
        <item x="139"/>
        <item x="275"/>
        <item x="110"/>
        <item x="287"/>
        <item x="217"/>
        <item x="371"/>
        <item x="369"/>
        <item x="117"/>
        <item x="298"/>
        <item x="293"/>
        <item x="336"/>
        <item x="207"/>
        <item x="83"/>
        <item x="63"/>
        <item x="4"/>
        <item x="236"/>
        <item x="436"/>
        <item x="309"/>
        <item x="296"/>
        <item x="358"/>
        <item x="429"/>
        <item x="362"/>
        <item x="198"/>
        <item x="385"/>
        <item x="465"/>
        <item x="118"/>
        <item x="98"/>
        <item x="237"/>
        <item x="86"/>
        <item x="243"/>
        <item x="186"/>
        <item x="253"/>
        <item x="454"/>
        <item x="39"/>
        <item x="303"/>
        <item x="431"/>
        <item x="250"/>
        <item x="414"/>
        <item x="10"/>
        <item x="344"/>
        <item x="13"/>
        <item x="134"/>
        <item x="176"/>
        <item x="433"/>
        <item x="149"/>
        <item x="381"/>
        <item x="391"/>
        <item x="182"/>
        <item x="146"/>
        <item x="348"/>
        <item x="351"/>
        <item x="280"/>
        <item x="259"/>
        <item x="312"/>
        <item x="68"/>
        <item x="447"/>
        <item x="402"/>
        <item x="34"/>
        <item x="221"/>
        <item x="427"/>
        <item x="197"/>
        <item x="375"/>
        <item x="261"/>
        <item x="0"/>
        <item x="154"/>
        <item x="58"/>
        <item x="244"/>
        <item x="242"/>
        <item x="240"/>
        <item x="288"/>
        <item x="301"/>
        <item x="141"/>
        <item x="84"/>
        <item x="410"/>
        <item x="36"/>
        <item x="70"/>
        <item x="32"/>
        <item x="409"/>
        <item x="321"/>
        <item x="365"/>
        <item x="372"/>
        <item x="226"/>
        <item x="338"/>
        <item x="428"/>
        <item x="23"/>
        <item x="390"/>
        <item x="94"/>
        <item x="102"/>
        <item x="45"/>
        <item x="8"/>
        <item x="42"/>
        <item x="163"/>
        <item x="65"/>
        <item x="105"/>
        <item x="421"/>
        <item x="107"/>
        <item x="124"/>
        <item x="158"/>
        <item x="307"/>
        <item x="156"/>
        <item x="392"/>
        <item x="278"/>
        <item x="266"/>
        <item x="443"/>
        <item x="412"/>
        <item x="273"/>
        <item x="304"/>
        <item x="122"/>
        <item x="75"/>
        <item x="455"/>
        <item x="246"/>
        <item x="137"/>
        <item x="106"/>
        <item x="364"/>
        <item x="292"/>
        <item x="25"/>
        <item x="160"/>
        <item x="27"/>
        <item x="446"/>
        <item x="20"/>
        <item x="108"/>
        <item x="224"/>
        <item x="294"/>
        <item x="423"/>
        <item x="319"/>
        <item x="332"/>
        <item x="442"/>
        <item x="331"/>
        <item x="148"/>
        <item x="299"/>
        <item x="33"/>
        <item x="462"/>
        <item x="417"/>
        <item x="448"/>
        <item x="178"/>
        <item x="104"/>
        <item x="337"/>
        <item x="252"/>
        <item x="213"/>
        <item x="350"/>
        <item x="394"/>
        <item x="150"/>
        <item x="38"/>
        <item x="74"/>
        <item x="425"/>
        <item x="181"/>
        <item x="215"/>
        <item x="361"/>
        <item x="330"/>
        <item x="101"/>
        <item x="191"/>
        <item x="234"/>
        <item x="168"/>
        <item x="201"/>
        <item x="143"/>
        <item x="1"/>
        <item x="193"/>
        <item x="459"/>
        <item x="399"/>
        <item x="171"/>
        <item x="91"/>
        <item x="291"/>
        <item x="272"/>
        <item x="49"/>
        <item x="432"/>
        <item x="46"/>
        <item x="200"/>
        <item x="352"/>
        <item x="40"/>
        <item x="61"/>
        <item x="225"/>
        <item x="401"/>
        <item x="48"/>
        <item x="153"/>
        <item x="300"/>
        <item x="389"/>
        <item x="119"/>
        <item x="302"/>
        <item x="387"/>
        <item x="341"/>
        <item x="220"/>
        <item x="133"/>
        <item x="55"/>
        <item x="354"/>
        <item x="71"/>
        <item x="77"/>
        <item x="452"/>
        <item x="129"/>
        <item x="100"/>
        <item x="368"/>
        <item x="26"/>
        <item x="113"/>
        <item x="404"/>
        <item x="16"/>
        <item x="135"/>
        <item x="131"/>
        <item x="356"/>
        <item x="6"/>
        <item x="30"/>
        <item x="457"/>
        <item x="315"/>
        <item x="262"/>
        <item x="11"/>
        <item x="109"/>
        <item x="333"/>
        <item x="269"/>
        <item x="195"/>
        <item x="173"/>
        <item x="190"/>
        <item x="97"/>
        <item x="51"/>
        <item x="316"/>
        <item x="188"/>
        <item x="444"/>
        <item x="126"/>
        <item x="54"/>
        <item x="169"/>
        <item x="239"/>
        <item x="468"/>
        <item x="335"/>
        <item x="345"/>
        <item x="334"/>
        <item x="127"/>
        <item x="397"/>
        <item x="268"/>
        <item x="398"/>
        <item x="248"/>
        <item x="12"/>
        <item x="3"/>
        <item x="99"/>
        <item x="256"/>
        <item x="343"/>
        <item x="306"/>
        <item x="311"/>
        <item x="29"/>
        <item x="267"/>
        <item x="251"/>
        <item x="434"/>
        <item x="82"/>
        <item x="376"/>
        <item x="81"/>
        <item x="232"/>
        <item x="276"/>
        <item x="363"/>
        <item x="53"/>
        <item x="222"/>
        <item x="461"/>
        <item x="164"/>
        <item x="69"/>
        <item x="415"/>
        <item x="57"/>
        <item x="88"/>
        <item x="144"/>
        <item x="283"/>
        <item x="449"/>
        <item x="19"/>
        <item x="80"/>
        <item x="60"/>
        <item x="320"/>
        <item x="218"/>
        <item x="249"/>
        <item x="407"/>
        <item x="378"/>
        <item x="274"/>
        <item x="327"/>
        <item x="9"/>
        <item x="112"/>
        <item x="342"/>
        <item x="56"/>
        <item x="41"/>
        <item x="451"/>
        <item x="366"/>
        <item x="89"/>
        <item x="231"/>
        <item x="22"/>
        <item x="324"/>
        <item x="228"/>
        <item x="346"/>
        <item x="265"/>
        <item x="35"/>
        <item x="313"/>
        <item x="116"/>
        <item x="245"/>
        <item x="458"/>
        <item x="205"/>
        <item x="115"/>
        <item x="216"/>
        <item x="463"/>
        <item x="439"/>
        <item x="194"/>
        <item x="18"/>
        <item x="31"/>
        <item x="192"/>
        <item x="219"/>
        <item x="123"/>
        <item x="377"/>
        <item x="93"/>
        <item x="318"/>
        <item x="95"/>
        <item x="85"/>
        <item x="151"/>
        <item x="424"/>
        <item x="255"/>
        <item x="405"/>
        <item x="210"/>
        <item x="382"/>
        <item x="349"/>
        <item x="317"/>
        <item x="233"/>
        <item x="59"/>
        <item x="328"/>
        <item x="17"/>
        <item x="167"/>
        <item x="445"/>
        <item x="329"/>
        <item x="202"/>
        <item x="347"/>
        <item x="285"/>
        <item x="140"/>
        <item x="14"/>
        <item x="396"/>
        <item t="default"/>
      </items>
    </pivotField>
    <pivotField compact="0" numFmtId="181" showAll="0">
      <items count="473">
        <item x="5"/>
        <item x="185"/>
        <item x="7"/>
        <item x="412"/>
        <item x="199"/>
        <item x="123"/>
        <item x="126"/>
        <item x="187"/>
        <item x="443"/>
        <item x="78"/>
        <item x="24"/>
        <item x="420"/>
        <item x="183"/>
        <item x="62"/>
        <item x="174"/>
        <item x="152"/>
        <item x="109"/>
        <item x="424"/>
        <item x="276"/>
        <item x="294"/>
        <item x="162"/>
        <item x="157"/>
        <item x="381"/>
        <item x="95"/>
        <item x="222"/>
        <item x="2"/>
        <item x="155"/>
        <item x="214"/>
        <item x="211"/>
        <item x="311"/>
        <item x="50"/>
        <item x="335"/>
        <item x="307"/>
        <item x="64"/>
        <item x="130"/>
        <item x="273"/>
        <item x="166"/>
        <item x="128"/>
        <item x="382"/>
        <item x="287"/>
        <item x="34"/>
        <item x="457"/>
        <item x="454"/>
        <item x="440"/>
        <item x="91"/>
        <item x="189"/>
        <item x="15"/>
        <item x="433"/>
        <item x="206"/>
        <item x="67"/>
        <item x="184"/>
        <item x="28"/>
        <item x="292"/>
        <item x="133"/>
        <item x="366"/>
        <item x="428"/>
        <item x="376"/>
        <item x="380"/>
        <item x="180"/>
        <item x="72"/>
        <item x="21"/>
        <item x="278"/>
        <item x="438"/>
        <item x="354"/>
        <item x="102"/>
        <item x="403"/>
        <item x="212"/>
        <item x="370"/>
        <item x="76"/>
        <item x="279"/>
        <item x="112"/>
        <item x="322"/>
        <item x="363"/>
        <item x="246"/>
        <item x="38"/>
        <item x="302"/>
        <item x="89"/>
        <item x="86"/>
        <item x="44"/>
        <item x="392"/>
        <item x="258"/>
        <item x="421"/>
        <item x="417"/>
        <item x="441"/>
        <item x="419"/>
        <item x="137"/>
        <item x="470"/>
        <item x="369"/>
        <item x="172"/>
        <item x="262"/>
        <item x="144"/>
        <item x="360"/>
        <item x="175"/>
        <item x="47"/>
        <item x="208"/>
        <item x="252"/>
        <item x="239"/>
        <item x="236"/>
        <item x="385"/>
        <item x="286"/>
        <item x="177"/>
        <item x="170"/>
        <item x="229"/>
        <item x="135"/>
        <item x="469"/>
        <item x="52"/>
        <item x="283"/>
        <item x="118"/>
        <item x="119"/>
        <item x="66"/>
        <item x="204"/>
        <item x="165"/>
        <item x="79"/>
        <item x="336"/>
        <item x="464"/>
        <item x="141"/>
        <item x="377"/>
        <item x="414"/>
        <item x="256"/>
        <item x="355"/>
        <item x="203"/>
        <item x="318"/>
        <item x="226"/>
        <item x="73"/>
        <item x="305"/>
        <item x="161"/>
        <item x="460"/>
        <item x="228"/>
        <item x="351"/>
        <item x="349"/>
        <item x="159"/>
        <item x="321"/>
        <item x="394"/>
        <item x="209"/>
        <item x="406"/>
        <item x="261"/>
        <item x="147"/>
        <item x="319"/>
        <item x="255"/>
        <item x="179"/>
        <item x="245"/>
        <item x="281"/>
        <item x="387"/>
        <item x="196"/>
        <item x="271"/>
        <item x="108"/>
        <item x="284"/>
        <item x="138"/>
        <item x="367"/>
        <item x="365"/>
        <item x="115"/>
        <item x="145"/>
        <item x="295"/>
        <item x="290"/>
        <item x="332"/>
        <item x="207"/>
        <item x="82"/>
        <item x="63"/>
        <item x="4"/>
        <item x="234"/>
        <item x="439"/>
        <item x="306"/>
        <item x="293"/>
        <item x="353"/>
        <item x="275"/>
        <item x="432"/>
        <item x="357"/>
        <item x="198"/>
        <item x="383"/>
        <item x="468"/>
        <item x="116"/>
        <item x="97"/>
        <item x="235"/>
        <item x="85"/>
        <item x="241"/>
        <item x="186"/>
        <item x="251"/>
        <item x="458"/>
        <item x="40"/>
        <item x="300"/>
        <item x="434"/>
        <item x="248"/>
        <item x="415"/>
        <item x="10"/>
        <item x="340"/>
        <item x="13"/>
        <item x="132"/>
        <item x="176"/>
        <item x="436"/>
        <item x="149"/>
        <item x="378"/>
        <item x="182"/>
        <item x="146"/>
        <item x="344"/>
        <item x="390"/>
        <item x="347"/>
        <item x="277"/>
        <item x="257"/>
        <item x="309"/>
        <item x="68"/>
        <item x="451"/>
        <item x="402"/>
        <item x="35"/>
        <item x="220"/>
        <item x="430"/>
        <item x="197"/>
        <item x="371"/>
        <item x="259"/>
        <item x="0"/>
        <item x="154"/>
        <item x="58"/>
        <item x="242"/>
        <item x="240"/>
        <item x="238"/>
        <item x="285"/>
        <item x="298"/>
        <item x="140"/>
        <item x="83"/>
        <item x="411"/>
        <item x="396"/>
        <item x="37"/>
        <item x="70"/>
        <item x="32"/>
        <item x="410"/>
        <item x="317"/>
        <item x="361"/>
        <item x="368"/>
        <item x="225"/>
        <item x="334"/>
        <item x="431"/>
        <item x="23"/>
        <item x="389"/>
        <item x="408"/>
        <item x="101"/>
        <item x="45"/>
        <item x="8"/>
        <item x="43"/>
        <item x="163"/>
        <item x="93"/>
        <item x="65"/>
        <item x="104"/>
        <item x="422"/>
        <item x="105"/>
        <item x="122"/>
        <item x="158"/>
        <item x="304"/>
        <item x="156"/>
        <item x="391"/>
        <item x="274"/>
        <item x="264"/>
        <item x="445"/>
        <item x="413"/>
        <item x="269"/>
        <item x="301"/>
        <item x="120"/>
        <item x="374"/>
        <item x="459"/>
        <item x="244"/>
        <item x="136"/>
        <item x="75"/>
        <item x="359"/>
        <item x="409"/>
        <item x="25"/>
        <item x="160"/>
        <item x="27"/>
        <item x="289"/>
        <item x="448"/>
        <item x="106"/>
        <item x="223"/>
        <item x="20"/>
        <item x="291"/>
        <item x="425"/>
        <item x="316"/>
        <item x="328"/>
        <item x="444"/>
        <item x="327"/>
        <item x="148"/>
        <item x="296"/>
        <item x="466"/>
        <item x="450"/>
        <item x="418"/>
        <item x="33"/>
        <item x="452"/>
        <item x="178"/>
        <item x="103"/>
        <item x="333"/>
        <item x="250"/>
        <item x="213"/>
        <item x="346"/>
        <item x="393"/>
        <item x="150"/>
        <item x="39"/>
        <item x="74"/>
        <item x="427"/>
        <item x="181"/>
        <item x="215"/>
        <item x="356"/>
        <item x="326"/>
        <item x="100"/>
        <item x="191"/>
        <item x="233"/>
        <item x="168"/>
        <item x="201"/>
        <item x="142"/>
        <item x="193"/>
        <item x="463"/>
        <item x="400"/>
        <item x="171"/>
        <item x="1"/>
        <item x="90"/>
        <item x="288"/>
        <item x="268"/>
        <item x="49"/>
        <item x="435"/>
        <item x="46"/>
        <item x="200"/>
        <item x="348"/>
        <item x="41"/>
        <item x="61"/>
        <item x="224"/>
        <item x="401"/>
        <item x="48"/>
        <item x="153"/>
        <item x="297"/>
        <item x="388"/>
        <item x="117"/>
        <item x="299"/>
        <item x="386"/>
        <item x="337"/>
        <item x="219"/>
        <item x="131"/>
        <item x="55"/>
        <item x="350"/>
        <item x="71"/>
        <item x="77"/>
        <item x="456"/>
        <item x="127"/>
        <item x="99"/>
        <item x="364"/>
        <item x="26"/>
        <item x="111"/>
        <item x="404"/>
        <item x="16"/>
        <item x="134"/>
        <item x="129"/>
        <item x="352"/>
        <item x="6"/>
        <item x="30"/>
        <item x="461"/>
        <item x="312"/>
        <item x="260"/>
        <item x="11"/>
        <item x="107"/>
        <item x="329"/>
        <item x="267"/>
        <item x="195"/>
        <item x="173"/>
        <item x="190"/>
        <item x="96"/>
        <item x="51"/>
        <item x="313"/>
        <item x="449"/>
        <item x="188"/>
        <item x="446"/>
        <item x="124"/>
        <item x="54"/>
        <item x="169"/>
        <item x="237"/>
        <item x="471"/>
        <item x="331"/>
        <item x="341"/>
        <item x="330"/>
        <item x="125"/>
        <item x="397"/>
        <item x="266"/>
        <item x="398"/>
        <item x="247"/>
        <item x="12"/>
        <item x="3"/>
        <item x="98"/>
        <item x="254"/>
        <item x="339"/>
        <item x="303"/>
        <item x="308"/>
        <item x="29"/>
        <item x="265"/>
        <item x="249"/>
        <item x="437"/>
        <item x="81"/>
        <item x="372"/>
        <item x="231"/>
        <item x="272"/>
        <item x="358"/>
        <item x="53"/>
        <item x="221"/>
        <item x="465"/>
        <item x="164"/>
        <item x="69"/>
        <item x="416"/>
        <item x="57"/>
        <item x="87"/>
        <item x="143"/>
        <item x="399"/>
        <item x="453"/>
        <item x="384"/>
        <item x="429"/>
        <item x="80"/>
        <item x="60"/>
        <item x="280"/>
        <item x="217"/>
        <item x="19"/>
        <item x="407"/>
        <item x="375"/>
        <item x="270"/>
        <item x="323"/>
        <item x="9"/>
        <item x="110"/>
        <item x="338"/>
        <item x="56"/>
        <item x="42"/>
        <item x="455"/>
        <item x="362"/>
        <item x="88"/>
        <item x="230"/>
        <item x="22"/>
        <item x="320"/>
        <item x="227"/>
        <item x="342"/>
        <item x="263"/>
        <item x="36"/>
        <item x="310"/>
        <item x="114"/>
        <item x="243"/>
        <item x="462"/>
        <item x="205"/>
        <item x="113"/>
        <item x="216"/>
        <item x="467"/>
        <item x="442"/>
        <item x="194"/>
        <item x="18"/>
        <item x="31"/>
        <item x="192"/>
        <item x="218"/>
        <item x="121"/>
        <item x="373"/>
        <item x="92"/>
        <item x="315"/>
        <item x="94"/>
        <item x="84"/>
        <item x="151"/>
        <item x="426"/>
        <item x="423"/>
        <item x="405"/>
        <item x="210"/>
        <item x="379"/>
        <item x="253"/>
        <item x="345"/>
        <item x="314"/>
        <item x="232"/>
        <item x="59"/>
        <item x="324"/>
        <item x="17"/>
        <item x="167"/>
        <item x="447"/>
        <item x="325"/>
        <item x="202"/>
        <item x="343"/>
        <item x="282"/>
        <item x="139"/>
        <item x="14"/>
        <item x="395"/>
        <item t="default"/>
      </items>
    </pivotField>
    <pivotField compact="0" numFmtId="1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compact="0" showAll="0">
      <items count="4">
        <item m="1" x="2"/>
        <item x="0"/>
        <item x="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compact="0" showAll="0">
      <items count="41">
        <item x="7"/>
        <item x="36"/>
        <item x="38"/>
        <item x="6"/>
        <item x="9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4"/>
        <item x="28"/>
        <item x="1"/>
        <item x="30"/>
        <item x="24"/>
        <item x="8"/>
        <item x="23"/>
        <item x="14"/>
        <item x="27"/>
        <item x="5"/>
        <item x="35"/>
        <item x="26"/>
        <item t="default"/>
      </items>
    </pivotField>
    <pivotField compact="0" showAll="0">
      <items count="7">
        <item x="3"/>
        <item x="0"/>
        <item x="1"/>
        <item x="5"/>
        <item x="2"/>
        <item x="4"/>
        <item t="default"/>
      </items>
    </pivotField>
    <pivotField compact="0" showAll="0">
      <items count="7">
        <item x="4"/>
        <item x="3"/>
        <item x="2"/>
        <item x="5"/>
        <item x="1"/>
        <item x="0"/>
        <item t="default"/>
      </items>
    </pivotField>
    <pivotField compact="0" showAll="0">
      <items count="17">
        <item x="8"/>
        <item x="5"/>
        <item x="0"/>
        <item x="14"/>
        <item x="6"/>
        <item x="9"/>
        <item x="3"/>
        <item x="10"/>
        <item x="2"/>
        <item x="1"/>
        <item x="11"/>
        <item x="4"/>
        <item x="12"/>
        <item x="13"/>
        <item x="7"/>
        <item x="15"/>
        <item t="default"/>
      </items>
    </pivotField>
    <pivotField axis="axisRow"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showAll="0">
      <items count="631">
        <item x="139"/>
        <item x="621"/>
        <item x="333"/>
        <item x="415"/>
        <item x="340"/>
        <item x="394"/>
        <item x="441"/>
        <item x="293"/>
        <item x="491"/>
        <item x="587"/>
        <item x="207"/>
        <item x="14"/>
        <item x="478"/>
        <item x="58"/>
        <item x="261"/>
        <item x="59"/>
        <item x="325"/>
        <item x="103"/>
        <item x="170"/>
        <item x="70"/>
        <item x="497"/>
        <item x="416"/>
        <item x="312"/>
        <item x="319"/>
        <item x="489"/>
        <item x="332"/>
        <item x="355"/>
        <item x="516"/>
        <item x="185"/>
        <item x="545"/>
        <item x="221"/>
        <item x="259"/>
        <item x="450"/>
        <item x="521"/>
        <item x="576"/>
        <item x="270"/>
        <item x="22"/>
        <item x="158"/>
        <item x="131"/>
        <item x="154"/>
        <item x="290"/>
        <item x="76"/>
        <item x="113"/>
        <item x="569"/>
        <item x="187"/>
        <item x="618"/>
        <item x="588"/>
        <item x="227"/>
        <item x="552"/>
        <item x="551"/>
        <item x="97"/>
        <item x="460"/>
        <item x="214"/>
        <item x="352"/>
        <item x="299"/>
        <item x="57"/>
        <item x="288"/>
        <item x="50"/>
        <item x="147"/>
        <item x="437"/>
        <item x="346"/>
        <item x="180"/>
        <item x="358"/>
        <item x="142"/>
        <item x="493"/>
        <item x="557"/>
        <item x="465"/>
        <item x="604"/>
        <item x="360"/>
        <item x="592"/>
        <item x="10"/>
        <item x="277"/>
        <item x="18"/>
        <item x="338"/>
        <item x="541"/>
        <item x="292"/>
        <item x="454"/>
        <item x="25"/>
        <item x="209"/>
        <item x="93"/>
        <item x="66"/>
        <item x="77"/>
        <item x="554"/>
        <item x="536"/>
        <item x="306"/>
        <item x="182"/>
        <item x="408"/>
        <item x="109"/>
        <item x="75"/>
        <item x="169"/>
        <item x="513"/>
        <item x="471"/>
        <item x="579"/>
        <item x="607"/>
        <item x="624"/>
        <item x="34"/>
        <item x="172"/>
        <item x="627"/>
        <item x="401"/>
        <item x="126"/>
        <item x="391"/>
        <item x="124"/>
        <item x="484"/>
        <item x="523"/>
        <item x="377"/>
        <item x="24"/>
        <item x="87"/>
        <item x="82"/>
        <item x="324"/>
        <item x="510"/>
        <item x="367"/>
        <item x="458"/>
        <item x="12"/>
        <item x="136"/>
        <item x="9"/>
        <item x="294"/>
        <item x="157"/>
        <item x="464"/>
        <item x="210"/>
        <item x="315"/>
        <item x="467"/>
        <item x="85"/>
        <item x="161"/>
        <item x="260"/>
        <item x="348"/>
        <item x="256"/>
        <item x="573"/>
        <item x="220"/>
        <item x="617"/>
        <item x="594"/>
        <item x="326"/>
        <item x="74"/>
        <item x="171"/>
        <item x="589"/>
        <item x="490"/>
        <item x="518"/>
        <item x="463"/>
        <item x="78"/>
        <item x="519"/>
        <item x="564"/>
        <item x="44"/>
        <item x="127"/>
        <item x="125"/>
        <item x="110"/>
        <item x="568"/>
        <item x="504"/>
        <item x="459"/>
        <item x="451"/>
        <item x="397"/>
        <item x="30"/>
        <item x="230"/>
        <item x="61"/>
        <item x="365"/>
        <item x="222"/>
        <item x="206"/>
        <item x="69"/>
        <item x="250"/>
        <item x="36"/>
        <item x="60"/>
        <item x="105"/>
        <item x="511"/>
        <item x="101"/>
        <item x="86"/>
        <item x="234"/>
        <item x="0"/>
        <item x="37"/>
        <item x="393"/>
        <item x="436"/>
        <item x="403"/>
        <item x="289"/>
        <item x="476"/>
        <item x="237"/>
        <item x="585"/>
        <item x="177"/>
        <item x="300"/>
        <item x="267"/>
        <item x="559"/>
        <item x="323"/>
        <item x="475"/>
        <item x="477"/>
        <item x="533"/>
        <item x="166"/>
        <item x="145"/>
        <item x="295"/>
        <item x="15"/>
        <item x="527"/>
        <item x="445"/>
        <item x="582"/>
        <item x="539"/>
        <item x="349"/>
        <item x="119"/>
        <item x="279"/>
        <item x="246"/>
        <item x="384"/>
        <item x="239"/>
        <item x="370"/>
        <item x="629"/>
        <item x="481"/>
        <item x="146"/>
        <item x="19"/>
        <item x="64"/>
        <item x="264"/>
        <item x="507"/>
        <item x="571"/>
        <item x="345"/>
        <item x="99"/>
        <item x="53"/>
        <item x="362"/>
        <item x="514"/>
        <item x="581"/>
        <item x="71"/>
        <item x="309"/>
        <item x="304"/>
        <item x="542"/>
        <item x="242"/>
        <item x="457"/>
        <item x="603"/>
        <item x="23"/>
        <item x="255"/>
        <item x="508"/>
        <item x="104"/>
        <item x="190"/>
        <item x="563"/>
        <item x="387"/>
        <item x="251"/>
        <item x="151"/>
        <item x="520"/>
        <item x="593"/>
        <item x="368"/>
        <item x="56"/>
        <item x="409"/>
        <item x="275"/>
        <item x="173"/>
        <item x="102"/>
        <item x="388"/>
        <item x="534"/>
        <item x="565"/>
        <item x="425"/>
        <item x="52"/>
        <item x="192"/>
        <item x="407"/>
        <item x="117"/>
        <item x="396"/>
        <item x="424"/>
        <item x="72"/>
        <item x="5"/>
        <item x="598"/>
        <item x="430"/>
        <item x="421"/>
        <item x="283"/>
        <item x="329"/>
        <item x="386"/>
        <item x="111"/>
        <item x="224"/>
        <item x="132"/>
        <item x="20"/>
        <item x="402"/>
        <item x="284"/>
        <item x="33"/>
        <item x="339"/>
        <item x="566"/>
        <item x="314"/>
        <item x="271"/>
        <item x="591"/>
        <item x="216"/>
        <item x="186"/>
        <item x="205"/>
        <item x="96"/>
        <item x="404"/>
        <item x="167"/>
        <item x="140"/>
        <item x="68"/>
        <item x="472"/>
        <item x="509"/>
        <item x="217"/>
        <item x="115"/>
        <item x="247"/>
        <item x="597"/>
        <item x="89"/>
        <item x="328"/>
        <item x="249"/>
        <item x="135"/>
        <item x="273"/>
        <item x="427"/>
        <item x="83"/>
        <item x="398"/>
        <item x="121"/>
        <item x="625"/>
        <item x="418"/>
        <item x="615"/>
        <item x="189"/>
        <item x="351"/>
        <item x="549"/>
        <item x="297"/>
        <item x="51"/>
        <item x="252"/>
        <item x="372"/>
        <item x="432"/>
        <item x="499"/>
        <item x="55"/>
        <item x="204"/>
        <item x="456"/>
        <item x="130"/>
        <item x="63"/>
        <item x="233"/>
        <item x="178"/>
        <item x="305"/>
        <item x="447"/>
        <item x="280"/>
        <item x="298"/>
        <item x="183"/>
        <item x="363"/>
        <item x="389"/>
        <item x="561"/>
        <item x="572"/>
        <item x="522"/>
        <item x="547"/>
        <item x="310"/>
        <item x="195"/>
        <item x="165"/>
        <item x="67"/>
        <item x="453"/>
        <item x="8"/>
        <item x="175"/>
        <item x="556"/>
        <item x="446"/>
        <item x="580"/>
        <item x="191"/>
        <item x="168"/>
        <item x="383"/>
        <item x="258"/>
        <item x="211"/>
        <item x="188"/>
        <item x="79"/>
        <item x="610"/>
        <item x="544"/>
        <item x="6"/>
        <item x="272"/>
        <item x="540"/>
        <item x="431"/>
        <item x="184"/>
        <item x="494"/>
        <item x="254"/>
        <item x="88"/>
        <item x="118"/>
        <item x="531"/>
        <item x="163"/>
        <item x="498"/>
        <item x="318"/>
        <item x="395"/>
        <item x="266"/>
        <item x="160"/>
        <item x="40"/>
        <item x="496"/>
        <item x="311"/>
        <item x="495"/>
        <item x="590"/>
        <item x="380"/>
        <item x="41"/>
        <item x="223"/>
        <item x="226"/>
        <item x="302"/>
        <item x="98"/>
        <item x="341"/>
        <item x="73"/>
        <item x="479"/>
        <item x="90"/>
        <item x="45"/>
        <item x="47"/>
        <item x="144"/>
        <item x="257"/>
        <item x="623"/>
        <item x="438"/>
        <item x="562"/>
        <item x="248"/>
        <item x="483"/>
        <item x="577"/>
        <item x="114"/>
        <item x="21"/>
        <item x="399"/>
        <item x="198"/>
        <item x="376"/>
        <item x="575"/>
        <item x="506"/>
        <item x="307"/>
        <item x="574"/>
        <item x="382"/>
        <item x="357"/>
        <item x="317"/>
        <item x="129"/>
        <item x="517"/>
        <item x="112"/>
        <item x="548"/>
        <item x="321"/>
        <item x="620"/>
        <item x="622"/>
        <item x="80"/>
        <item x="322"/>
        <item x="543"/>
        <item x="48"/>
        <item x="462"/>
        <item x="612"/>
        <item x="379"/>
        <item x="276"/>
        <item x="194"/>
        <item x="611"/>
        <item x="466"/>
        <item x="203"/>
        <item x="600"/>
        <item x="503"/>
        <item x="120"/>
        <item x="108"/>
        <item x="535"/>
        <item x="413"/>
        <item x="84"/>
        <item x="550"/>
        <item x="215"/>
        <item x="378"/>
        <item x="155"/>
        <item x="32"/>
        <item x="433"/>
        <item x="502"/>
        <item x="281"/>
        <item x="123"/>
        <item x="619"/>
        <item x="156"/>
        <item x="538"/>
        <item x="614"/>
        <item x="353"/>
        <item x="331"/>
        <item x="262"/>
        <item x="567"/>
        <item x="529"/>
        <item x="344"/>
        <item x="2"/>
        <item x="29"/>
        <item x="435"/>
        <item x="287"/>
        <item x="54"/>
        <item x="420"/>
        <item x="17"/>
        <item x="282"/>
        <item x="347"/>
        <item x="213"/>
        <item x="343"/>
        <item x="28"/>
        <item x="560"/>
        <item x="512"/>
        <item x="202"/>
        <item x="371"/>
        <item x="327"/>
        <item x="107"/>
        <item x="448"/>
        <item x="238"/>
        <item x="482"/>
        <item x="231"/>
        <item x="422"/>
        <item x="133"/>
        <item x="530"/>
        <item x="268"/>
        <item x="426"/>
        <item x="200"/>
        <item x="392"/>
        <item x="91"/>
        <item x="241"/>
        <item x="286"/>
        <item x="263"/>
        <item x="334"/>
        <item x="412"/>
        <item x="440"/>
        <item x="128"/>
        <item x="570"/>
        <item x="3"/>
        <item x="583"/>
        <item x="149"/>
        <item x="65"/>
        <item x="626"/>
        <item x="245"/>
        <item x="31"/>
        <item x="375"/>
        <item x="197"/>
        <item x="303"/>
        <item x="584"/>
        <item x="361"/>
        <item x="162"/>
        <item x="452"/>
        <item x="428"/>
        <item x="406"/>
        <item x="485"/>
        <item x="553"/>
        <item x="316"/>
        <item x="330"/>
        <item x="488"/>
        <item x="455"/>
        <item x="285"/>
        <item x="278"/>
        <item x="27"/>
        <item x="366"/>
        <item x="94"/>
        <item x="11"/>
        <item x="244"/>
        <item x="225"/>
        <item x="605"/>
        <item x="181"/>
        <item x="578"/>
        <item x="336"/>
        <item x="492"/>
        <item x="122"/>
        <item x="374"/>
        <item x="137"/>
        <item x="141"/>
        <item x="532"/>
        <item x="62"/>
        <item x="100"/>
        <item x="419"/>
        <item x="411"/>
        <item x="505"/>
        <item x="236"/>
        <item x="434"/>
        <item x="106"/>
        <item x="500"/>
        <item x="628"/>
        <item x="159"/>
        <item x="320"/>
        <item x="473"/>
        <item x="586"/>
        <item x="196"/>
        <item x="501"/>
        <item x="335"/>
        <item x="232"/>
        <item x="390"/>
        <item x="474"/>
        <item x="265"/>
        <item x="486"/>
        <item x="49"/>
        <item x="526"/>
        <item x="537"/>
        <item x="410"/>
        <item x="515"/>
        <item x="525"/>
        <item x="439"/>
        <item x="228"/>
        <item x="313"/>
        <item x="449"/>
        <item x="555"/>
        <item x="429"/>
        <item x="46"/>
        <item x="524"/>
        <item x="219"/>
        <item x="253"/>
        <item x="308"/>
        <item x="212"/>
        <item x="42"/>
        <item x="468"/>
        <item x="364"/>
        <item x="369"/>
        <item x="174"/>
        <item x="480"/>
        <item x="164"/>
        <item x="26"/>
        <item x="148"/>
        <item x="143"/>
        <item x="35"/>
        <item x="528"/>
        <item x="595"/>
        <item x="134"/>
        <item x="442"/>
        <item x="342"/>
        <item x="609"/>
        <item x="138"/>
        <item x="193"/>
        <item x="240"/>
        <item x="602"/>
        <item x="176"/>
        <item x="613"/>
        <item x="337"/>
        <item x="243"/>
        <item x="606"/>
        <item x="400"/>
        <item x="218"/>
        <item x="616"/>
        <item x="487"/>
        <item x="417"/>
        <item x="381"/>
        <item x="208"/>
        <item x="601"/>
        <item x="150"/>
        <item x="7"/>
        <item x="423"/>
        <item x="116"/>
        <item x="92"/>
        <item x="301"/>
        <item x="39"/>
        <item x="558"/>
        <item x="359"/>
        <item x="269"/>
        <item x="16"/>
        <item x="461"/>
        <item x="199"/>
        <item x="229"/>
        <item x="470"/>
        <item x="153"/>
        <item x="38"/>
        <item x="350"/>
        <item x="235"/>
        <item x="296"/>
        <item x="444"/>
        <item x="4"/>
        <item x="179"/>
        <item x="152"/>
        <item x="13"/>
        <item x="201"/>
        <item x="373"/>
        <item x="274"/>
        <item x="291"/>
        <item x="385"/>
        <item x="95"/>
        <item x="608"/>
        <item x="1"/>
        <item x="405"/>
        <item x="469"/>
        <item x="356"/>
        <item x="443"/>
        <item x="546"/>
        <item x="81"/>
        <item x="43"/>
        <item x="599"/>
        <item x="596"/>
        <item x="354"/>
        <item x="414"/>
        <item t="default"/>
      </items>
    </pivotField>
    <pivotField compact="0" numFmtId="44" showAll="0">
      <items count="633">
        <item x="493"/>
        <item x="112"/>
        <item x="180"/>
        <item x="298"/>
        <item x="172"/>
        <item x="286"/>
        <item x="106"/>
        <item x="247"/>
        <item x="389"/>
        <item x="83"/>
        <item x="572"/>
        <item x="96"/>
        <item x="7"/>
        <item x="341"/>
        <item x="177"/>
        <item x="461"/>
        <item x="127"/>
        <item x="582"/>
        <item x="481"/>
        <item x="54"/>
        <item x="311"/>
        <item x="631"/>
        <item x="230"/>
        <item x="354"/>
        <item x="89"/>
        <item x="119"/>
        <item x="532"/>
        <item x="586"/>
        <item x="245"/>
        <item x="139"/>
        <item x="517"/>
        <item x="291"/>
        <item x="243"/>
        <item x="51"/>
        <item x="116"/>
        <item x="347"/>
        <item x="323"/>
        <item x="418"/>
        <item x="575"/>
        <item x="108"/>
        <item x="551"/>
        <item x="305"/>
        <item x="443"/>
        <item x="211"/>
        <item x="526"/>
        <item x="282"/>
        <item x="263"/>
        <item x="330"/>
        <item x="344"/>
        <item x="103"/>
        <item x="609"/>
        <item x="488"/>
        <item x="463"/>
        <item x="531"/>
        <item x="26"/>
        <item x="308"/>
        <item x="436"/>
        <item x="163"/>
        <item x="206"/>
        <item x="570"/>
        <item x="460"/>
        <item x="113"/>
        <item x="608"/>
        <item x="221"/>
        <item x="217"/>
        <item x="318"/>
        <item x="128"/>
        <item x="239"/>
        <item x="579"/>
        <item x="599"/>
        <item x="621"/>
        <item x="82"/>
        <item x="458"/>
        <item x="577"/>
        <item x="124"/>
        <item x="35"/>
        <item x="174"/>
        <item x="434"/>
        <item x="490"/>
        <item x="447"/>
        <item x="233"/>
        <item x="232"/>
        <item x="53"/>
        <item x="28"/>
        <item x="293"/>
        <item x="476"/>
        <item x="178"/>
        <item x="511"/>
        <item x="627"/>
        <item x="508"/>
        <item x="391"/>
        <item x="215"/>
        <item x="304"/>
        <item x="270"/>
        <item x="222"/>
        <item x="466"/>
        <item x="445"/>
        <item x="296"/>
        <item x="194"/>
        <item x="620"/>
        <item x="369"/>
        <item x="485"/>
        <item x="3"/>
        <item x="71"/>
        <item x="464"/>
        <item x="145"/>
        <item x="0"/>
        <item x="274"/>
        <item x="486"/>
        <item x="373"/>
        <item x="316"/>
        <item x="109"/>
        <item x="491"/>
        <item x="597"/>
        <item x="160"/>
        <item x="137"/>
        <item x="133"/>
        <item x="350"/>
        <item x="456"/>
        <item x="326"/>
        <item x="101"/>
        <item x="39"/>
        <item x="258"/>
        <item x="5"/>
        <item x="254"/>
        <item x="594"/>
        <item x="386"/>
        <item x="428"/>
        <item x="271"/>
        <item x="519"/>
        <item x="166"/>
        <item x="12"/>
        <item x="297"/>
        <item x="46"/>
        <item x="118"/>
        <item x="169"/>
        <item x="57"/>
        <item x="483"/>
        <item x="439"/>
        <item x="179"/>
        <item x="495"/>
        <item x="114"/>
        <item x="78"/>
        <item x="148"/>
        <item x="380"/>
        <item x="315"/>
        <item x="441"/>
        <item x="307"/>
        <item x="328"/>
        <item x="432"/>
        <item x="277"/>
        <item x="240"/>
        <item x="219"/>
        <item x="214"/>
        <item x="580"/>
        <item x="616"/>
        <item x="218"/>
        <item x="231"/>
        <item x="505"/>
        <item x="453"/>
        <item x="525"/>
        <item x="309"/>
        <item x="321"/>
        <item x="604"/>
        <item x="93"/>
        <item x="129"/>
        <item x="130"/>
        <item x="602"/>
        <item x="331"/>
        <item x="470"/>
        <item x="378"/>
        <item x="155"/>
        <item x="546"/>
        <item x="573"/>
        <item x="561"/>
        <item x="191"/>
        <item x="544"/>
        <item x="250"/>
        <item x="494"/>
        <item x="410"/>
        <item x="312"/>
        <item x="477"/>
        <item x="500"/>
        <item x="408"/>
        <item x="536"/>
        <item x="334"/>
        <item x="251"/>
        <item x="43"/>
        <item x="433"/>
        <item x="540"/>
        <item x="370"/>
        <item x="201"/>
        <item x="68"/>
        <item x="30"/>
        <item x="64"/>
        <item x="403"/>
        <item x="141"/>
        <item x="419"/>
        <item x="338"/>
        <item x="498"/>
        <item x="523"/>
        <item x="197"/>
        <item x="257"/>
        <item x="290"/>
        <item x="88"/>
        <item x="565"/>
        <item x="268"/>
        <item x="91"/>
        <item x="52"/>
        <item x="361"/>
        <item x="98"/>
        <item x="110"/>
        <item x="479"/>
        <item x="285"/>
        <item x="131"/>
        <item x="444"/>
        <item x="144"/>
        <item x="262"/>
        <item x="6"/>
        <item x="564"/>
        <item x="220"/>
        <item x="202"/>
        <item x="299"/>
        <item x="186"/>
        <item x="314"/>
        <item x="430"/>
        <item x="87"/>
        <item x="62"/>
        <item x="474"/>
        <item x="364"/>
        <item x="437"/>
        <item x="538"/>
        <item x="417"/>
        <item x="623"/>
        <item x="339"/>
        <item x="510"/>
        <item x="283"/>
        <item x="337"/>
        <item x="446"/>
        <item x="515"/>
        <item x="584"/>
        <item x="13"/>
        <item x="10"/>
        <item x="33"/>
        <item x="336"/>
        <item x="472"/>
        <item x="252"/>
        <item x="516"/>
        <item x="301"/>
        <item x="395"/>
        <item x="325"/>
        <item x="156"/>
        <item x="355"/>
        <item x="499"/>
        <item x="340"/>
        <item x="4"/>
        <item x="469"/>
        <item x="411"/>
        <item x="591"/>
        <item x="359"/>
        <item x="255"/>
        <item x="571"/>
        <item x="563"/>
        <item x="67"/>
        <item x="44"/>
        <item x="533"/>
        <item x="147"/>
        <item x="605"/>
        <item x="475"/>
        <item x="90"/>
        <item x="412"/>
        <item x="576"/>
        <item x="238"/>
        <item x="134"/>
        <item x="549"/>
        <item x="558"/>
        <item x="36"/>
        <item x="457"/>
        <item x="611"/>
        <item x="259"/>
        <item x="73"/>
        <item x="585"/>
        <item x="269"/>
        <item x="372"/>
        <item x="617"/>
        <item x="535"/>
        <item x="553"/>
        <item x="22"/>
        <item x="185"/>
        <item x="462"/>
        <item x="568"/>
        <item x="522"/>
        <item x="578"/>
        <item x="595"/>
        <item x="29"/>
        <item x="15"/>
        <item x="37"/>
        <item x="150"/>
        <item x="182"/>
        <item x="358"/>
        <item x="502"/>
        <item x="435"/>
        <item x="14"/>
        <item x="598"/>
        <item x="471"/>
        <item x="294"/>
        <item x="590"/>
        <item x="183"/>
        <item x="192"/>
        <item x="288"/>
        <item x="253"/>
        <item x="120"/>
        <item x="170"/>
        <item x="560"/>
        <item x="248"/>
        <item x="92"/>
        <item x="513"/>
        <item x="342"/>
        <item x="628"/>
        <item x="630"/>
        <item x="161"/>
        <item x="454"/>
        <item x="158"/>
        <item x="619"/>
        <item x="143"/>
        <item x="75"/>
        <item x="45"/>
        <item x="200"/>
        <item x="381"/>
        <item x="362"/>
        <item x="473"/>
        <item x="379"/>
        <item x="313"/>
        <item x="171"/>
        <item x="401"/>
        <item x="416"/>
        <item x="55"/>
        <item x="574"/>
        <item x="27"/>
        <item x="559"/>
        <item x="48"/>
        <item x="581"/>
        <item x="438"/>
        <item x="102"/>
        <item x="300"/>
        <item x="38"/>
        <item x="154"/>
        <item x="451"/>
        <item x="319"/>
        <item x="351"/>
        <item x="548"/>
        <item x="69"/>
        <item x="557"/>
        <item x="203"/>
        <item x="16"/>
        <item x="146"/>
        <item x="303"/>
        <item x="327"/>
        <item x="449"/>
        <item x="492"/>
        <item x="157"/>
        <item x="452"/>
        <item x="509"/>
        <item x="168"/>
        <item x="11"/>
        <item x="70"/>
        <item x="74"/>
        <item x="241"/>
        <item x="164"/>
        <item x="153"/>
        <item x="618"/>
        <item x="518"/>
        <item x="506"/>
        <item x="348"/>
        <item x="228"/>
        <item x="367"/>
        <item x="429"/>
        <item x="530"/>
        <item x="132"/>
        <item x="384"/>
        <item x="612"/>
        <item x="176"/>
        <item x="543"/>
        <item x="450"/>
        <item x="24"/>
        <item x="125"/>
        <item x="360"/>
        <item x="279"/>
        <item x="352"/>
        <item x="404"/>
        <item x="440"/>
        <item x="349"/>
        <item x="600"/>
        <item x="193"/>
        <item x="346"/>
        <item x="320"/>
        <item x="375"/>
        <item x="190"/>
        <item x="504"/>
        <item x="151"/>
        <item x="487"/>
        <item x="94"/>
        <item x="324"/>
        <item x="244"/>
        <item x="19"/>
        <item x="592"/>
        <item x="204"/>
        <item x="317"/>
        <item x="284"/>
        <item x="388"/>
        <item x="402"/>
        <item x="624"/>
        <item x="184"/>
        <item x="162"/>
        <item x="40"/>
        <item x="229"/>
        <item x="272"/>
        <item x="589"/>
        <item x="363"/>
        <item x="207"/>
        <item x="425"/>
        <item x="550"/>
        <item x="478"/>
        <item x="365"/>
        <item x="59"/>
        <item x="524"/>
        <item x="520"/>
        <item x="126"/>
        <item x="287"/>
        <item x="18"/>
        <item x="629"/>
        <item x="189"/>
        <item x="225"/>
        <item x="66"/>
        <item x="332"/>
        <item x="273"/>
        <item x="527"/>
        <item x="1"/>
        <item x="95"/>
        <item x="216"/>
        <item x="135"/>
        <item x="224"/>
        <item x="210"/>
        <item x="280"/>
        <item x="152"/>
        <item x="610"/>
        <item x="420"/>
        <item x="281"/>
        <item x="266"/>
        <item x="77"/>
        <item x="377"/>
        <item x="400"/>
        <item x="260"/>
        <item x="79"/>
        <item x="405"/>
        <item x="392"/>
        <item x="181"/>
        <item x="503"/>
        <item x="497"/>
        <item x="596"/>
        <item x="393"/>
        <item x="107"/>
        <item x="539"/>
        <item x="382"/>
        <item x="292"/>
        <item x="198"/>
        <item x="603"/>
        <item x="383"/>
        <item x="455"/>
        <item x="534"/>
        <item x="427"/>
        <item x="56"/>
        <item x="105"/>
        <item x="385"/>
        <item x="554"/>
        <item x="387"/>
        <item x="212"/>
        <item x="567"/>
        <item x="552"/>
        <item x="468"/>
        <item x="278"/>
        <item x="399"/>
        <item x="60"/>
        <item x="357"/>
        <item x="205"/>
        <item x="81"/>
        <item x="333"/>
        <item x="85"/>
        <item x="111"/>
        <item x="555"/>
        <item x="562"/>
        <item x="413"/>
        <item x="223"/>
        <item x="99"/>
        <item x="431"/>
        <item x="397"/>
        <item x="356"/>
        <item x="138"/>
        <item x="209"/>
        <item x="421"/>
        <item x="448"/>
        <item x="41"/>
        <item x="265"/>
        <item x="528"/>
        <item x="606"/>
        <item x="249"/>
        <item x="371"/>
        <item x="480"/>
        <item x="159"/>
        <item x="58"/>
        <item x="17"/>
        <item x="242"/>
        <item x="97"/>
        <item x="376"/>
        <item x="343"/>
        <item x="501"/>
        <item x="587"/>
        <item x="353"/>
        <item x="566"/>
        <item x="63"/>
        <item x="165"/>
        <item x="235"/>
        <item x="227"/>
        <item x="31"/>
        <item x="208"/>
        <item x="593"/>
        <item x="100"/>
        <item x="414"/>
        <item x="541"/>
        <item x="142"/>
        <item x="187"/>
        <item x="173"/>
        <item x="459"/>
        <item x="302"/>
        <item x="267"/>
        <item x="426"/>
        <item x="289"/>
        <item x="23"/>
        <item x="368"/>
        <item x="521"/>
        <item x="482"/>
        <item x="415"/>
        <item x="335"/>
        <item x="537"/>
        <item x="496"/>
        <item x="366"/>
        <item x="8"/>
        <item x="394"/>
        <item x="149"/>
        <item x="121"/>
        <item x="547"/>
        <item x="322"/>
        <item x="65"/>
        <item x="49"/>
        <item x="545"/>
        <item x="484"/>
        <item x="234"/>
        <item x="398"/>
        <item x="422"/>
        <item x="615"/>
        <item x="199"/>
        <item x="613"/>
        <item x="21"/>
        <item x="9"/>
        <item x="507"/>
        <item x="188"/>
        <item x="465"/>
        <item x="601"/>
        <item x="276"/>
        <item x="236"/>
        <item x="622"/>
        <item x="626"/>
        <item x="625"/>
        <item x="246"/>
        <item x="226"/>
        <item x="406"/>
        <item x="442"/>
        <item x="295"/>
        <item x="123"/>
        <item x="237"/>
        <item x="86"/>
        <item x="588"/>
        <item x="583"/>
        <item x="542"/>
        <item x="329"/>
        <item x="72"/>
        <item x="195"/>
        <item x="512"/>
        <item x="117"/>
        <item x="76"/>
        <item x="122"/>
        <item x="42"/>
        <item x="396"/>
        <item x="529"/>
        <item x="310"/>
        <item x="104"/>
        <item x="196"/>
        <item x="569"/>
        <item x="467"/>
        <item x="80"/>
        <item x="275"/>
        <item x="136"/>
        <item x="175"/>
        <item x="409"/>
        <item x="614"/>
        <item x="47"/>
        <item x="84"/>
        <item x="514"/>
        <item x="34"/>
        <item x="407"/>
        <item x="556"/>
        <item x="213"/>
        <item x="306"/>
        <item x="50"/>
        <item x="264"/>
        <item x="2"/>
        <item x="32"/>
        <item x="140"/>
        <item x="607"/>
        <item x="489"/>
        <item x="61"/>
        <item x="256"/>
        <item x="261"/>
        <item x="115"/>
        <item x="424"/>
        <item x="167"/>
        <item x="374"/>
        <item x="390"/>
        <item x="423"/>
        <item x="25"/>
        <item x="20"/>
        <item x="345"/>
        <item t="default"/>
      </items>
    </pivotField>
    <pivotField compact="0" numFmtId="44" showAll="0">
      <items count="631">
        <item x="615"/>
        <item x="2"/>
        <item x="58"/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numFmtId="44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axis="axisCol" dataField="1" compact="0" showAll="0">
      <items count="4">
        <item x="2"/>
        <item x="0"/>
        <item x="1"/>
        <item t="default"/>
      </items>
    </pivotField>
    <pivotField compact="0" numFmtId="184" showAll="0">
      <items count="229">
        <item x="5"/>
        <item x="140"/>
        <item x="10"/>
        <item x="20"/>
        <item x="99"/>
        <item x="19"/>
        <item x="84"/>
        <item x="170"/>
        <item x="212"/>
        <item x="108"/>
        <item x="205"/>
        <item x="113"/>
        <item x="106"/>
        <item x="118"/>
        <item x="109"/>
        <item x="179"/>
        <item x="134"/>
        <item x="71"/>
        <item x="8"/>
        <item x="195"/>
        <item x="76"/>
        <item x="42"/>
        <item x="32"/>
        <item x="16"/>
        <item x="188"/>
        <item x="208"/>
        <item x="174"/>
        <item x="89"/>
        <item x="221"/>
        <item x="107"/>
        <item x="215"/>
        <item x="58"/>
        <item x="216"/>
        <item x="54"/>
        <item x="130"/>
        <item x="114"/>
        <item x="223"/>
        <item x="133"/>
        <item x="121"/>
        <item x="92"/>
        <item x="193"/>
        <item x="163"/>
        <item x="227"/>
        <item x="96"/>
        <item x="201"/>
        <item x="176"/>
        <item x="72"/>
        <item x="143"/>
        <item x="55"/>
        <item x="90"/>
        <item x="68"/>
        <item x="88"/>
        <item x="3"/>
        <item x="93"/>
        <item x="13"/>
        <item x="43"/>
        <item x="171"/>
        <item x="202"/>
        <item x="117"/>
        <item x="164"/>
        <item x="226"/>
        <item x="104"/>
        <item x="200"/>
        <item x="26"/>
        <item x="147"/>
        <item x="24"/>
        <item x="167"/>
        <item x="25"/>
        <item x="168"/>
        <item x="119"/>
        <item x="77"/>
        <item x="142"/>
        <item x="12"/>
        <item x="148"/>
        <item x="73"/>
        <item x="224"/>
        <item x="199"/>
        <item x="74"/>
        <item x="165"/>
        <item x="27"/>
        <item x="4"/>
        <item x="172"/>
        <item x="67"/>
        <item x="52"/>
        <item x="192"/>
        <item x="105"/>
        <item x="86"/>
        <item x="14"/>
        <item x="46"/>
        <item x="95"/>
        <item x="0"/>
        <item x="139"/>
        <item x="60"/>
        <item x="158"/>
        <item x="144"/>
        <item x="85"/>
        <item x="45"/>
        <item x="18"/>
        <item x="173"/>
        <item x="153"/>
        <item x="82"/>
        <item x="213"/>
        <item x="22"/>
        <item x="38"/>
        <item x="110"/>
        <item x="137"/>
        <item x="31"/>
        <item x="49"/>
        <item x="2"/>
        <item x="191"/>
        <item x="112"/>
        <item x="61"/>
        <item x="157"/>
        <item x="29"/>
        <item x="81"/>
        <item x="159"/>
        <item x="23"/>
        <item x="78"/>
        <item x="169"/>
        <item x="56"/>
        <item x="17"/>
        <item x="41"/>
        <item x="180"/>
        <item x="34"/>
        <item x="6"/>
        <item x="135"/>
        <item x="9"/>
        <item x="209"/>
        <item x="102"/>
        <item x="136"/>
        <item x="125"/>
        <item x="69"/>
        <item x="131"/>
        <item x="161"/>
        <item x="87"/>
        <item x="181"/>
        <item x="129"/>
        <item x="75"/>
        <item x="64"/>
        <item x="196"/>
        <item x="156"/>
        <item x="211"/>
        <item x="150"/>
        <item x="21"/>
        <item x="36"/>
        <item x="189"/>
        <item x="225"/>
        <item x="145"/>
        <item x="122"/>
        <item x="155"/>
        <item x="30"/>
        <item x="166"/>
        <item x="120"/>
        <item x="94"/>
        <item x="79"/>
        <item x="111"/>
        <item x="35"/>
        <item x="15"/>
        <item x="50"/>
        <item x="57"/>
        <item x="63"/>
        <item x="37"/>
        <item x="70"/>
        <item x="51"/>
        <item x="197"/>
        <item x="98"/>
        <item x="7"/>
        <item x="124"/>
        <item x="115"/>
        <item x="47"/>
        <item x="138"/>
        <item x="91"/>
        <item x="53"/>
        <item x="44"/>
        <item x="162"/>
        <item x="222"/>
        <item x="219"/>
        <item x="182"/>
        <item x="126"/>
        <item x="123"/>
        <item x="207"/>
        <item x="66"/>
        <item x="154"/>
        <item x="203"/>
        <item x="218"/>
        <item x="97"/>
        <item x="217"/>
        <item x="152"/>
        <item x="204"/>
        <item x="83"/>
        <item x="214"/>
        <item x="127"/>
        <item x="146"/>
        <item x="128"/>
        <item x="1"/>
        <item x="149"/>
        <item x="177"/>
        <item x="183"/>
        <item x="65"/>
        <item x="28"/>
        <item x="103"/>
        <item x="220"/>
        <item x="11"/>
        <item x="116"/>
        <item x="48"/>
        <item x="194"/>
        <item x="62"/>
        <item x="132"/>
        <item x="101"/>
        <item x="187"/>
        <item x="151"/>
        <item x="100"/>
        <item x="141"/>
        <item x="178"/>
        <item x="190"/>
        <item x="80"/>
        <item x="186"/>
        <item x="39"/>
        <item x="210"/>
        <item x="40"/>
        <item x="184"/>
        <item x="206"/>
        <item x="160"/>
        <item x="33"/>
        <item x="59"/>
        <item x="175"/>
        <item x="198"/>
        <item x="18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04">
        <item x="5"/>
        <item x="130"/>
        <item x="10"/>
        <item x="20"/>
        <item x="93"/>
        <item x="19"/>
        <item x="78"/>
        <item x="157"/>
        <item x="188"/>
        <item x="100"/>
        <item x="183"/>
        <item x="105"/>
        <item x="98"/>
        <item x="109"/>
        <item x="101"/>
        <item x="164"/>
        <item x="124"/>
        <item x="66"/>
        <item x="8"/>
        <item x="174"/>
        <item x="71"/>
        <item x="40"/>
        <item x="32"/>
        <item x="16"/>
        <item x="169"/>
        <item x="185"/>
        <item x="161"/>
        <item x="83"/>
        <item x="196"/>
        <item x="99"/>
        <item x="190"/>
        <item x="55"/>
        <item x="191"/>
        <item x="51"/>
        <item x="121"/>
        <item x="106"/>
        <item x="198"/>
        <item x="123"/>
        <item x="112"/>
        <item x="86"/>
        <item x="173"/>
        <item x="150"/>
        <item x="202"/>
        <item x="90"/>
        <item x="179"/>
        <item x="162"/>
        <item x="67"/>
        <item x="132"/>
        <item x="52"/>
        <item x="84"/>
        <item x="63"/>
        <item x="82"/>
        <item x="3"/>
        <item x="87"/>
        <item x="13"/>
        <item x="41"/>
        <item x="158"/>
        <item x="180"/>
        <item x="108"/>
        <item x="151"/>
        <item x="201"/>
        <item x="96"/>
        <item x="178"/>
        <item x="26"/>
        <item x="136"/>
        <item x="24"/>
        <item x="154"/>
        <item x="25"/>
        <item x="155"/>
        <item x="110"/>
        <item x="72"/>
        <item x="131"/>
        <item x="12"/>
        <item x="137"/>
        <item x="68"/>
        <item x="199"/>
        <item x="177"/>
        <item x="69"/>
        <item x="152"/>
        <item x="27"/>
        <item x="4"/>
        <item x="159"/>
        <item x="62"/>
        <item x="49"/>
        <item x="172"/>
        <item x="97"/>
        <item x="80"/>
        <item x="14"/>
        <item x="44"/>
        <item x="89"/>
        <item x="0"/>
        <item x="129"/>
        <item x="56"/>
        <item x="146"/>
        <item x="133"/>
        <item x="79"/>
        <item x="43"/>
        <item x="18"/>
        <item x="160"/>
        <item x="141"/>
        <item x="76"/>
        <item x="189"/>
        <item x="22"/>
        <item x="38"/>
        <item x="102"/>
        <item x="127"/>
        <item x="31"/>
        <item x="46"/>
        <item x="2"/>
        <item x="171"/>
        <item x="104"/>
        <item x="57"/>
        <item x="145"/>
        <item x="29"/>
        <item x="75"/>
        <item x="147"/>
        <item x="23"/>
        <item x="73"/>
        <item x="156"/>
        <item x="53"/>
        <item x="17"/>
        <item x="39"/>
        <item x="165"/>
        <item x="34"/>
        <item x="6"/>
        <item x="125"/>
        <item x="9"/>
        <item x="186"/>
        <item x="94"/>
        <item x="126"/>
        <item x="116"/>
        <item x="64"/>
        <item x="122"/>
        <item x="148"/>
        <item x="81"/>
        <item x="166"/>
        <item x="120"/>
        <item x="70"/>
        <item x="59"/>
        <item x="175"/>
        <item x="144"/>
        <item x="187"/>
        <item x="139"/>
        <item x="21"/>
        <item x="36"/>
        <item x="170"/>
        <item x="200"/>
        <item x="134"/>
        <item x="113"/>
        <item x="143"/>
        <item x="30"/>
        <item x="153"/>
        <item x="111"/>
        <item x="88"/>
        <item x="74"/>
        <item x="103"/>
        <item x="35"/>
        <item x="15"/>
        <item x="47"/>
        <item x="54"/>
        <item x="58"/>
        <item x="37"/>
        <item x="65"/>
        <item x="48"/>
        <item x="176"/>
        <item x="92"/>
        <item x="7"/>
        <item x="115"/>
        <item x="107"/>
        <item x="45"/>
        <item x="128"/>
        <item x="85"/>
        <item x="50"/>
        <item x="42"/>
        <item x="149"/>
        <item x="197"/>
        <item x="194"/>
        <item x="167"/>
        <item x="117"/>
        <item x="114"/>
        <item x="184"/>
        <item x="61"/>
        <item x="142"/>
        <item x="181"/>
        <item x="193"/>
        <item x="91"/>
        <item x="192"/>
        <item x="140"/>
        <item x="182"/>
        <item x="77"/>
        <item x="33"/>
        <item x="118"/>
        <item x="135"/>
        <item x="119"/>
        <item x="1"/>
        <item x="138"/>
        <item x="163"/>
        <item x="168"/>
        <item x="60"/>
        <item x="28"/>
        <item x="95"/>
        <item x="195"/>
        <item x="11"/>
        <item t="default"/>
      </items>
    </pivotField>
    <pivotField compact="0" numFmtId="183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51"/>
        <item x="247"/>
        <item x="531"/>
        <item x="89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41"/>
        <item x="354"/>
        <item x="139"/>
        <item x="114"/>
        <item x="490"/>
        <item x="305"/>
        <item x="87"/>
        <item x="108"/>
        <item x="460"/>
        <item x="26"/>
        <item x="211"/>
        <item x="582"/>
        <item x="464"/>
        <item x="551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137"/>
        <item x="258"/>
        <item x="193"/>
        <item x="598"/>
        <item x="131"/>
        <item x="179"/>
        <item x="74"/>
        <item x="240"/>
        <item x="222"/>
        <item x="369"/>
        <item x="59"/>
        <item x="571"/>
        <item x="201"/>
        <item x="408"/>
        <item x="495"/>
        <item x="543"/>
        <item x="481"/>
        <item x="57"/>
        <item x="361"/>
        <item x="546"/>
        <item x="186"/>
        <item x="334"/>
        <item x="0"/>
        <item x="79"/>
        <item x="12"/>
        <item x="314"/>
        <item x="627"/>
        <item x="483"/>
        <item x="486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447"/>
        <item x="333"/>
        <item x="161"/>
        <item x="593"/>
        <item x="118"/>
        <item x="52"/>
        <item x="231"/>
        <item x="304"/>
        <item x="443"/>
        <item x="103"/>
        <item x="599"/>
        <item x="485"/>
        <item x="277"/>
        <item x="581"/>
        <item x="328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332"/>
        <item x="271"/>
        <item x="46"/>
        <item x="580"/>
        <item x="156"/>
        <item x="270"/>
        <item x="363"/>
        <item x="437"/>
        <item x="293"/>
        <item x="520"/>
        <item x="501"/>
        <item x="229"/>
        <item x="601"/>
        <item x="321"/>
        <item x="492"/>
        <item x="259"/>
        <item x="14"/>
        <item x="458"/>
        <item x="269"/>
        <item x="182"/>
        <item x="130"/>
        <item x="216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343"/>
        <item x="590"/>
        <item x="316"/>
        <item x="510"/>
        <item x="612"/>
        <item x="530"/>
        <item x="73"/>
        <item x="419"/>
        <item x="386"/>
        <item x="489"/>
        <item x="32"/>
        <item x="241"/>
        <item x="136"/>
        <item x="446"/>
        <item x="246"/>
        <item x="30"/>
        <item x="518"/>
        <item x="325"/>
        <item x="309"/>
        <item x="301"/>
        <item x="143"/>
        <item x="421"/>
        <item x="92"/>
        <item x="564"/>
        <item x="504"/>
        <item x="610"/>
        <item x="11"/>
        <item x="158"/>
        <item x="185"/>
        <item x="470"/>
        <item x="78"/>
        <item x="289"/>
        <item x="615"/>
        <item x="558"/>
        <item x="41"/>
        <item x="70"/>
        <item x="43"/>
        <item x="623"/>
        <item x="616"/>
        <item x="545"/>
        <item x="123"/>
        <item x="515"/>
        <item x="502"/>
        <item x="416"/>
        <item x="22"/>
        <item x="549"/>
        <item x="62"/>
        <item x="4"/>
        <item x="154"/>
        <item x="312"/>
        <item x="393"/>
        <item x="197"/>
        <item x="380"/>
        <item x="527"/>
        <item x="274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105"/>
        <item x="576"/>
        <item x="65"/>
        <item x="250"/>
        <item x="163"/>
        <item x="349"/>
        <item x="244"/>
        <item x="449"/>
        <item x="104"/>
        <item x="167"/>
        <item x="450"/>
        <item x="265"/>
        <item x="441"/>
        <item x="299"/>
        <item x="364"/>
        <item x="630"/>
        <item x="381"/>
        <item x="145"/>
        <item x="430"/>
        <item x="433"/>
        <item x="399"/>
        <item x="281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170"/>
        <item x="8"/>
        <item x="455"/>
        <item x="359"/>
        <item x="148"/>
        <item x="50"/>
        <item x="595"/>
        <item x="200"/>
        <item x="38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335"/>
        <item x="469"/>
        <item x="317"/>
        <item x="351"/>
        <item x="499"/>
        <item x="228"/>
        <item x="371"/>
        <item x="402"/>
        <item x="340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427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99"/>
        <item x="204"/>
        <item x="300"/>
        <item x="144"/>
        <item x="16"/>
        <item x="324"/>
        <item x="339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329"/>
        <item x="188"/>
        <item x="219"/>
        <item x="336"/>
        <item x="207"/>
        <item x="487"/>
        <item x="607"/>
        <item x="159"/>
        <item x="273"/>
        <item x="423"/>
        <item x="153"/>
        <item x="56"/>
        <item x="550"/>
        <item x="111"/>
        <item x="622"/>
        <item x="426"/>
        <item x="226"/>
        <item x="42"/>
        <item x="542"/>
        <item x="496"/>
        <item x="310"/>
        <item x="374"/>
        <item x="195"/>
        <item x="442"/>
        <item x="414"/>
        <item x="173"/>
        <item x="55"/>
        <item x="548"/>
        <item x="142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92"/>
        <item x="357"/>
        <item x="624"/>
        <item x="512"/>
        <item x="557"/>
        <item x="537"/>
        <item x="592"/>
        <item x="100"/>
        <item x="319"/>
        <item x="199"/>
        <item x="396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247"/>
        <item x="531"/>
        <item x="89"/>
        <item x="51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54"/>
        <item x="341"/>
        <item x="114"/>
        <item x="139"/>
        <item x="490"/>
        <item x="305"/>
        <item x="87"/>
        <item x="108"/>
        <item x="460"/>
        <item x="26"/>
        <item x="211"/>
        <item x="582"/>
        <item x="551"/>
        <item x="464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258"/>
        <item x="193"/>
        <item x="598"/>
        <item x="131"/>
        <item x="179"/>
        <item x="240"/>
        <item x="222"/>
        <item x="137"/>
        <item x="369"/>
        <item x="59"/>
        <item x="571"/>
        <item x="408"/>
        <item x="495"/>
        <item x="543"/>
        <item x="481"/>
        <item x="57"/>
        <item x="361"/>
        <item x="201"/>
        <item x="546"/>
        <item x="186"/>
        <item x="334"/>
        <item x="0"/>
        <item x="79"/>
        <item x="12"/>
        <item x="314"/>
        <item x="627"/>
        <item x="483"/>
        <item x="486"/>
        <item x="74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333"/>
        <item x="161"/>
        <item x="593"/>
        <item x="118"/>
        <item x="52"/>
        <item x="231"/>
        <item x="304"/>
        <item x="443"/>
        <item x="103"/>
        <item x="599"/>
        <item x="447"/>
        <item x="485"/>
        <item x="277"/>
        <item x="581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271"/>
        <item x="46"/>
        <item x="580"/>
        <item x="156"/>
        <item x="270"/>
        <item x="328"/>
        <item x="437"/>
        <item x="293"/>
        <item x="520"/>
        <item x="501"/>
        <item x="229"/>
        <item x="601"/>
        <item x="321"/>
        <item x="332"/>
        <item x="492"/>
        <item x="259"/>
        <item x="14"/>
        <item x="458"/>
        <item x="269"/>
        <item x="182"/>
        <item x="130"/>
        <item x="216"/>
        <item x="363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590"/>
        <item x="316"/>
        <item x="510"/>
        <item x="612"/>
        <item x="530"/>
        <item x="343"/>
        <item x="73"/>
        <item x="419"/>
        <item x="386"/>
        <item x="489"/>
        <item x="32"/>
        <item x="241"/>
        <item x="136"/>
        <item x="446"/>
        <item x="30"/>
        <item x="518"/>
        <item x="325"/>
        <item x="309"/>
        <item x="301"/>
        <item x="143"/>
        <item x="421"/>
        <item x="92"/>
        <item x="564"/>
        <item x="504"/>
        <item x="246"/>
        <item x="610"/>
        <item x="11"/>
        <item x="158"/>
        <item x="185"/>
        <item x="470"/>
        <item x="289"/>
        <item x="615"/>
        <item x="558"/>
        <item x="41"/>
        <item x="70"/>
        <item x="43"/>
        <item x="623"/>
        <item x="616"/>
        <item x="545"/>
        <item x="123"/>
        <item x="78"/>
        <item x="515"/>
        <item x="502"/>
        <item x="416"/>
        <item x="22"/>
        <item x="549"/>
        <item x="62"/>
        <item x="4"/>
        <item x="154"/>
        <item x="312"/>
        <item x="197"/>
        <item x="380"/>
        <item x="527"/>
        <item x="274"/>
        <item x="393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576"/>
        <item x="65"/>
        <item x="250"/>
        <item x="163"/>
        <item x="349"/>
        <item x="244"/>
        <item x="449"/>
        <item x="104"/>
        <item x="450"/>
        <item x="265"/>
        <item x="441"/>
        <item x="299"/>
        <item x="364"/>
        <item x="630"/>
        <item x="167"/>
        <item x="381"/>
        <item x="105"/>
        <item x="145"/>
        <item x="430"/>
        <item x="433"/>
        <item x="399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281"/>
        <item x="8"/>
        <item x="455"/>
        <item x="359"/>
        <item x="148"/>
        <item x="595"/>
        <item x="200"/>
        <item x="38"/>
        <item x="170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50"/>
        <item x="335"/>
        <item x="469"/>
        <item x="317"/>
        <item x="351"/>
        <item x="499"/>
        <item x="228"/>
        <item x="371"/>
        <item x="402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427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204"/>
        <item x="300"/>
        <item x="144"/>
        <item x="16"/>
        <item x="324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99"/>
        <item x="329"/>
        <item x="188"/>
        <item x="336"/>
        <item x="207"/>
        <item x="339"/>
        <item x="487"/>
        <item x="607"/>
        <item x="159"/>
        <item x="273"/>
        <item x="219"/>
        <item x="423"/>
        <item x="153"/>
        <item x="56"/>
        <item x="550"/>
        <item x="111"/>
        <item x="340"/>
        <item x="622"/>
        <item x="426"/>
        <item x="226"/>
        <item x="542"/>
        <item x="496"/>
        <item x="310"/>
        <item x="195"/>
        <item x="442"/>
        <item x="414"/>
        <item x="173"/>
        <item x="55"/>
        <item x="548"/>
        <item x="142"/>
        <item x="374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42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57"/>
        <item x="624"/>
        <item x="512"/>
        <item x="557"/>
        <item x="537"/>
        <item x="592"/>
        <item x="100"/>
        <item x="319"/>
        <item x="199"/>
        <item x="396"/>
        <item x="392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493"/>
        <item x="172"/>
        <item x="286"/>
        <item x="298"/>
        <item x="96"/>
        <item x="586"/>
        <item x="389"/>
        <item x="54"/>
        <item x="83"/>
        <item x="247"/>
        <item x="631"/>
        <item x="119"/>
        <item x="575"/>
        <item x="89"/>
        <item x="572"/>
        <item x="418"/>
        <item x="106"/>
        <item x="177"/>
        <item x="7"/>
        <item x="517"/>
        <item x="532"/>
        <item x="282"/>
        <item x="354"/>
        <item x="263"/>
        <item x="243"/>
        <item x="51"/>
        <item x="531"/>
        <item x="109"/>
        <item x="305"/>
        <item x="461"/>
        <item x="341"/>
        <item x="221"/>
        <item x="620"/>
        <item x="291"/>
        <item x="311"/>
        <item x="108"/>
        <item x="602"/>
        <item x="230"/>
        <item x="490"/>
        <item x="551"/>
        <item x="127"/>
        <item x="519"/>
        <item x="445"/>
        <item x="323"/>
        <item x="476"/>
        <item x="464"/>
        <item x="582"/>
        <item x="391"/>
        <item x="347"/>
        <item x="26"/>
        <item x="621"/>
        <item x="217"/>
        <item x="330"/>
        <item x="326"/>
        <item x="460"/>
        <item x="116"/>
        <item x="211"/>
        <item x="412"/>
        <item x="128"/>
        <item x="124"/>
        <item x="174"/>
        <item x="466"/>
        <item x="344"/>
        <item x="463"/>
        <item x="597"/>
        <item x="245"/>
        <item x="139"/>
        <item x="113"/>
        <item x="570"/>
        <item x="169"/>
        <item x="87"/>
        <item x="28"/>
        <item x="526"/>
        <item x="232"/>
        <item x="608"/>
        <item x="318"/>
        <item x="257"/>
        <item x="609"/>
        <item x="565"/>
        <item x="439"/>
        <item x="114"/>
        <item x="5"/>
        <item x="508"/>
        <item x="579"/>
        <item x="6"/>
        <item x="297"/>
        <item x="434"/>
        <item x="481"/>
        <item x="334"/>
        <item x="222"/>
        <item x="133"/>
        <item x="495"/>
        <item x="627"/>
        <item x="403"/>
        <item x="0"/>
        <item x="258"/>
        <item x="82"/>
        <item x="584"/>
        <item x="581"/>
        <item x="546"/>
        <item x="53"/>
        <item x="327"/>
        <item x="511"/>
        <item x="296"/>
        <item x="239"/>
        <item x="231"/>
        <item x="57"/>
        <item x="436"/>
        <item x="304"/>
        <item x="39"/>
        <item x="604"/>
        <item x="254"/>
        <item x="443"/>
        <item x="370"/>
        <item x="491"/>
        <item x="194"/>
        <item x="378"/>
        <item x="307"/>
        <item x="277"/>
        <item x="240"/>
        <item x="233"/>
        <item x="598"/>
        <item x="293"/>
        <item x="486"/>
        <item x="71"/>
        <item x="178"/>
        <item x="103"/>
        <item x="248"/>
        <item x="488"/>
        <item x="156"/>
        <item x="12"/>
        <item x="130"/>
        <item x="571"/>
        <item x="79"/>
        <item x="350"/>
        <item x="118"/>
        <item x="308"/>
        <item x="186"/>
        <item x="458"/>
        <item x="462"/>
        <item x="410"/>
        <item x="182"/>
        <item x="328"/>
        <item x="432"/>
        <item x="358"/>
        <item x="483"/>
        <item x="285"/>
        <item x="513"/>
        <item x="563"/>
        <item x="161"/>
        <item x="498"/>
        <item x="369"/>
        <item x="599"/>
        <item x="594"/>
        <item x="314"/>
        <item x="171"/>
        <item x="59"/>
        <item x="524"/>
        <item x="437"/>
        <item x="332"/>
        <item x="46"/>
        <item x="69"/>
        <item x="191"/>
        <item x="141"/>
        <item x="509"/>
        <item x="338"/>
        <item x="137"/>
        <item x="179"/>
        <item x="74"/>
        <item x="214"/>
        <item x="616"/>
        <item x="279"/>
        <item x="90"/>
        <item x="447"/>
        <item x="158"/>
        <item x="540"/>
        <item x="373"/>
        <item x="315"/>
        <item x="201"/>
        <item x="227"/>
        <item x="446"/>
        <item x="473"/>
        <item x="206"/>
        <item x="218"/>
        <item x="27"/>
        <item x="470"/>
        <item x="271"/>
        <item x="525"/>
        <item x="408"/>
        <item x="578"/>
        <item x="43"/>
        <item x="146"/>
        <item x="502"/>
        <item x="168"/>
        <item x="331"/>
        <item x="183"/>
        <item x="309"/>
        <item x="503"/>
        <item x="596"/>
        <item x="543"/>
        <item x="3"/>
        <item x="88"/>
        <item x="386"/>
        <item x="75"/>
        <item x="270"/>
        <item x="262"/>
        <item x="301"/>
        <item x="32"/>
        <item x="489"/>
        <item x="349"/>
        <item x="193"/>
        <item x="485"/>
        <item x="333"/>
        <item x="25"/>
        <item x="102"/>
        <item x="274"/>
        <item x="94"/>
        <item x="37"/>
        <item x="131"/>
        <item x="589"/>
        <item x="593"/>
        <item x="145"/>
        <item x="163"/>
        <item x="520"/>
        <item x="368"/>
        <item x="558"/>
        <item x="316"/>
        <item x="92"/>
        <item x="544"/>
        <item x="33"/>
        <item x="630"/>
        <item x="220"/>
        <item x="250"/>
        <item x="518"/>
        <item x="398"/>
        <item x="152"/>
        <item x="430"/>
        <item x="35"/>
        <item x="477"/>
        <item x="580"/>
        <item x="450"/>
        <item x="62"/>
        <item x="561"/>
        <item x="536"/>
        <item x="533"/>
        <item x="595"/>
        <item x="417"/>
        <item x="15"/>
        <item x="433"/>
        <item x="101"/>
        <item x="238"/>
        <item x="212"/>
        <item x="515"/>
        <item x="104"/>
        <item x="312"/>
        <item x="294"/>
        <item x="361"/>
        <item x="78"/>
        <item x="162"/>
        <item x="269"/>
        <item x="421"/>
        <item x="197"/>
        <item x="41"/>
        <item x="411"/>
        <item x="22"/>
        <item x="241"/>
        <item x="164"/>
        <item x="143"/>
        <item x="268"/>
        <item x="343"/>
        <item x="129"/>
        <item x="345"/>
        <item x="283"/>
        <item x="189"/>
        <item x="577"/>
        <item x="419"/>
        <item x="216"/>
        <item x="453"/>
        <item x="98"/>
        <item x="523"/>
        <item x="559"/>
        <item x="281"/>
        <item x="472"/>
        <item x="8"/>
        <item x="325"/>
        <item x="405"/>
        <item x="615"/>
        <item x="507"/>
        <item x="52"/>
        <item x="198"/>
        <item x="246"/>
        <item x="70"/>
        <item x="425"/>
        <item x="155"/>
        <item x="413"/>
        <item x="367"/>
        <item x="30"/>
        <item x="530"/>
        <item x="549"/>
        <item x="275"/>
        <item x="136"/>
        <item x="612"/>
        <item x="176"/>
        <item x="457"/>
        <item x="499"/>
        <item x="359"/>
        <item x="527"/>
        <item x="623"/>
        <item x="154"/>
        <item x="535"/>
        <item x="510"/>
        <item x="451"/>
        <item x="67"/>
        <item x="564"/>
        <item x="610"/>
        <item x="541"/>
        <item x="185"/>
        <item x="494"/>
        <item x="342"/>
        <item x="68"/>
        <item x="321"/>
        <item x="303"/>
        <item x="605"/>
        <item x="504"/>
        <item x="415"/>
        <item x="335"/>
        <item x="455"/>
        <item x="538"/>
        <item x="363"/>
        <item x="601"/>
        <item x="14"/>
        <item x="290"/>
        <item x="148"/>
        <item x="380"/>
        <item x="93"/>
        <item x="295"/>
        <item x="147"/>
        <item x="287"/>
        <item x="13"/>
        <item x="249"/>
        <item x="404"/>
        <item x="492"/>
        <item x="467"/>
        <item x="210"/>
        <item x="320"/>
        <item x="280"/>
        <item x="441"/>
        <item x="4"/>
        <item x="591"/>
        <item x="611"/>
        <item x="255"/>
        <item x="267"/>
        <item x="23"/>
        <item x="393"/>
        <item x="229"/>
        <item x="261"/>
        <item x="366"/>
        <item x="394"/>
        <item x="547"/>
        <item x="545"/>
        <item x="500"/>
        <item x="20"/>
        <item x="576"/>
        <item x="29"/>
        <item x="399"/>
        <item x="21"/>
        <item x="440"/>
        <item x="225"/>
        <item x="452"/>
        <item x="474"/>
        <item x="123"/>
        <item x="428"/>
        <item x="420"/>
        <item x="324"/>
        <item x="38"/>
        <item x="469"/>
        <item x="614"/>
        <item x="24"/>
        <item x="259"/>
        <item x="364"/>
        <item x="251"/>
        <item x="50"/>
        <item x="381"/>
        <item x="121"/>
        <item x="444"/>
        <item x="115"/>
        <item x="590"/>
        <item x="209"/>
        <item x="228"/>
        <item x="204"/>
        <item x="454"/>
        <item x="150"/>
        <item x="284"/>
        <item x="377"/>
        <item x="501"/>
        <item x="395"/>
        <item x="568"/>
        <item x="56"/>
        <item x="253"/>
        <item x="170"/>
        <item x="552"/>
        <item x="34"/>
        <item x="456"/>
        <item x="73"/>
        <item x="205"/>
        <item x="213"/>
        <item x="299"/>
        <item x="85"/>
        <item x="234"/>
        <item x="91"/>
        <item x="607"/>
        <item x="256"/>
        <item x="606"/>
        <item x="125"/>
        <item x="167"/>
        <item x="371"/>
        <item x="207"/>
        <item x="449"/>
        <item x="260"/>
        <item x="157"/>
        <item x="416"/>
        <item x="86"/>
        <item x="107"/>
        <item x="208"/>
        <item x="414"/>
        <item x="355"/>
        <item x="215"/>
        <item x="105"/>
        <item x="554"/>
        <item x="529"/>
        <item x="135"/>
        <item x="573"/>
        <item x="336"/>
        <item x="288"/>
        <item x="574"/>
        <item x="10"/>
        <item x="110"/>
        <item x="153"/>
        <item x="44"/>
        <item x="348"/>
        <item x="351"/>
        <item x="442"/>
        <item x="160"/>
        <item x="200"/>
        <item x="505"/>
        <item x="132"/>
        <item x="379"/>
        <item x="329"/>
        <item x="585"/>
        <item x="487"/>
        <item x="166"/>
        <item x="475"/>
        <item x="317"/>
        <item x="202"/>
        <item x="555"/>
        <item x="496"/>
        <item x="550"/>
        <item x="400"/>
        <item x="514"/>
        <item x="219"/>
        <item x="340"/>
        <item x="292"/>
        <item x="566"/>
        <item x="553"/>
        <item x="235"/>
        <item x="401"/>
        <item x="144"/>
        <item x="244"/>
        <item x="387"/>
        <item x="402"/>
        <item x="224"/>
        <item x="390"/>
        <item x="300"/>
        <item x="459"/>
        <item x="289"/>
        <item x="372"/>
        <item x="122"/>
        <item x="310"/>
        <item x="569"/>
        <item x="65"/>
        <item x="384"/>
        <item x="409"/>
        <item x="484"/>
        <item x="159"/>
        <item x="522"/>
        <item x="66"/>
        <item x="388"/>
        <item x="339"/>
        <item x="516"/>
        <item x="2"/>
        <item x="468"/>
        <item x="226"/>
        <item x="61"/>
        <item x="374"/>
        <item x="151"/>
        <item x="471"/>
        <item x="76"/>
        <item x="252"/>
        <item x="352"/>
        <item x="11"/>
        <item x="134"/>
        <item x="322"/>
        <item x="479"/>
        <item x="120"/>
        <item x="84"/>
        <item x="628"/>
        <item x="188"/>
        <item x="600"/>
        <item x="190"/>
        <item x="625"/>
        <item x="77"/>
        <item x="81"/>
        <item x="173"/>
        <item x="365"/>
        <item x="406"/>
        <item x="18"/>
        <item x="36"/>
        <item x="19"/>
        <item x="629"/>
        <item x="482"/>
        <item x="603"/>
        <item x="480"/>
        <item x="95"/>
        <item x="42"/>
        <item x="17"/>
        <item x="587"/>
        <item x="31"/>
        <item x="64"/>
        <item x="278"/>
        <item x="560"/>
        <item x="111"/>
        <item x="617"/>
        <item x="397"/>
        <item x="265"/>
        <item x="48"/>
        <item x="438"/>
        <item x="427"/>
        <item x="266"/>
        <item x="100"/>
        <item x="99"/>
        <item x="273"/>
        <item x="356"/>
        <item x="478"/>
        <item x="542"/>
        <item x="97"/>
        <item x="429"/>
        <item x="181"/>
        <item x="313"/>
        <item x="562"/>
        <item x="360"/>
        <item x="626"/>
        <item x="534"/>
        <item x="337"/>
        <item x="45"/>
        <item x="435"/>
        <item x="149"/>
        <item x="72"/>
        <item x="184"/>
        <item x="60"/>
        <item x="557"/>
        <item x="196"/>
        <item x="618"/>
        <item x="353"/>
        <item x="16"/>
        <item x="431"/>
        <item x="548"/>
        <item x="407"/>
        <item x="556"/>
        <item x="506"/>
        <item x="195"/>
        <item x="592"/>
        <item x="138"/>
        <item x="624"/>
        <item x="426"/>
        <item x="567"/>
        <item x="242"/>
        <item x="376"/>
        <item x="537"/>
        <item x="40"/>
        <item x="448"/>
        <item x="302"/>
        <item x="396"/>
        <item x="49"/>
        <item x="272"/>
        <item x="192"/>
        <item x="583"/>
        <item x="223"/>
        <item x="142"/>
        <item x="521"/>
        <item x="497"/>
        <item x="187"/>
        <item x="357"/>
        <item x="382"/>
        <item x="117"/>
        <item x="236"/>
        <item x="622"/>
        <item x="55"/>
        <item x="199"/>
        <item x="264"/>
        <item x="1"/>
        <item x="375"/>
        <item x="588"/>
        <item x="613"/>
        <item x="306"/>
        <item x="619"/>
        <item x="424"/>
        <item x="423"/>
        <item x="385"/>
        <item x="203"/>
        <item x="539"/>
        <item x="80"/>
        <item x="362"/>
        <item x="392"/>
        <item x="126"/>
        <item x="9"/>
        <item x="346"/>
        <item x="47"/>
        <item x="512"/>
        <item x="319"/>
        <item x="383"/>
        <item x="528"/>
        <item x="465"/>
        <item x="276"/>
        <item x="175"/>
        <item x="165"/>
        <item x="422"/>
        <item x="63"/>
        <item x="140"/>
        <item x="58"/>
        <item x="237"/>
        <item t="default"/>
      </items>
    </pivotField>
    <pivotField compact="0" numFmtId="44" showAll="0">
      <items count="633">
        <item x="1"/>
        <item x="385"/>
        <item x="626"/>
        <item x="265"/>
        <item x="11"/>
        <item x="560"/>
        <item x="132"/>
        <item x="134"/>
        <item x="423"/>
        <item x="289"/>
        <item x="497"/>
        <item x="58"/>
        <item x="501"/>
        <item x="187"/>
        <item x="65"/>
        <item x="125"/>
        <item x="192"/>
        <item x="407"/>
        <item x="150"/>
        <item x="244"/>
        <item x="259"/>
        <item x="73"/>
        <item x="72"/>
        <item x="388"/>
        <item x="590"/>
        <item x="229"/>
        <item x="416"/>
        <item x="152"/>
        <item x="477"/>
        <item x="492"/>
        <item x="98"/>
        <item x="361"/>
        <item x="2"/>
        <item x="196"/>
        <item x="52"/>
        <item x="617"/>
        <item x="363"/>
        <item x="622"/>
        <item x="404"/>
        <item x="601"/>
        <item x="605"/>
        <item x="105"/>
        <item x="397"/>
        <item x="14"/>
        <item x="146"/>
        <item x="131"/>
        <item x="384"/>
        <item x="540"/>
        <item x="338"/>
        <item x="193"/>
        <item x="321"/>
        <item x="66"/>
        <item x="432"/>
        <item x="27"/>
        <item x="449"/>
        <item x="427"/>
        <item x="543"/>
        <item x="167"/>
        <item x="224"/>
        <item x="55"/>
        <item x="303"/>
        <item x="373"/>
        <item x="457"/>
        <item x="166"/>
        <item x="81"/>
        <item x="122"/>
        <item x="114"/>
        <item x="101"/>
        <item x="94"/>
        <item x="408"/>
        <item x="593"/>
        <item x="116"/>
        <item x="3"/>
        <item x="252"/>
        <item x="268"/>
        <item x="434"/>
        <item x="411"/>
        <item x="323"/>
        <item x="299"/>
        <item x="333"/>
        <item x="238"/>
        <item x="201"/>
        <item x="36"/>
        <item x="68"/>
        <item x="137"/>
        <item x="390"/>
        <item x="230"/>
        <item x="177"/>
        <item x="179"/>
        <item x="74"/>
        <item x="87"/>
        <item x="53"/>
        <item x="519"/>
        <item x="127"/>
        <item x="631"/>
        <item x="123"/>
        <item x="574"/>
        <item x="139"/>
        <item x="54"/>
        <item x="476"/>
        <item x="200"/>
        <item x="109"/>
        <item x="298"/>
        <item x="286"/>
        <item x="112"/>
        <item x="212"/>
        <item x="609"/>
        <item x="180"/>
        <item x="263"/>
        <item x="532"/>
        <item x="96"/>
        <item x="51"/>
        <item x="106"/>
        <item x="35"/>
        <item x="172"/>
        <item x="531"/>
        <item x="493"/>
        <item x="311"/>
        <item x="561"/>
        <item x="575"/>
        <item x="285"/>
        <item x="85"/>
        <item x="275"/>
        <item x="282"/>
        <item x="216"/>
        <item x="485"/>
        <item x="243"/>
        <item x="7"/>
        <item x="83"/>
        <item x="586"/>
        <item x="89"/>
        <item x="221"/>
        <item x="119"/>
        <item x="389"/>
        <item x="358"/>
        <item x="602"/>
        <item x="461"/>
        <item x="526"/>
        <item x="247"/>
        <item x="418"/>
        <item x="620"/>
        <item x="15"/>
        <item x="291"/>
        <item x="257"/>
        <item x="59"/>
        <item x="198"/>
        <item x="545"/>
        <item x="462"/>
        <item x="248"/>
        <item x="572"/>
        <item x="460"/>
        <item x="463"/>
        <item x="341"/>
        <item x="211"/>
        <item x="269"/>
        <item x="517"/>
        <item x="369"/>
        <item x="174"/>
        <item x="510"/>
        <item x="86"/>
        <item x="6"/>
        <item x="580"/>
        <item x="113"/>
        <item x="606"/>
        <item x="354"/>
        <item x="227"/>
        <item x="26"/>
        <item x="307"/>
        <item x="169"/>
        <item x="490"/>
        <item x="155"/>
        <item x="402"/>
        <item x="124"/>
        <item x="190"/>
        <item x="582"/>
        <item x="412"/>
        <item x="439"/>
        <item x="447"/>
        <item x="464"/>
        <item x="383"/>
        <item x="608"/>
        <item x="39"/>
        <item x="350"/>
        <item x="612"/>
        <item x="488"/>
        <item x="511"/>
        <item x="530"/>
        <item x="297"/>
        <item x="108"/>
        <item x="314"/>
        <item x="318"/>
        <item x="551"/>
        <item x="232"/>
        <item x="194"/>
        <item x="445"/>
        <item x="305"/>
        <item x="162"/>
        <item x="618"/>
        <item x="16"/>
        <item x="4"/>
        <item x="217"/>
        <item x="520"/>
        <item x="317"/>
        <item x="347"/>
        <item x="393"/>
        <item x="133"/>
        <item x="189"/>
        <item x="239"/>
        <item x="75"/>
        <item x="536"/>
        <item x="327"/>
        <item x="326"/>
        <item x="417"/>
        <item x="513"/>
        <item x="234"/>
        <item x="621"/>
        <item x="370"/>
        <item x="10"/>
        <item x="340"/>
        <item x="364"/>
        <item x="381"/>
        <item x="504"/>
        <item x="128"/>
        <item x="136"/>
        <item x="571"/>
        <item x="584"/>
        <item x="186"/>
        <item x="401"/>
        <item x="466"/>
        <item x="483"/>
        <item x="235"/>
        <item x="598"/>
        <item x="330"/>
        <item x="240"/>
        <item x="564"/>
        <item x="391"/>
        <item x="30"/>
        <item x="168"/>
        <item x="215"/>
        <item x="245"/>
        <item x="270"/>
        <item x="218"/>
        <item x="610"/>
        <item x="578"/>
        <item x="566"/>
        <item x="79"/>
        <item x="296"/>
        <item x="351"/>
        <item x="343"/>
        <item x="185"/>
        <item x="410"/>
        <item x="161"/>
        <item x="576"/>
        <item x="206"/>
        <item x="597"/>
        <item x="508"/>
        <item x="12"/>
        <item x="246"/>
        <item x="344"/>
        <item x="570"/>
        <item x="170"/>
        <item x="591"/>
        <item x="294"/>
        <item x="599"/>
        <item x="258"/>
        <item x="380"/>
        <item x="554"/>
        <item x="271"/>
        <item x="308"/>
        <item x="5"/>
        <item x="419"/>
        <item x="579"/>
        <item x="325"/>
        <item x="486"/>
        <item x="395"/>
        <item x="57"/>
        <item x="623"/>
        <item x="28"/>
        <item x="400"/>
        <item x="222"/>
        <item x="208"/>
        <item x="249"/>
        <item x="565"/>
        <item x="233"/>
        <item x="546"/>
        <item x="524"/>
        <item x="495"/>
        <item x="154"/>
        <item x="241"/>
        <item x="0"/>
        <item x="262"/>
        <item x="481"/>
        <item x="118"/>
        <item x="328"/>
        <item x="399"/>
        <item x="334"/>
        <item x="70"/>
        <item x="596"/>
        <item x="428"/>
        <item x="549"/>
        <item x="615"/>
        <item x="365"/>
        <item x="84"/>
        <item x="627"/>
        <item x="143"/>
        <item x="604"/>
        <item x="25"/>
        <item x="316"/>
        <item x="441"/>
        <item x="527"/>
        <item x="403"/>
        <item x="46"/>
        <item x="103"/>
        <item x="421"/>
        <item x="436"/>
        <item x="82"/>
        <item x="332"/>
        <item x="184"/>
        <item x="503"/>
        <item x="277"/>
        <item x="494"/>
        <item x="231"/>
        <item x="44"/>
        <item x="142"/>
        <item x="443"/>
        <item x="437"/>
        <item x="377"/>
        <item x="525"/>
        <item x="304"/>
        <item x="183"/>
        <item x="214"/>
        <item x="71"/>
        <item x="331"/>
        <item x="50"/>
        <item x="284"/>
        <item x="518"/>
        <item x="78"/>
        <item x="473"/>
        <item x="41"/>
        <item x="406"/>
        <item x="387"/>
        <item x="90"/>
        <item x="420"/>
        <item x="371"/>
        <item x="151"/>
        <item x="378"/>
        <item x="581"/>
        <item x="438"/>
        <item x="254"/>
        <item x="22"/>
        <item x="491"/>
        <item x="141"/>
        <item x="38"/>
        <item x="92"/>
        <item x="426"/>
        <item x="489"/>
        <item x="147"/>
        <item x="509"/>
        <item x="32"/>
        <item x="386"/>
        <item x="515"/>
        <item x="315"/>
        <item x="182"/>
        <item x="99"/>
        <item x="178"/>
        <item x="156"/>
        <item x="458"/>
        <item x="301"/>
        <item x="435"/>
        <item x="197"/>
        <item x="553"/>
        <item x="558"/>
        <item x="279"/>
        <item x="312"/>
        <item x="283"/>
        <item x="594"/>
        <item x="309"/>
        <item x="293"/>
        <item x="191"/>
        <item x="62"/>
        <item x="479"/>
        <item x="453"/>
        <item x="130"/>
        <item x="467"/>
        <item x="512"/>
        <item x="228"/>
        <item x="563"/>
        <item x="164"/>
        <item x="69"/>
        <item x="498"/>
        <item x="516"/>
        <item x="171"/>
        <item x="446"/>
        <item x="375"/>
        <item x="236"/>
        <item x="484"/>
        <item x="573"/>
        <item x="469"/>
        <item x="195"/>
        <item x="547"/>
        <item x="533"/>
        <item x="470"/>
        <item x="281"/>
        <item x="104"/>
        <item x="522"/>
        <item x="43"/>
        <item x="274"/>
        <item x="559"/>
        <item x="587"/>
        <item x="148"/>
        <item x="502"/>
        <item x="158"/>
        <item x="67"/>
        <item x="405"/>
        <item x="455"/>
        <item x="382"/>
        <item x="250"/>
        <item x="49"/>
        <item x="209"/>
        <item x="450"/>
        <item x="256"/>
        <item x="163"/>
        <item x="589"/>
        <item x="251"/>
        <item x="272"/>
        <item x="37"/>
        <item x="552"/>
        <item x="88"/>
        <item x="616"/>
        <item x="433"/>
        <item x="359"/>
        <item x="345"/>
        <item x="31"/>
        <item x="619"/>
        <item x="548"/>
        <item x="630"/>
        <item x="91"/>
        <item x="349"/>
        <item x="577"/>
        <item x="430"/>
        <item x="64"/>
        <item x="535"/>
        <item x="145"/>
        <item x="264"/>
        <item x="398"/>
        <item x="319"/>
        <item x="409"/>
        <item x="33"/>
        <item x="8"/>
        <item x="220"/>
        <item x="160"/>
        <item x="425"/>
        <item x="242"/>
        <item x="614"/>
        <item x="176"/>
        <item x="335"/>
        <item x="507"/>
        <item x="292"/>
        <item x="368"/>
        <item x="267"/>
        <item x="280"/>
        <item x="585"/>
        <item x="472"/>
        <item x="102"/>
        <item x="261"/>
        <item x="544"/>
        <item x="468"/>
        <item x="413"/>
        <item x="456"/>
        <item x="459"/>
        <item x="273"/>
        <item x="499"/>
        <item x="611"/>
        <item x="595"/>
        <item x="210"/>
        <item x="306"/>
        <item x="474"/>
        <item x="352"/>
        <item x="523"/>
        <item x="392"/>
        <item x="129"/>
        <item x="506"/>
        <item x="339"/>
        <item x="542"/>
        <item x="138"/>
        <item x="300"/>
        <item x="366"/>
        <item x="21"/>
        <item x="45"/>
        <item x="188"/>
        <item x="355"/>
        <item x="415"/>
        <item x="394"/>
        <item x="260"/>
        <item x="144"/>
        <item x="29"/>
        <item x="290"/>
        <item x="63"/>
        <item x="500"/>
        <item x="440"/>
        <item x="444"/>
        <item x="202"/>
        <item x="111"/>
        <item x="107"/>
        <item x="23"/>
        <item x="61"/>
        <item x="367"/>
        <item x="353"/>
        <item x="60"/>
        <item x="562"/>
        <item x="287"/>
        <item x="93"/>
        <item x="157"/>
        <item x="225"/>
        <item x="541"/>
        <item x="451"/>
        <item x="295"/>
        <item x="454"/>
        <item x="42"/>
        <item x="342"/>
        <item x="213"/>
        <item x="538"/>
        <item x="121"/>
        <item x="528"/>
        <item x="203"/>
        <item x="302"/>
        <item x="583"/>
        <item x="13"/>
        <item x="475"/>
        <item x="97"/>
        <item x="159"/>
        <item x="348"/>
        <item x="360"/>
        <item x="219"/>
        <item x="288"/>
        <item x="568"/>
        <item x="320"/>
        <item x="173"/>
        <item x="329"/>
        <item x="253"/>
        <item x="115"/>
        <item x="110"/>
        <item x="452"/>
        <item x="226"/>
        <item x="205"/>
        <item x="374"/>
        <item x="135"/>
        <item x="20"/>
        <item x="204"/>
        <item x="40"/>
        <item x="24"/>
        <item x="487"/>
        <item x="625"/>
        <item x="310"/>
        <item x="336"/>
        <item x="255"/>
        <item x="77"/>
        <item x="550"/>
        <item x="34"/>
        <item x="628"/>
        <item x="153"/>
        <item x="278"/>
        <item x="324"/>
        <item x="207"/>
        <item x="48"/>
        <item x="496"/>
        <item x="600"/>
        <item x="337"/>
        <item x="372"/>
        <item x="17"/>
        <item x="607"/>
        <item x="442"/>
        <item x="376"/>
        <item x="482"/>
        <item x="56"/>
        <item x="567"/>
        <item x="76"/>
        <item x="505"/>
        <item x="569"/>
        <item x="357"/>
        <item x="514"/>
        <item x="313"/>
        <item x="414"/>
        <item x="266"/>
        <item x="448"/>
        <item x="555"/>
        <item x="379"/>
        <item x="471"/>
        <item x="429"/>
        <item x="181"/>
        <item x="18"/>
        <item x="149"/>
        <item x="534"/>
        <item x="529"/>
        <item x="9"/>
        <item x="19"/>
        <item x="478"/>
        <item x="603"/>
        <item x="556"/>
        <item x="480"/>
        <item x="120"/>
        <item x="629"/>
        <item x="322"/>
        <item x="356"/>
        <item x="424"/>
        <item x="199"/>
        <item x="140"/>
        <item x="624"/>
        <item x="80"/>
        <item x="95"/>
        <item x="537"/>
        <item x="126"/>
        <item x="592"/>
        <item x="276"/>
        <item x="557"/>
        <item x="396"/>
        <item x="539"/>
        <item x="465"/>
        <item x="165"/>
        <item x="100"/>
        <item x="431"/>
        <item x="117"/>
        <item x="588"/>
        <item x="521"/>
        <item x="346"/>
        <item x="223"/>
        <item x="175"/>
        <item x="362"/>
        <item x="422"/>
        <item x="613"/>
        <item x="237"/>
        <item x="47"/>
        <item t="default"/>
      </items>
    </pivotField>
    <pivotField compact="0" numFmtId="44" showAll="0">
      <items count="633">
        <item x="1"/>
        <item x="385"/>
        <item x="11"/>
        <item x="626"/>
        <item x="132"/>
        <item x="265"/>
        <item x="289"/>
        <item x="501"/>
        <item x="560"/>
        <item x="134"/>
        <item x="150"/>
        <item x="125"/>
        <item x="259"/>
        <item x="152"/>
        <item x="477"/>
        <item x="361"/>
        <item x="65"/>
        <item x="146"/>
        <item x="98"/>
        <item x="338"/>
        <item x="540"/>
        <item x="73"/>
        <item x="432"/>
        <item x="116"/>
        <item x="229"/>
        <item x="52"/>
        <item x="131"/>
        <item x="114"/>
        <item x="323"/>
        <item x="177"/>
        <item x="298"/>
        <item x="631"/>
        <item x="193"/>
        <item x="112"/>
        <item x="180"/>
        <item x="286"/>
        <item x="54"/>
        <item x="230"/>
        <item x="96"/>
        <item x="172"/>
        <item x="493"/>
        <item x="109"/>
        <item x="519"/>
        <item x="532"/>
        <item x="127"/>
        <item x="263"/>
        <item x="106"/>
        <item x="27"/>
        <item x="492"/>
        <item x="244"/>
        <item x="531"/>
        <item x="434"/>
        <item x="575"/>
        <item x="590"/>
        <item x="51"/>
        <item x="476"/>
        <item x="586"/>
        <item x="282"/>
        <item x="83"/>
        <item x="389"/>
        <item x="311"/>
        <item x="119"/>
        <item x="89"/>
        <item x="7"/>
        <item x="87"/>
        <item x="243"/>
        <item x="247"/>
        <item x="221"/>
        <item x="139"/>
        <item x="418"/>
        <item x="605"/>
        <item x="461"/>
        <item x="602"/>
        <item x="373"/>
        <item x="620"/>
        <item x="601"/>
        <item x="572"/>
        <item x="291"/>
        <item x="543"/>
        <item x="609"/>
        <item x="53"/>
        <item x="404"/>
        <item x="14"/>
        <item x="517"/>
        <item x="341"/>
        <item x="354"/>
        <item x="460"/>
        <item x="526"/>
        <item x="416"/>
        <item x="211"/>
        <item x="408"/>
        <item x="463"/>
        <item x="490"/>
        <item x="257"/>
        <item x="363"/>
        <item x="321"/>
        <item x="174"/>
        <item x="26"/>
        <item x="113"/>
        <item x="582"/>
        <item x="3"/>
        <item x="94"/>
        <item x="179"/>
        <item x="124"/>
        <item x="412"/>
        <item x="169"/>
        <item x="108"/>
        <item x="464"/>
        <item x="593"/>
        <item x="285"/>
        <item x="305"/>
        <item x="551"/>
        <item x="201"/>
        <item x="6"/>
        <item x="137"/>
        <item x="445"/>
        <item x="101"/>
        <item x="248"/>
        <item x="333"/>
        <item x="358"/>
        <item x="388"/>
        <item x="439"/>
        <item x="608"/>
        <item x="462"/>
        <item x="217"/>
        <item x="347"/>
        <item x="307"/>
        <item x="318"/>
        <item x="232"/>
        <item x="59"/>
        <item x="297"/>
        <item x="303"/>
        <item x="326"/>
        <item x="39"/>
        <item x="268"/>
        <item x="411"/>
        <item x="621"/>
        <item x="457"/>
        <item x="238"/>
        <item x="511"/>
        <item x="369"/>
        <item x="128"/>
        <item x="350"/>
        <item x="488"/>
        <item x="466"/>
        <item x="330"/>
        <item x="485"/>
        <item x="391"/>
        <item x="133"/>
        <item x="194"/>
        <item x="35"/>
        <item x="74"/>
        <item x="212"/>
        <item x="561"/>
        <item x="245"/>
        <item x="239"/>
        <item x="327"/>
        <item x="227"/>
        <item x="584"/>
        <item x="314"/>
        <item x="370"/>
        <item x="597"/>
        <item x="15"/>
        <item x="68"/>
        <item x="598"/>
        <item x="344"/>
        <item x="216"/>
        <item x="571"/>
        <item x="570"/>
        <item x="240"/>
        <item x="186"/>
        <item x="2"/>
        <item x="513"/>
        <item x="296"/>
        <item x="508"/>
        <item x="580"/>
        <item x="483"/>
        <item x="275"/>
        <item x="407"/>
        <item x="449"/>
        <item x="269"/>
        <item x="79"/>
        <item x="198"/>
        <item x="447"/>
        <item x="497"/>
        <item x="5"/>
        <item x="258"/>
        <item x="12"/>
        <item x="28"/>
        <item x="105"/>
        <item x="410"/>
        <item x="579"/>
        <item x="75"/>
        <item x="161"/>
        <item x="384"/>
        <item x="520"/>
        <item x="565"/>
        <item x="123"/>
        <item x="222"/>
        <item x="57"/>
        <item x="155"/>
        <item x="510"/>
        <item x="218"/>
        <item x="72"/>
        <item x="168"/>
        <item x="308"/>
        <item x="486"/>
        <item x="578"/>
        <item x="162"/>
        <item x="536"/>
        <item x="495"/>
        <item x="546"/>
        <item x="599"/>
        <item x="167"/>
        <item x="417"/>
        <item x="270"/>
        <item x="206"/>
        <item x="612"/>
        <item x="233"/>
        <item x="481"/>
        <item x="530"/>
        <item x="189"/>
        <item x="0"/>
        <item x="192"/>
        <item x="299"/>
        <item x="545"/>
        <item x="423"/>
        <item x="334"/>
        <item x="617"/>
        <item x="66"/>
        <item x="166"/>
        <item x="271"/>
        <item x="118"/>
        <item x="627"/>
        <item x="524"/>
        <item x="187"/>
        <item x="224"/>
        <item x="604"/>
        <item x="403"/>
        <item x="136"/>
        <item x="82"/>
        <item x="397"/>
        <item x="85"/>
        <item x="436"/>
        <item x="504"/>
        <item x="30"/>
        <item x="4"/>
        <item x="103"/>
        <item x="122"/>
        <item x="564"/>
        <item x="574"/>
        <item x="294"/>
        <item x="610"/>
        <item x="231"/>
        <item x="277"/>
        <item x="200"/>
        <item x="343"/>
        <item x="443"/>
        <item x="185"/>
        <item x="262"/>
        <item x="304"/>
        <item x="46"/>
        <item x="419"/>
        <item x="196"/>
        <item x="596"/>
        <item x="606"/>
        <item x="390"/>
        <item x="325"/>
        <item x="86"/>
        <item x="393"/>
        <item x="71"/>
        <item x="364"/>
        <item x="25"/>
        <item x="81"/>
        <item x="252"/>
        <item x="437"/>
        <item x="246"/>
        <item x="381"/>
        <item x="581"/>
        <item x="241"/>
        <item x="623"/>
        <item x="332"/>
        <item x="576"/>
        <item x="316"/>
        <item x="380"/>
        <item x="378"/>
        <item x="591"/>
        <item x="254"/>
        <item x="214"/>
        <item x="503"/>
        <item x="525"/>
        <item x="491"/>
        <item x="328"/>
        <item x="143"/>
        <item x="234"/>
        <item x="70"/>
        <item x="154"/>
        <item x="183"/>
        <item x="615"/>
        <item x="249"/>
        <item x="473"/>
        <item x="421"/>
        <item x="36"/>
        <item x="331"/>
        <item x="549"/>
        <item x="178"/>
        <item x="90"/>
        <item x="156"/>
        <item x="402"/>
        <item x="182"/>
        <item x="141"/>
        <item x="458"/>
        <item x="215"/>
        <item x="509"/>
        <item x="317"/>
        <item x="527"/>
        <item x="518"/>
        <item x="10"/>
        <item x="293"/>
        <item x="399"/>
        <item x="315"/>
        <item x="41"/>
        <item x="395"/>
        <item x="130"/>
        <item x="489"/>
        <item x="441"/>
        <item x="594"/>
        <item x="494"/>
        <item x="32"/>
        <item x="428"/>
        <item x="386"/>
        <item x="279"/>
        <item x="351"/>
        <item x="92"/>
        <item x="235"/>
        <item x="401"/>
        <item x="191"/>
        <item x="170"/>
        <item x="554"/>
        <item x="190"/>
        <item x="22"/>
        <item x="301"/>
        <item x="78"/>
        <item x="563"/>
        <item x="208"/>
        <item x="566"/>
        <item x="498"/>
        <item x="515"/>
        <item x="69"/>
        <item x="309"/>
        <item x="558"/>
        <item x="171"/>
        <item x="197"/>
        <item x="62"/>
        <item x="312"/>
        <item x="446"/>
        <item x="400"/>
        <item x="283"/>
        <item x="147"/>
        <item x="377"/>
        <item x="622"/>
        <item x="453"/>
        <item x="420"/>
        <item x="164"/>
        <item x="284"/>
        <item x="470"/>
        <item x="427"/>
        <item x="38"/>
        <item x="43"/>
        <item x="158"/>
        <item x="502"/>
        <item x="44"/>
        <item x="533"/>
        <item x="274"/>
        <item x="467"/>
        <item x="371"/>
        <item x="104"/>
        <item x="618"/>
        <item x="616"/>
        <item x="84"/>
        <item x="250"/>
        <item x="559"/>
        <item x="16"/>
        <item x="365"/>
        <item x="589"/>
        <item x="163"/>
        <item x="55"/>
        <item x="37"/>
        <item x="450"/>
        <item x="50"/>
        <item x="88"/>
        <item x="405"/>
        <item x="228"/>
        <item x="387"/>
        <item x="67"/>
        <item x="547"/>
        <item x="349"/>
        <item x="469"/>
        <item x="148"/>
        <item x="433"/>
        <item x="455"/>
        <item x="630"/>
        <item x="430"/>
        <item x="345"/>
        <item x="151"/>
        <item x="553"/>
        <item x="145"/>
        <item x="577"/>
        <item x="406"/>
        <item x="398"/>
        <item x="359"/>
        <item x="33"/>
        <item x="573"/>
        <item x="535"/>
        <item x="220"/>
        <item x="251"/>
        <item x="209"/>
        <item x="184"/>
        <item x="438"/>
        <item x="281"/>
        <item x="8"/>
        <item x="368"/>
        <item x="479"/>
        <item x="516"/>
        <item x="102"/>
        <item x="425"/>
        <item x="256"/>
        <item x="552"/>
        <item x="484"/>
        <item x="544"/>
        <item x="176"/>
        <item x="507"/>
        <item x="335"/>
        <item x="472"/>
        <item x="91"/>
        <item x="522"/>
        <item x="595"/>
        <item x="413"/>
        <item x="435"/>
        <item x="267"/>
        <item x="614"/>
        <item x="280"/>
        <item x="499"/>
        <item x="261"/>
        <item x="523"/>
        <item x="587"/>
        <item x="142"/>
        <item x="129"/>
        <item x="611"/>
        <item x="426"/>
        <item x="210"/>
        <item x="160"/>
        <item x="409"/>
        <item x="474"/>
        <item x="456"/>
        <item x="31"/>
        <item x="585"/>
        <item x="64"/>
        <item x="292"/>
        <item x="99"/>
        <item x="195"/>
        <item x="415"/>
        <item x="366"/>
        <item x="21"/>
        <item x="290"/>
        <item x="394"/>
        <item x="459"/>
        <item x="468"/>
        <item x="29"/>
        <item x="367"/>
        <item x="58"/>
        <item x="500"/>
        <item x="23"/>
        <item x="440"/>
        <item x="383"/>
        <item x="548"/>
        <item x="260"/>
        <item x="287"/>
        <item x="355"/>
        <item x="444"/>
        <item x="541"/>
        <item x="93"/>
        <item x="352"/>
        <item x="49"/>
        <item x="236"/>
        <item x="451"/>
        <item x="272"/>
        <item x="295"/>
        <item x="300"/>
        <item x="375"/>
        <item x="273"/>
        <item x="342"/>
        <item x="107"/>
        <item x="225"/>
        <item x="538"/>
        <item x="144"/>
        <item x="382"/>
        <item x="202"/>
        <item x="242"/>
        <item x="454"/>
        <item x="157"/>
        <item x="188"/>
        <item x="121"/>
        <item x="542"/>
        <item x="13"/>
        <item x="213"/>
        <item x="61"/>
        <item x="320"/>
        <item x="111"/>
        <item x="264"/>
        <item x="45"/>
        <item x="619"/>
        <item x="506"/>
        <item x="452"/>
        <item x="568"/>
        <item x="339"/>
        <item x="115"/>
        <item x="138"/>
        <item x="475"/>
        <item x="253"/>
        <item x="20"/>
        <item x="348"/>
        <item x="288"/>
        <item x="562"/>
        <item x="60"/>
        <item x="512"/>
        <item x="24"/>
        <item x="353"/>
        <item x="204"/>
        <item x="205"/>
        <item x="329"/>
        <item x="159"/>
        <item x="110"/>
        <item x="255"/>
        <item x="135"/>
        <item x="306"/>
        <item x="226"/>
        <item x="173"/>
        <item x="487"/>
        <item x="336"/>
        <item x="97"/>
        <item x="34"/>
        <item x="324"/>
        <item x="219"/>
        <item x="550"/>
        <item x="360"/>
        <item x="310"/>
        <item x="340"/>
        <item x="207"/>
        <item x="319"/>
        <item x="153"/>
        <item x="625"/>
        <item x="374"/>
        <item x="302"/>
        <item x="77"/>
        <item x="496"/>
        <item x="583"/>
        <item x="628"/>
        <item x="607"/>
        <item x="372"/>
        <item x="278"/>
        <item x="42"/>
        <item x="600"/>
        <item x="56"/>
        <item x="48"/>
        <item x="442"/>
        <item x="40"/>
        <item x="17"/>
        <item x="203"/>
        <item x="505"/>
        <item x="414"/>
        <item x="337"/>
        <item x="514"/>
        <item x="569"/>
        <item x="482"/>
        <item x="76"/>
        <item x="379"/>
        <item x="555"/>
        <item x="529"/>
        <item x="471"/>
        <item x="266"/>
        <item x="313"/>
        <item x="528"/>
        <item x="376"/>
        <item x="18"/>
        <item x="567"/>
        <item x="429"/>
        <item x="181"/>
        <item x="19"/>
        <item x="448"/>
        <item x="149"/>
        <item x="534"/>
        <item x="603"/>
        <item x="478"/>
        <item x="357"/>
        <item x="120"/>
        <item x="480"/>
        <item x="322"/>
        <item x="629"/>
        <item x="556"/>
        <item x="356"/>
        <item x="392"/>
        <item x="63"/>
        <item x="95"/>
        <item x="9"/>
        <item x="624"/>
        <item x="537"/>
        <item x="199"/>
        <item x="424"/>
        <item x="592"/>
        <item x="557"/>
        <item x="80"/>
        <item x="126"/>
        <item x="396"/>
        <item x="100"/>
        <item x="539"/>
        <item x="431"/>
        <item x="140"/>
        <item x="276"/>
        <item x="117"/>
        <item x="521"/>
        <item x="588"/>
        <item x="465"/>
        <item x="165"/>
        <item x="223"/>
        <item x="346"/>
        <item x="362"/>
        <item x="175"/>
        <item x="613"/>
        <item x="422"/>
        <item x="47"/>
        <item x="237"/>
        <item t="default"/>
      </items>
    </pivotField>
    <pivotField compact="0" showAll="0">
      <items count="633">
        <item x="1"/>
        <item x="132"/>
        <item x="11"/>
        <item x="116"/>
        <item x="501"/>
        <item x="626"/>
        <item x="385"/>
        <item x="265"/>
        <item x="152"/>
        <item x="177"/>
        <item x="289"/>
        <item x="477"/>
        <item x="150"/>
        <item x="298"/>
        <item x="560"/>
        <item x="259"/>
        <item x="134"/>
        <item x="338"/>
        <item x="146"/>
        <item x="125"/>
        <item x="323"/>
        <item x="361"/>
        <item x="540"/>
        <item x="432"/>
        <item x="98"/>
        <item x="114"/>
        <item x="65"/>
        <item x="112"/>
        <item x="131"/>
        <item x="52"/>
        <item x="73"/>
        <item x="229"/>
        <item x="631"/>
        <item x="193"/>
        <item x="244"/>
        <item x="590"/>
        <item x="492"/>
        <item x="230"/>
        <item x="27"/>
        <item x="286"/>
        <item x="605"/>
        <item x="363"/>
        <item x="601"/>
        <item x="416"/>
        <item x="404"/>
        <item x="54"/>
        <item x="14"/>
        <item x="388"/>
        <item x="497"/>
        <item x="434"/>
        <item x="423"/>
        <item x="407"/>
        <item x="373"/>
        <item x="543"/>
        <item x="321"/>
        <item x="187"/>
        <item x="180"/>
        <item x="192"/>
        <item x="72"/>
        <item x="2"/>
        <item x="105"/>
        <item x="519"/>
        <item x="127"/>
        <item x="408"/>
        <item x="617"/>
        <item x="384"/>
        <item x="94"/>
        <item x="303"/>
        <item x="196"/>
        <item x="397"/>
        <item x="3"/>
        <item x="593"/>
        <item x="449"/>
        <item x="457"/>
        <item x="101"/>
        <item x="87"/>
        <item x="66"/>
        <item x="58"/>
        <item x="167"/>
        <item x="109"/>
        <item x="201"/>
        <item x="622"/>
        <item x="268"/>
        <item x="411"/>
        <item x="427"/>
        <item x="333"/>
        <item x="224"/>
        <item x="53"/>
        <item x="137"/>
        <item x="139"/>
        <item x="166"/>
        <item x="238"/>
        <item x="476"/>
        <item x="122"/>
        <item x="81"/>
        <item x="179"/>
        <item x="74"/>
        <item x="252"/>
        <item x="68"/>
        <item x="55"/>
        <item x="299"/>
        <item x="36"/>
        <item x="390"/>
        <item x="123"/>
        <item x="574"/>
        <item x="263"/>
        <item x="609"/>
        <item x="200"/>
        <item x="532"/>
        <item x="212"/>
        <item x="96"/>
        <item x="35"/>
        <item x="85"/>
        <item x="561"/>
        <item x="275"/>
        <item x="383"/>
        <item x="216"/>
        <item x="485"/>
        <item x="285"/>
        <item x="51"/>
        <item x="545"/>
        <item x="106"/>
        <item x="190"/>
        <item x="402"/>
        <item x="86"/>
        <item x="16"/>
        <item x="618"/>
        <item x="15"/>
        <item x="606"/>
        <item x="198"/>
        <item x="531"/>
        <item x="358"/>
        <item x="510"/>
        <item x="269"/>
        <item x="317"/>
        <item x="155"/>
        <item x="311"/>
        <item x="340"/>
        <item x="401"/>
        <item x="235"/>
        <item x="59"/>
        <item x="10"/>
        <item x="580"/>
        <item x="234"/>
        <item x="612"/>
        <item x="566"/>
        <item x="512"/>
        <item x="530"/>
        <item x="462"/>
        <item x="215"/>
        <item x="4"/>
        <item x="393"/>
        <item x="351"/>
        <item x="381"/>
        <item x="364"/>
        <item x="142"/>
        <item x="227"/>
        <item x="248"/>
        <item x="369"/>
        <item x="184"/>
        <item x="526"/>
        <item x="400"/>
        <item x="170"/>
        <item x="504"/>
        <item x="365"/>
        <item x="554"/>
        <item x="162"/>
        <item x="84"/>
        <item x="426"/>
        <item x="189"/>
        <item x="375"/>
        <item x="319"/>
        <item x="447"/>
        <item x="136"/>
        <item x="208"/>
        <item x="236"/>
        <item x="576"/>
        <item x="63"/>
        <item x="564"/>
        <item x="257"/>
        <item x="520"/>
        <item x="395"/>
        <item x="30"/>
        <item x="536"/>
        <item x="610"/>
        <item x="417"/>
        <item x="435"/>
        <item x="382"/>
        <item x="438"/>
        <item x="406"/>
        <item x="185"/>
        <item x="591"/>
        <item x="619"/>
        <item x="99"/>
        <item x="75"/>
        <item x="307"/>
        <item x="195"/>
        <item x="151"/>
        <item x="264"/>
        <item x="380"/>
        <item x="49"/>
        <item x="314"/>
        <item x="246"/>
        <item x="272"/>
        <item x="44"/>
        <item x="343"/>
        <item x="282"/>
        <item x="387"/>
        <item x="392"/>
        <item x="249"/>
        <item x="575"/>
        <item x="350"/>
        <item x="428"/>
        <item x="399"/>
        <item x="6"/>
        <item x="623"/>
        <item x="306"/>
        <item x="479"/>
        <item x="528"/>
        <item x="270"/>
        <item x="548"/>
        <item x="221"/>
        <item x="488"/>
        <item x="325"/>
        <item x="377"/>
        <item x="168"/>
        <item x="553"/>
        <item x="419"/>
        <item x="294"/>
        <item x="39"/>
        <item x="371"/>
        <item x="242"/>
        <item x="516"/>
        <item x="154"/>
        <item x="284"/>
        <item x="587"/>
        <item x="441"/>
        <item x="463"/>
        <item x="602"/>
        <item x="578"/>
        <item x="50"/>
        <item x="218"/>
        <item x="484"/>
        <item x="513"/>
        <item x="549"/>
        <item x="243"/>
        <item x="70"/>
        <item x="511"/>
        <item x="460"/>
        <item x="522"/>
        <item x="211"/>
        <item x="194"/>
        <item x="31"/>
        <item x="527"/>
        <item x="206"/>
        <item x="420"/>
        <item x="241"/>
        <item x="64"/>
        <item x="439"/>
        <item x="203"/>
        <item x="615"/>
        <item x="483"/>
        <item x="38"/>
        <item x="506"/>
        <item x="461"/>
        <item x="7"/>
        <item x="494"/>
        <item x="138"/>
        <item x="573"/>
        <item x="169"/>
        <item x="174"/>
        <item x="297"/>
        <item x="186"/>
        <item x="113"/>
        <item x="143"/>
        <item x="140"/>
        <item x="608"/>
        <item x="273"/>
        <item x="271"/>
        <item x="571"/>
        <item x="620"/>
        <item x="228"/>
        <item x="421"/>
        <item x="147"/>
        <item x="161"/>
        <item x="409"/>
        <item x="291"/>
        <item x="370"/>
        <item x="542"/>
        <item x="239"/>
        <item x="89"/>
        <item x="262"/>
        <item x="45"/>
        <item x="598"/>
        <item x="353"/>
        <item x="583"/>
        <item x="316"/>
        <item x="172"/>
        <item x="327"/>
        <item x="302"/>
        <item x="410"/>
        <item x="60"/>
        <item x="318"/>
        <item x="133"/>
        <item x="596"/>
        <item x="468"/>
        <item x="240"/>
        <item x="25"/>
        <item x="469"/>
        <item x="256"/>
        <item x="599"/>
        <item x="467"/>
        <item x="79"/>
        <item x="124"/>
        <item x="562"/>
        <item x="232"/>
        <item x="41"/>
        <item x="352"/>
        <item x="119"/>
        <item x="292"/>
        <item x="552"/>
        <item x="78"/>
        <item x="160"/>
        <item x="9"/>
        <item x="91"/>
        <item x="459"/>
        <item x="209"/>
        <item x="276"/>
        <item x="584"/>
        <item x="40"/>
        <item x="412"/>
        <item x="26"/>
        <item x="111"/>
        <item x="547"/>
        <item x="22"/>
        <item x="12"/>
        <item x="585"/>
        <item x="339"/>
        <item x="188"/>
        <item x="518"/>
        <item x="83"/>
        <item x="251"/>
        <item x="524"/>
        <item x="503"/>
        <item x="418"/>
        <item x="360"/>
        <item x="97"/>
        <item x="515"/>
        <item x="357"/>
        <item x="296"/>
        <item x="308"/>
        <item x="300"/>
        <item x="283"/>
        <item x="42"/>
        <item x="197"/>
        <item x="61"/>
        <item x="183"/>
        <item x="465"/>
        <item x="453"/>
        <item x="165"/>
        <item x="341"/>
        <item x="148"/>
        <item x="92"/>
        <item x="144"/>
        <item x="331"/>
        <item x="582"/>
        <item x="312"/>
        <item x="525"/>
        <item x="455"/>
        <item x="126"/>
        <item x="456"/>
        <item x="376"/>
        <item x="164"/>
        <item x="328"/>
        <item x="46"/>
        <item x="486"/>
        <item x="614"/>
        <item x="67"/>
        <item x="424"/>
        <item x="489"/>
        <item x="464"/>
        <item x="567"/>
        <item x="332"/>
        <item x="448"/>
        <item x="558"/>
        <item x="80"/>
        <item x="32"/>
        <item x="202"/>
        <item x="62"/>
        <item x="490"/>
        <item x="473"/>
        <item x="386"/>
        <item x="173"/>
        <item x="337"/>
        <item x="237"/>
        <item x="247"/>
        <item x="355"/>
        <item x="281"/>
        <item x="214"/>
        <item x="301"/>
        <item x="233"/>
        <item x="199"/>
        <item x="559"/>
        <item x="118"/>
        <item x="260"/>
        <item x="405"/>
        <item x="359"/>
        <item x="159"/>
        <item x="90"/>
        <item x="175"/>
        <item x="57"/>
        <item x="48"/>
        <item x="508"/>
        <item x="437"/>
        <item x="625"/>
        <item x="267"/>
        <item x="107"/>
        <item x="226"/>
        <item x="258"/>
        <item x="535"/>
        <item x="374"/>
        <item x="261"/>
        <item x="278"/>
        <item x="77"/>
        <item x="309"/>
        <item x="104"/>
        <item x="533"/>
        <item x="280"/>
        <item x="474"/>
        <item x="313"/>
        <item x="219"/>
        <item x="628"/>
        <item x="315"/>
        <item x="556"/>
        <item x="475"/>
        <item x="157"/>
        <item x="335"/>
        <item x="611"/>
        <item x="17"/>
        <item x="600"/>
        <item x="539"/>
        <item x="141"/>
        <item x="348"/>
        <item x="149"/>
        <item x="345"/>
        <item x="546"/>
        <item x="181"/>
        <item x="429"/>
        <item x="210"/>
        <item x="310"/>
        <item x="509"/>
        <item x="329"/>
        <item x="577"/>
        <item x="176"/>
        <item x="534"/>
        <item x="266"/>
        <item x="444"/>
        <item x="217"/>
        <item x="422"/>
        <item x="425"/>
        <item x="103"/>
        <item x="572"/>
        <item x="579"/>
        <item x="128"/>
        <item x="213"/>
        <item x="288"/>
        <item x="110"/>
        <item x="346"/>
        <item x="222"/>
        <item x="279"/>
        <item x="21"/>
        <item x="466"/>
        <item x="5"/>
        <item x="482"/>
        <item x="537"/>
        <item x="450"/>
        <item x="250"/>
        <item x="624"/>
        <item x="366"/>
        <item x="274"/>
        <item x="347"/>
        <item x="8"/>
        <item x="454"/>
        <item x="433"/>
        <item x="495"/>
        <item x="29"/>
        <item x="517"/>
        <item x="487"/>
        <item x="394"/>
        <item x="550"/>
        <item x="326"/>
        <item x="586"/>
        <item x="507"/>
        <item x="440"/>
        <item x="163"/>
        <item x="478"/>
        <item x="604"/>
        <item x="413"/>
        <item x="245"/>
        <item x="499"/>
        <item x="135"/>
        <item x="0"/>
        <item x="551"/>
        <item x="389"/>
        <item x="500"/>
        <item x="445"/>
        <item x="372"/>
        <item x="76"/>
        <item x="446"/>
        <item x="589"/>
        <item x="592"/>
        <item x="191"/>
        <item x="430"/>
        <item x="121"/>
        <item x="277"/>
        <item x="630"/>
        <item x="496"/>
        <item x="472"/>
        <item x="37"/>
        <item x="18"/>
        <item x="23"/>
        <item x="336"/>
        <item x="568"/>
        <item x="481"/>
        <item x="253"/>
        <item x="621"/>
        <item x="153"/>
        <item x="225"/>
        <item x="436"/>
        <item x="43"/>
        <item x="182"/>
        <item x="588"/>
        <item x="396"/>
        <item x="470"/>
        <item x="398"/>
        <item x="565"/>
        <item x="205"/>
        <item x="502"/>
        <item x="71"/>
        <item x="334"/>
        <item x="594"/>
        <item x="108"/>
        <item x="69"/>
        <item x="471"/>
        <item x="570"/>
        <item x="354"/>
        <item x="356"/>
        <item x="569"/>
        <item x="290"/>
        <item x="117"/>
        <item x="19"/>
        <item x="415"/>
        <item x="145"/>
        <item x="603"/>
        <item x="33"/>
        <item x="627"/>
        <item x="88"/>
        <item x="493"/>
        <item x="443"/>
        <item x="349"/>
        <item x="480"/>
        <item x="28"/>
        <item x="115"/>
        <item x="458"/>
        <item x="597"/>
        <item x="82"/>
        <item x="220"/>
        <item x="287"/>
        <item x="523"/>
        <item x="403"/>
        <item x="204"/>
        <item x="629"/>
        <item x="330"/>
        <item x="442"/>
        <item x="362"/>
        <item x="231"/>
        <item x="171"/>
        <item x="563"/>
        <item x="93"/>
        <item x="557"/>
        <item x="207"/>
        <item x="34"/>
        <item x="514"/>
        <item x="158"/>
        <item x="498"/>
        <item x="304"/>
        <item x="120"/>
        <item x="295"/>
        <item x="505"/>
        <item x="368"/>
        <item x="344"/>
        <item x="129"/>
        <item x="521"/>
        <item x="555"/>
        <item x="322"/>
        <item x="378"/>
        <item x="24"/>
        <item x="544"/>
        <item x="452"/>
        <item x="156"/>
        <item x="391"/>
        <item x="595"/>
        <item x="379"/>
        <item x="367"/>
        <item x="607"/>
        <item x="95"/>
        <item x="178"/>
        <item x="541"/>
        <item x="538"/>
        <item x="13"/>
        <item x="491"/>
        <item x="451"/>
        <item x="342"/>
        <item x="102"/>
        <item x="254"/>
        <item x="320"/>
        <item x="20"/>
        <item x="414"/>
        <item x="616"/>
        <item x="431"/>
        <item x="130"/>
        <item x="223"/>
        <item x="56"/>
        <item x="324"/>
        <item x="293"/>
        <item x="305"/>
        <item x="581"/>
        <item x="613"/>
        <item x="529"/>
        <item x="255"/>
        <item x="100"/>
        <item x="47"/>
        <item t="default"/>
      </items>
    </pivotField>
    <pivotField compact="0" defaultSubtotal="0" showAll="0">
      <items count="5">
        <item x="0"/>
        <item x="4"/>
        <item x="1"/>
        <item x="2"/>
        <item x="3"/>
      </items>
    </pivotField>
  </pivotFields>
  <rowFields count="1">
    <field x="1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21"/>
  </colFields>
  <colItems count="4">
    <i>
      <x/>
    </i>
    <i>
      <x v="1"/>
    </i>
    <i>
      <x v="2"/>
    </i>
    <i t="grand">
      <x/>
    </i>
  </colItems>
  <dataFields count="1">
    <dataField name="Count of Derived Price Band" fld="21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A3:D371" firstHeaderRow="1" firstDataRow="1" firstDataCol="3"/>
  <pivotFields count="34">
    <pivotField compact="0" showAll="0">
      <items count="632">
        <item x="605"/>
        <item x="449"/>
        <item x="7"/>
        <item x="518"/>
        <item x="573"/>
        <item x="46"/>
        <item x="367"/>
        <item x="201"/>
        <item x="551"/>
        <item x="324"/>
        <item x="438"/>
        <item x="166"/>
        <item x="80"/>
        <item x="361"/>
        <item x="328"/>
        <item x="300"/>
        <item x="453"/>
        <item x="577"/>
        <item x="193"/>
        <item x="122"/>
        <item x="332"/>
        <item x="439"/>
        <item x="457"/>
        <item x="148"/>
        <item x="224"/>
        <item x="190"/>
        <item x="347"/>
        <item x="278"/>
        <item x="350"/>
        <item x="535"/>
        <item x="54"/>
        <item x="65"/>
        <item x="163"/>
        <item x="470"/>
        <item x="580"/>
        <item x="625"/>
        <item x="106"/>
        <item x="269"/>
        <item x="256"/>
        <item x="89"/>
        <item x="339"/>
        <item x="24"/>
        <item x="220"/>
        <item x="281"/>
        <item x="250"/>
        <item x="376"/>
        <item x="540"/>
        <item x="172"/>
        <item x="225"/>
        <item x="78"/>
        <item x="49"/>
        <item x="603"/>
        <item x="226"/>
        <item x="168"/>
        <item x="45"/>
        <item x="144"/>
        <item x="183"/>
        <item x="574"/>
        <item x="81"/>
        <item x="512"/>
        <item x="562"/>
        <item x="315"/>
        <item x="391"/>
        <item x="288"/>
        <item x="272"/>
        <item x="2"/>
        <item x="92"/>
        <item x="292"/>
        <item x="434"/>
        <item x="585"/>
        <item x="199"/>
        <item x="74"/>
        <item x="363"/>
        <item x="204"/>
        <item x="185"/>
        <item x="497"/>
        <item x="52"/>
        <item x="99"/>
        <item x="118"/>
        <item x="132"/>
        <item x="215"/>
        <item x="495"/>
        <item x="171"/>
        <item x="613"/>
        <item x="543"/>
        <item x="629"/>
        <item x="520"/>
        <item x="547"/>
        <item x="255"/>
        <item x="351"/>
        <item x="64"/>
        <item x="546"/>
        <item x="151"/>
        <item x="223"/>
        <item x="615"/>
        <item x="239"/>
        <item x="260"/>
        <item x="129"/>
        <item x="532"/>
        <item x="326"/>
        <item x="459"/>
        <item x="371"/>
        <item x="66"/>
        <item x="626"/>
        <item x="604"/>
        <item x="624"/>
        <item x="31"/>
        <item x="515"/>
        <item x="477"/>
        <item x="344"/>
        <item x="499"/>
        <item x="197"/>
        <item x="121"/>
        <item x="445"/>
        <item x="455"/>
        <item x="202"/>
        <item x="474"/>
        <item x="301"/>
        <item x="382"/>
        <item x="152"/>
        <item x="485"/>
        <item x="296"/>
        <item x="124"/>
        <item x="229"/>
        <item x="478"/>
        <item x="284"/>
        <item x="137"/>
        <item x="216"/>
        <item x="387"/>
        <item x="591"/>
        <item x="316"/>
        <item x="537"/>
        <item x="419"/>
        <item x="261"/>
        <item x="266"/>
        <item x="259"/>
        <item x="528"/>
        <item x="39"/>
        <item x="213"/>
        <item x="431"/>
        <item x="337"/>
        <item x="176"/>
        <item x="609"/>
        <item x="291"/>
        <item x="408"/>
        <item x="384"/>
        <item x="596"/>
        <item x="526"/>
        <item x="198"/>
        <item x="460"/>
        <item x="221"/>
        <item x="576"/>
        <item x="279"/>
        <item x="75"/>
        <item x="5"/>
        <item x="589"/>
        <item x="466"/>
        <item x="412"/>
        <item x="349"/>
        <item x="501"/>
        <item x="243"/>
        <item x="68"/>
        <item x="436"/>
        <item x="619"/>
        <item x="340"/>
        <item x="444"/>
        <item x="450"/>
        <item x="476"/>
        <item x="437"/>
        <item x="69"/>
        <item x="539"/>
        <item x="369"/>
        <item x="4"/>
        <item x="338"/>
        <item x="145"/>
        <item x="187"/>
        <item x="318"/>
        <item x="388"/>
        <item x="85"/>
        <item x="154"/>
        <item x="441"/>
        <item x="160"/>
        <item x="404"/>
        <item x="370"/>
        <item x="581"/>
        <item x="35"/>
        <item x="507"/>
        <item x="483"/>
        <item x="135"/>
        <item x="21"/>
        <item x="570"/>
        <item x="95"/>
        <item x="115"/>
        <item x="456"/>
        <item x="125"/>
        <item x="308"/>
        <item x="165"/>
        <item x="623"/>
        <item x="258"/>
        <item x="321"/>
        <item x="311"/>
        <item x="28"/>
        <item x="346"/>
        <item x="140"/>
        <item x="142"/>
        <item x="509"/>
        <item x="205"/>
        <item x="627"/>
        <item x="192"/>
        <item x="393"/>
        <item x="469"/>
        <item x="411"/>
        <item x="15"/>
        <item x="331"/>
        <item x="233"/>
        <item x="228"/>
        <item x="555"/>
        <item x="542"/>
        <item x="628"/>
        <item x="237"/>
        <item x="267"/>
        <item x="538"/>
        <item x="114"/>
        <item x="414"/>
        <item x="178"/>
        <item x="396"/>
        <item x="479"/>
        <item x="336"/>
        <item x="164"/>
        <item x="155"/>
        <item x="549"/>
        <item x="325"/>
        <item x="105"/>
        <item x="134"/>
        <item x="309"/>
        <item x="109"/>
        <item x="34"/>
        <item x="401"/>
        <item x="30"/>
        <item x="79"/>
        <item x="214"/>
        <item x="153"/>
        <item x="458"/>
        <item x="548"/>
        <item x="16"/>
        <item x="322"/>
        <item x="523"/>
        <item x="297"/>
        <item x="564"/>
        <item x="480"/>
        <item x="10"/>
        <item x="147"/>
        <item x="191"/>
        <item x="25"/>
        <item x="162"/>
        <item x="251"/>
        <item x="111"/>
        <item x="353"/>
        <item x="139"/>
        <item x="181"/>
        <item x="586"/>
        <item x="489"/>
        <item x="63"/>
        <item x="560"/>
        <item x="392"/>
        <item x="454"/>
        <item x="51"/>
        <item x="607"/>
        <item x="0"/>
        <item x="287"/>
        <item x="234"/>
        <item x="107"/>
        <item x="70"/>
        <item x="57"/>
        <item x="41"/>
        <item x="252"/>
        <item x="390"/>
        <item x="504"/>
        <item x="247"/>
        <item x="167"/>
        <item x="561"/>
        <item x="610"/>
        <item x="334"/>
        <item x="341"/>
        <item x="6"/>
        <item x="612"/>
        <item x="362"/>
        <item x="67"/>
        <item x="253"/>
        <item x="536"/>
        <item x="572"/>
        <item x="461"/>
        <item x="161"/>
        <item x="1"/>
        <item x="524"/>
        <item x="283"/>
        <item x="486"/>
        <item x="410"/>
        <item x="429"/>
        <item x="484"/>
        <item x="143"/>
        <item x="44"/>
        <item x="405"/>
        <item x="383"/>
        <item x="517"/>
        <item x="310"/>
        <item x="545"/>
        <item x="231"/>
        <item x="313"/>
        <item x="494"/>
        <item x="568"/>
        <item x="149"/>
        <item x="594"/>
        <item x="194"/>
        <item x="440"/>
        <item x="76"/>
        <item x="77"/>
        <item x="413"/>
        <item x="50"/>
        <item x="521"/>
        <item x="423"/>
        <item x="117"/>
        <item x="103"/>
        <item x="578"/>
        <item x="274"/>
        <item x="23"/>
        <item x="265"/>
        <item x="323"/>
        <item x="188"/>
        <item x="464"/>
        <item x="443"/>
        <item x="356"/>
        <item x="424"/>
        <item x="492"/>
        <item x="386"/>
        <item x="529"/>
        <item x="554"/>
        <item x="409"/>
        <item x="245"/>
        <item x="47"/>
        <item x="600"/>
        <item x="157"/>
        <item x="558"/>
        <item x="448"/>
        <item x="500"/>
        <item x="232"/>
        <item x="335"/>
        <item x="587"/>
        <item x="493"/>
        <item x="277"/>
        <item x="433"/>
        <item x="126"/>
        <item x="598"/>
        <item x="123"/>
        <item x="8"/>
        <item x="582"/>
        <item x="86"/>
        <item x="38"/>
        <item x="88"/>
        <item x="128"/>
        <item x="170"/>
        <item x="400"/>
        <item x="541"/>
        <item x="33"/>
        <item x="40"/>
        <item x="97"/>
        <item x="184"/>
        <item x="475"/>
        <item x="342"/>
        <item x="472"/>
        <item x="430"/>
        <item x="415"/>
        <item x="249"/>
        <item x="195"/>
        <item x="402"/>
        <item x="209"/>
        <item x="557"/>
        <item x="207"/>
        <item x="583"/>
        <item x="373"/>
        <item x="36"/>
        <item x="359"/>
        <item x="527"/>
        <item x="320"/>
        <item x="217"/>
        <item x="496"/>
        <item x="506"/>
        <item x="611"/>
        <item x="442"/>
        <item x="271"/>
        <item x="418"/>
        <item x="618"/>
        <item x="189"/>
        <item x="156"/>
        <item x="567"/>
        <item x="104"/>
        <item x="508"/>
        <item x="218"/>
        <item x="138"/>
        <item x="465"/>
        <item x="26"/>
        <item x="295"/>
        <item x="490"/>
        <item x="108"/>
        <item x="20"/>
        <item x="73"/>
        <item x="235"/>
        <item x="427"/>
        <item x="621"/>
        <item x="365"/>
        <item x="319"/>
        <item x="522"/>
        <item x="273"/>
        <item x="136"/>
        <item x="432"/>
        <item x="608"/>
        <item x="101"/>
        <item x="451"/>
        <item x="244"/>
        <item x="27"/>
        <item x="254"/>
        <item x="286"/>
        <item x="242"/>
        <item x="374"/>
        <item x="559"/>
        <item x="303"/>
        <item x="268"/>
        <item x="447"/>
        <item x="13"/>
        <item x="358"/>
        <item x="519"/>
        <item x="343"/>
        <item x="238"/>
        <item x="345"/>
        <item x="141"/>
        <item x="60"/>
        <item x="599"/>
        <item x="110"/>
        <item x="352"/>
        <item x="112"/>
        <item x="354"/>
        <item x="312"/>
        <item x="616"/>
        <item x="72"/>
        <item x="169"/>
        <item x="592"/>
        <item x="275"/>
        <item x="177"/>
        <item x="510"/>
        <item x="357"/>
        <item x="511"/>
        <item x="48"/>
        <item x="196"/>
        <item x="174"/>
        <item x="435"/>
        <item x="398"/>
        <item x="487"/>
        <item x="565"/>
        <item x="211"/>
        <item x="426"/>
        <item x="93"/>
        <item x="42"/>
        <item x="200"/>
        <item x="82"/>
        <item x="364"/>
        <item x="236"/>
        <item x="513"/>
        <item x="304"/>
        <item x="206"/>
        <item x="534"/>
        <item x="617"/>
        <item x="579"/>
        <item x="3"/>
        <item x="569"/>
        <item x="571"/>
        <item x="120"/>
        <item x="257"/>
        <item x="375"/>
        <item x="601"/>
        <item x="299"/>
        <item x="379"/>
        <item x="417"/>
        <item x="314"/>
        <item x="17"/>
        <item x="146"/>
        <item x="150"/>
        <item x="584"/>
        <item x="248"/>
        <item x="482"/>
        <item x="488"/>
        <item x="606"/>
        <item x="96"/>
        <item x="372"/>
        <item x="420"/>
        <item x="302"/>
        <item x="588"/>
        <item x="575"/>
        <item x="227"/>
        <item x="462"/>
        <item x="368"/>
        <item x="533"/>
        <item x="333"/>
        <item x="100"/>
        <item x="84"/>
        <item x="502"/>
        <item x="553"/>
        <item x="552"/>
        <item x="133"/>
        <item x="306"/>
        <item x="294"/>
        <item x="416"/>
        <item x="307"/>
        <item x="481"/>
        <item x="452"/>
        <item x="159"/>
        <item x="550"/>
        <item x="263"/>
        <item x="525"/>
        <item x="446"/>
        <item x="505"/>
        <item x="32"/>
        <item x="348"/>
        <item x="270"/>
        <item x="389"/>
        <item x="394"/>
        <item x="293"/>
        <item x="12"/>
        <item x="83"/>
        <item x="463"/>
        <item x="131"/>
        <item x="240"/>
        <item x="407"/>
        <item x="11"/>
        <item x="62"/>
        <item x="91"/>
        <item x="614"/>
        <item x="127"/>
        <item x="285"/>
        <item x="98"/>
        <item x="186"/>
        <item x="29"/>
        <item x="212"/>
        <item x="53"/>
        <item x="22"/>
        <item x="210"/>
        <item x="397"/>
        <item x="360"/>
        <item x="399"/>
        <item x="366"/>
        <item x="90"/>
        <item x="208"/>
        <item x="514"/>
        <item x="377"/>
        <item x="58"/>
        <item x="71"/>
        <item x="241"/>
        <item x="113"/>
        <item x="622"/>
        <item x="130"/>
        <item x="421"/>
        <item x="179"/>
        <item x="329"/>
        <item x="563"/>
        <item x="102"/>
        <item x="180"/>
        <item x="428"/>
        <item x="395"/>
        <item x="276"/>
        <item x="222"/>
        <item x="503"/>
        <item x="473"/>
        <item x="597"/>
        <item x="280"/>
        <item x="116"/>
        <item x="173"/>
        <item x="491"/>
        <item x="595"/>
        <item x="37"/>
        <item x="94"/>
        <item x="630"/>
        <item x="330"/>
        <item x="19"/>
        <item x="602"/>
        <item x="290"/>
        <item x="230"/>
        <item x="219"/>
        <item x="59"/>
        <item x="55"/>
        <item x="158"/>
        <item x="531"/>
        <item x="327"/>
        <item x="61"/>
        <item x="471"/>
        <item x="381"/>
        <item x="467"/>
        <item x="425"/>
        <item x="43"/>
        <item x="380"/>
        <item x="498"/>
        <item x="516"/>
        <item x="422"/>
        <item x="14"/>
        <item x="18"/>
        <item x="175"/>
        <item x="593"/>
        <item x="317"/>
        <item x="87"/>
        <item x="385"/>
        <item x="556"/>
        <item x="406"/>
        <item x="264"/>
        <item x="182"/>
        <item x="620"/>
        <item x="262"/>
        <item x="403"/>
        <item x="378"/>
        <item x="289"/>
        <item x="530"/>
        <item x="566"/>
        <item x="56"/>
        <item x="298"/>
        <item x="305"/>
        <item x="246"/>
        <item x="468"/>
        <item x="355"/>
        <item x="119"/>
        <item x="544"/>
        <item x="203"/>
        <item x="282"/>
        <item x="590"/>
        <item x="9"/>
        <item t="default"/>
      </items>
    </pivotField>
    <pivotField axis="axisRow" compact="0" numFmtId="18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showAll="0">
      <items count="13">
        <item x="4"/>
        <item x="2"/>
        <item x="0"/>
        <item x="7"/>
        <item x="5"/>
        <item x="9"/>
        <item x="8"/>
        <item x="11"/>
        <item x="6"/>
        <item x="1"/>
        <item x="10"/>
        <item x="3"/>
        <item t="default"/>
      </items>
    </pivotField>
    <pivotField compact="0" showAll="0">
      <items count="469">
        <item x="5"/>
        <item x="455"/>
        <item x="271"/>
        <item x="415"/>
        <item x="181"/>
        <item x="7"/>
        <item x="371"/>
        <item x="184"/>
        <item x="119"/>
        <item x="424"/>
        <item x="122"/>
        <item x="171"/>
        <item x="180"/>
        <item x="312"/>
        <item x="23"/>
        <item x="77"/>
        <item x="426"/>
        <item x="62"/>
        <item x="152"/>
        <item x="147"/>
        <item x="361"/>
        <item x="29"/>
        <item x="159"/>
        <item x="452"/>
        <item x="2"/>
        <item x="107"/>
        <item x="432"/>
        <item x="226"/>
        <item x="336"/>
        <item x="206"/>
        <item x="315"/>
        <item x="211"/>
        <item x="342"/>
        <item x="64"/>
        <item x="278"/>
        <item x="150"/>
        <item x="33"/>
        <item x="50"/>
        <item x="451"/>
        <item x="163"/>
        <item x="89"/>
        <item x="458"/>
        <item x="125"/>
        <item x="290"/>
        <item x="27"/>
        <item x="387"/>
        <item x="153"/>
        <item x="43"/>
        <item x="67"/>
        <item x="460"/>
        <item x="15"/>
        <item x="441"/>
        <item x="410"/>
        <item x="129"/>
        <item x="449"/>
        <item x="177"/>
        <item x="275"/>
        <item x="239"/>
        <item x="406"/>
        <item x="20"/>
        <item x="382"/>
        <item x="362"/>
        <item x="72"/>
        <item x="207"/>
        <item x="373"/>
        <item x="234"/>
        <item x="328"/>
        <item x="408"/>
        <item x="446"/>
        <item x="308"/>
        <item x="109"/>
        <item x="280"/>
        <item x="367"/>
        <item x="75"/>
        <item x="251"/>
        <item x="37"/>
        <item x="264"/>
        <item x="169"/>
        <item x="44"/>
        <item x="87"/>
        <item x="85"/>
        <item x="306"/>
        <item x="186"/>
        <item x="140"/>
        <item x="133"/>
        <item x="422"/>
        <item x="425"/>
        <item x="376"/>
        <item x="47"/>
        <item x="289"/>
        <item x="386"/>
        <item x="256"/>
        <item x="172"/>
        <item x="370"/>
        <item x="245"/>
        <item x="288"/>
        <item x="131"/>
        <item x="203"/>
        <item x="443"/>
        <item x="242"/>
        <item x="235"/>
        <item x="174"/>
        <item x="389"/>
        <item x="115"/>
        <item x="183"/>
        <item x="419"/>
        <item x="66"/>
        <item x="114"/>
        <item x="260"/>
        <item x="417"/>
        <item x="343"/>
        <item x="200"/>
        <item x="161"/>
        <item x="345"/>
        <item x="52"/>
        <item x="429"/>
        <item x="137"/>
        <item x="459"/>
        <item x="73"/>
        <item x="216"/>
        <item x="364"/>
        <item x="158"/>
        <item x="199"/>
        <item x="323"/>
        <item x="204"/>
        <item x="231"/>
        <item x="155"/>
        <item x="327"/>
        <item x="233"/>
        <item x="348"/>
        <item x="176"/>
        <item x="358"/>
        <item x="259"/>
        <item x="282"/>
        <item x="391"/>
        <item x="324"/>
        <item x="250"/>
        <item x="143"/>
        <item x="193"/>
        <item x="276"/>
        <item x="285"/>
        <item x="112"/>
        <item x="106"/>
        <item x="214"/>
        <item x="134"/>
        <item x="294"/>
        <item x="297"/>
        <item x="63"/>
        <item x="374"/>
        <item x="4"/>
        <item x="141"/>
        <item x="340"/>
        <item x="380"/>
        <item x="202"/>
        <item x="195"/>
        <item x="295"/>
        <item x="81"/>
        <item x="240"/>
        <item x="311"/>
        <item x="423"/>
        <item x="113"/>
        <item x="360"/>
        <item x="300"/>
        <item x="279"/>
        <item x="435"/>
        <item x="241"/>
        <item x="39"/>
        <item x="182"/>
        <item x="94"/>
        <item x="347"/>
        <item x="303"/>
        <item x="13"/>
        <item x="84"/>
        <item x="436"/>
        <item x="247"/>
        <item x="10"/>
        <item x="145"/>
        <item x="162"/>
        <item x="383"/>
        <item x="437"/>
        <item x="179"/>
        <item x="128"/>
        <item x="221"/>
        <item x="292"/>
        <item x="142"/>
        <item x="351"/>
        <item x="439"/>
        <item x="354"/>
        <item x="352"/>
        <item x="194"/>
        <item x="397"/>
        <item x="263"/>
        <item x="314"/>
        <item x="428"/>
        <item x="220"/>
        <item x="34"/>
        <item x="307"/>
        <item x="58"/>
        <item x="0"/>
        <item x="450"/>
        <item x="227"/>
        <item x="246"/>
        <item x="68"/>
        <item x="363"/>
        <item x="265"/>
        <item x="248"/>
        <item x="215"/>
        <item x="244"/>
        <item x="149"/>
        <item x="136"/>
        <item x="403"/>
        <item x="82"/>
        <item x="286"/>
        <item x="70"/>
        <item x="413"/>
        <item x="31"/>
        <item x="36"/>
        <item x="395"/>
        <item x="412"/>
        <item x="400"/>
        <item x="230"/>
        <item x="372"/>
        <item x="8"/>
        <item x="375"/>
        <item x="322"/>
        <item x="385"/>
        <item x="393"/>
        <item x="45"/>
        <item x="313"/>
        <item x="22"/>
        <item x="173"/>
        <item x="42"/>
        <item x="98"/>
        <item x="65"/>
        <item x="154"/>
        <item x="398"/>
        <item x="91"/>
        <item x="118"/>
        <item x="101"/>
        <item x="368"/>
        <item x="151"/>
        <item x="416"/>
        <item x="344"/>
        <item x="116"/>
        <item x="274"/>
        <item x="102"/>
        <item x="103"/>
        <item x="369"/>
        <item x="132"/>
        <item x="249"/>
        <item x="269"/>
        <item x="304"/>
        <item x="463"/>
        <item x="104"/>
        <item x="24"/>
        <item x="411"/>
        <item x="287"/>
        <item x="293"/>
        <item x="157"/>
        <item x="320"/>
        <item x="26"/>
        <item x="334"/>
        <item x="19"/>
        <item x="465"/>
        <item x="228"/>
        <item x="453"/>
        <item x="447"/>
        <item x="399"/>
        <item x="144"/>
        <item x="298"/>
        <item x="326"/>
        <item x="175"/>
        <item x="99"/>
        <item x="421"/>
        <item x="456"/>
        <item x="353"/>
        <item x="396"/>
        <item x="365"/>
        <item x="32"/>
        <item x="38"/>
        <item x="74"/>
        <item x="341"/>
        <item x="434"/>
        <item x="225"/>
        <item x="209"/>
        <item x="210"/>
        <item x="331"/>
        <item x="255"/>
        <item x="191"/>
        <item x="187"/>
        <item x="212"/>
        <item x="97"/>
        <item x="197"/>
        <item x="178"/>
        <item x="138"/>
        <item x="366"/>
        <item x="189"/>
        <item x="166"/>
        <item x="88"/>
        <item x="238"/>
        <item x="156"/>
        <item x="407"/>
        <item x="196"/>
        <item x="464"/>
        <item x="46"/>
        <item x="100"/>
        <item x="49"/>
        <item x="462"/>
        <item x="168"/>
        <item x="1"/>
        <item x="404"/>
        <item x="40"/>
        <item x="229"/>
        <item x="291"/>
        <item x="148"/>
        <item x="356"/>
        <item x="61"/>
        <item x="273"/>
        <item x="333"/>
        <item x="48"/>
        <item x="299"/>
        <item x="223"/>
        <item x="444"/>
        <item x="405"/>
        <item x="392"/>
        <item x="127"/>
        <item x="76"/>
        <item x="379"/>
        <item x="302"/>
        <item x="461"/>
        <item x="25"/>
        <item x="219"/>
        <item x="96"/>
        <item x="430"/>
        <item x="390"/>
        <item x="16"/>
        <item x="330"/>
        <item x="126"/>
        <item x="71"/>
        <item x="55"/>
        <item x="337"/>
        <item x="124"/>
        <item x="130"/>
        <item x="359"/>
        <item x="6"/>
        <item x="357"/>
        <item x="272"/>
        <item x="11"/>
        <item x="409"/>
        <item x="316"/>
        <item x="123"/>
        <item x="420"/>
        <item x="283"/>
        <item x="170"/>
        <item x="105"/>
        <item x="335"/>
        <item x="51"/>
        <item x="266"/>
        <item x="93"/>
        <item x="192"/>
        <item x="318"/>
        <item x="167"/>
        <item x="185"/>
        <item x="317"/>
        <item x="414"/>
        <item x="54"/>
        <item x="120"/>
        <item x="146"/>
        <item x="433"/>
        <item x="454"/>
        <item x="243"/>
        <item x="338"/>
        <item x="349"/>
        <item x="467"/>
        <item x="121"/>
        <item x="12"/>
        <item x="339"/>
        <item x="402"/>
        <item x="418"/>
        <item x="252"/>
        <item x="310"/>
        <item x="309"/>
        <item x="381"/>
        <item x="401"/>
        <item x="80"/>
        <item x="3"/>
        <item x="258"/>
        <item x="95"/>
        <item x="277"/>
        <item x="254"/>
        <item x="53"/>
        <item x="28"/>
        <item x="69"/>
        <item x="377"/>
        <item x="261"/>
        <item x="332"/>
        <item x="440"/>
        <item x="160"/>
        <item x="139"/>
        <item x="448"/>
        <item x="222"/>
        <item x="79"/>
        <item x="208"/>
        <item x="60"/>
        <item x="86"/>
        <item x="57"/>
        <item x="355"/>
        <item x="267"/>
        <item x="321"/>
        <item x="78"/>
        <item x="394"/>
        <item x="217"/>
        <item x="253"/>
        <item x="270"/>
        <item x="281"/>
        <item x="9"/>
        <item x="329"/>
        <item x="41"/>
        <item x="262"/>
        <item x="108"/>
        <item x="346"/>
        <item x="56"/>
        <item x="21"/>
        <item x="325"/>
        <item x="296"/>
        <item x="111"/>
        <item x="236"/>
        <item x="268"/>
        <item x="35"/>
        <item x="305"/>
        <item x="438"/>
        <item x="232"/>
        <item x="350"/>
        <item x="110"/>
        <item x="445"/>
        <item x="190"/>
        <item x="201"/>
        <item x="213"/>
        <item x="466"/>
        <item x="18"/>
        <item x="188"/>
        <item x="92"/>
        <item x="319"/>
        <item x="30"/>
        <item x="378"/>
        <item x="90"/>
        <item x="218"/>
        <item x="442"/>
        <item x="117"/>
        <item x="431"/>
        <item x="83"/>
        <item x="205"/>
        <item x="457"/>
        <item x="384"/>
        <item x="301"/>
        <item x="427"/>
        <item x="164"/>
        <item x="198"/>
        <item x="257"/>
        <item x="388"/>
        <item x="14"/>
        <item x="237"/>
        <item x="17"/>
        <item x="59"/>
        <item x="135"/>
        <item x="224"/>
        <item x="284"/>
        <item x="165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numFmtId="181" showAll="0">
      <items count="470">
        <item x="5"/>
        <item x="7"/>
        <item x="185"/>
        <item x="199"/>
        <item x="411"/>
        <item x="270"/>
        <item x="125"/>
        <item x="128"/>
        <item x="187"/>
        <item x="441"/>
        <item x="78"/>
        <item x="24"/>
        <item x="419"/>
        <item x="183"/>
        <item x="62"/>
        <item x="279"/>
        <item x="174"/>
        <item x="152"/>
        <item x="111"/>
        <item x="422"/>
        <item x="297"/>
        <item x="162"/>
        <item x="157"/>
        <item x="384"/>
        <item x="96"/>
        <item x="223"/>
        <item x="2"/>
        <item x="155"/>
        <item x="214"/>
        <item x="211"/>
        <item x="314"/>
        <item x="50"/>
        <item x="339"/>
        <item x="310"/>
        <item x="64"/>
        <item x="290"/>
        <item x="132"/>
        <item x="277"/>
        <item x="166"/>
        <item x="130"/>
        <item x="357"/>
        <item x="400"/>
        <item x="15"/>
        <item x="453"/>
        <item x="450"/>
        <item x="437"/>
        <item x="92"/>
        <item x="189"/>
        <item x="43"/>
        <item x="430"/>
        <item x="235"/>
        <item x="206"/>
        <item x="67"/>
        <item x="184"/>
        <item x="28"/>
        <item x="295"/>
        <item x="72"/>
        <item x="370"/>
        <item x="426"/>
        <item x="379"/>
        <item x="383"/>
        <item x="180"/>
        <item x="408"/>
        <item x="21"/>
        <item x="281"/>
        <item x="435"/>
        <item x="359"/>
        <item x="103"/>
        <item x="403"/>
        <item x="212"/>
        <item x="374"/>
        <item x="76"/>
        <item x="282"/>
        <item x="114"/>
        <item x="326"/>
        <item x="367"/>
        <item x="271"/>
        <item x="90"/>
        <item x="37"/>
        <item x="305"/>
        <item x="440"/>
        <item x="87"/>
        <item x="44"/>
        <item x="393"/>
        <item x="260"/>
        <item x="420"/>
        <item x="416"/>
        <item x="438"/>
        <item x="418"/>
        <item x="138"/>
        <item x="467"/>
        <item x="373"/>
        <item x="172"/>
        <item x="264"/>
        <item x="145"/>
        <item x="175"/>
        <item x="47"/>
        <item x="464"/>
        <item x="208"/>
        <item x="254"/>
        <item x="241"/>
        <item x="238"/>
        <item x="386"/>
        <item x="289"/>
        <item x="177"/>
        <item x="170"/>
        <item x="230"/>
        <item x="136"/>
        <item x="466"/>
        <item x="52"/>
        <item x="286"/>
        <item x="120"/>
        <item x="121"/>
        <item x="66"/>
        <item x="204"/>
        <item x="165"/>
        <item x="79"/>
        <item x="340"/>
        <item x="460"/>
        <item x="142"/>
        <item x="380"/>
        <item x="413"/>
        <item x="258"/>
        <item x="360"/>
        <item x="203"/>
        <item x="322"/>
        <item x="227"/>
        <item x="73"/>
        <item x="308"/>
        <item x="161"/>
        <item x="456"/>
        <item x="229"/>
        <item x="355"/>
        <item x="353"/>
        <item x="159"/>
        <item x="325"/>
        <item x="395"/>
        <item x="209"/>
        <item x="406"/>
        <item x="263"/>
        <item x="147"/>
        <item x="323"/>
        <item x="257"/>
        <item x="179"/>
        <item x="247"/>
        <item x="284"/>
        <item x="388"/>
        <item x="196"/>
        <item x="139"/>
        <item x="275"/>
        <item x="110"/>
        <item x="287"/>
        <item x="217"/>
        <item x="371"/>
        <item x="369"/>
        <item x="117"/>
        <item x="298"/>
        <item x="293"/>
        <item x="336"/>
        <item x="207"/>
        <item x="83"/>
        <item x="63"/>
        <item x="4"/>
        <item x="236"/>
        <item x="436"/>
        <item x="309"/>
        <item x="296"/>
        <item x="358"/>
        <item x="429"/>
        <item x="362"/>
        <item x="198"/>
        <item x="385"/>
        <item x="465"/>
        <item x="118"/>
        <item x="98"/>
        <item x="237"/>
        <item x="86"/>
        <item x="243"/>
        <item x="186"/>
        <item x="253"/>
        <item x="454"/>
        <item x="39"/>
        <item x="303"/>
        <item x="431"/>
        <item x="250"/>
        <item x="414"/>
        <item x="10"/>
        <item x="344"/>
        <item x="13"/>
        <item x="134"/>
        <item x="176"/>
        <item x="433"/>
        <item x="149"/>
        <item x="381"/>
        <item x="391"/>
        <item x="182"/>
        <item x="146"/>
        <item x="348"/>
        <item x="351"/>
        <item x="280"/>
        <item x="259"/>
        <item x="312"/>
        <item x="68"/>
        <item x="447"/>
        <item x="402"/>
        <item x="34"/>
        <item x="221"/>
        <item x="427"/>
        <item x="197"/>
        <item x="375"/>
        <item x="261"/>
        <item x="0"/>
        <item x="154"/>
        <item x="58"/>
        <item x="244"/>
        <item x="242"/>
        <item x="240"/>
        <item x="288"/>
        <item x="301"/>
        <item x="141"/>
        <item x="84"/>
        <item x="410"/>
        <item x="36"/>
        <item x="70"/>
        <item x="32"/>
        <item x="409"/>
        <item x="321"/>
        <item x="365"/>
        <item x="372"/>
        <item x="226"/>
        <item x="338"/>
        <item x="428"/>
        <item x="23"/>
        <item x="390"/>
        <item x="94"/>
        <item x="102"/>
        <item x="45"/>
        <item x="8"/>
        <item x="42"/>
        <item x="163"/>
        <item x="65"/>
        <item x="105"/>
        <item x="421"/>
        <item x="107"/>
        <item x="124"/>
        <item x="158"/>
        <item x="307"/>
        <item x="156"/>
        <item x="392"/>
        <item x="278"/>
        <item x="266"/>
        <item x="443"/>
        <item x="412"/>
        <item x="273"/>
        <item x="304"/>
        <item x="122"/>
        <item x="75"/>
        <item x="455"/>
        <item x="246"/>
        <item x="137"/>
        <item x="106"/>
        <item x="364"/>
        <item x="292"/>
        <item x="25"/>
        <item x="160"/>
        <item x="27"/>
        <item x="446"/>
        <item x="20"/>
        <item x="108"/>
        <item x="224"/>
        <item x="294"/>
        <item x="423"/>
        <item x="319"/>
        <item x="332"/>
        <item x="442"/>
        <item x="331"/>
        <item x="148"/>
        <item x="299"/>
        <item x="33"/>
        <item x="462"/>
        <item x="417"/>
        <item x="448"/>
        <item x="178"/>
        <item x="104"/>
        <item x="337"/>
        <item x="252"/>
        <item x="213"/>
        <item x="350"/>
        <item x="394"/>
        <item x="150"/>
        <item x="38"/>
        <item x="74"/>
        <item x="425"/>
        <item x="181"/>
        <item x="215"/>
        <item x="361"/>
        <item x="330"/>
        <item x="101"/>
        <item x="191"/>
        <item x="234"/>
        <item x="168"/>
        <item x="201"/>
        <item x="143"/>
        <item x="1"/>
        <item x="193"/>
        <item x="459"/>
        <item x="399"/>
        <item x="171"/>
        <item x="91"/>
        <item x="291"/>
        <item x="272"/>
        <item x="49"/>
        <item x="432"/>
        <item x="46"/>
        <item x="200"/>
        <item x="352"/>
        <item x="40"/>
        <item x="61"/>
        <item x="225"/>
        <item x="401"/>
        <item x="48"/>
        <item x="153"/>
        <item x="300"/>
        <item x="389"/>
        <item x="119"/>
        <item x="302"/>
        <item x="387"/>
        <item x="341"/>
        <item x="220"/>
        <item x="133"/>
        <item x="55"/>
        <item x="354"/>
        <item x="71"/>
        <item x="77"/>
        <item x="452"/>
        <item x="129"/>
        <item x="100"/>
        <item x="368"/>
        <item x="26"/>
        <item x="113"/>
        <item x="404"/>
        <item x="16"/>
        <item x="135"/>
        <item x="131"/>
        <item x="356"/>
        <item x="6"/>
        <item x="30"/>
        <item x="457"/>
        <item x="315"/>
        <item x="262"/>
        <item x="11"/>
        <item x="109"/>
        <item x="333"/>
        <item x="269"/>
        <item x="195"/>
        <item x="173"/>
        <item x="190"/>
        <item x="97"/>
        <item x="51"/>
        <item x="316"/>
        <item x="188"/>
        <item x="444"/>
        <item x="126"/>
        <item x="54"/>
        <item x="169"/>
        <item x="239"/>
        <item x="468"/>
        <item x="335"/>
        <item x="345"/>
        <item x="334"/>
        <item x="127"/>
        <item x="397"/>
        <item x="268"/>
        <item x="398"/>
        <item x="248"/>
        <item x="12"/>
        <item x="3"/>
        <item x="99"/>
        <item x="256"/>
        <item x="343"/>
        <item x="306"/>
        <item x="311"/>
        <item x="29"/>
        <item x="267"/>
        <item x="251"/>
        <item x="434"/>
        <item x="82"/>
        <item x="376"/>
        <item x="81"/>
        <item x="232"/>
        <item x="276"/>
        <item x="363"/>
        <item x="53"/>
        <item x="222"/>
        <item x="461"/>
        <item x="164"/>
        <item x="69"/>
        <item x="415"/>
        <item x="57"/>
        <item x="88"/>
        <item x="144"/>
        <item x="283"/>
        <item x="449"/>
        <item x="19"/>
        <item x="80"/>
        <item x="60"/>
        <item x="320"/>
        <item x="218"/>
        <item x="249"/>
        <item x="407"/>
        <item x="378"/>
        <item x="274"/>
        <item x="327"/>
        <item x="9"/>
        <item x="112"/>
        <item x="342"/>
        <item x="56"/>
        <item x="41"/>
        <item x="451"/>
        <item x="366"/>
        <item x="89"/>
        <item x="231"/>
        <item x="22"/>
        <item x="324"/>
        <item x="228"/>
        <item x="346"/>
        <item x="265"/>
        <item x="35"/>
        <item x="313"/>
        <item x="116"/>
        <item x="245"/>
        <item x="458"/>
        <item x="205"/>
        <item x="115"/>
        <item x="216"/>
        <item x="463"/>
        <item x="439"/>
        <item x="194"/>
        <item x="18"/>
        <item x="31"/>
        <item x="192"/>
        <item x="219"/>
        <item x="123"/>
        <item x="377"/>
        <item x="93"/>
        <item x="318"/>
        <item x="95"/>
        <item x="85"/>
        <item x="151"/>
        <item x="424"/>
        <item x="255"/>
        <item x="405"/>
        <item x="210"/>
        <item x="382"/>
        <item x="349"/>
        <item x="317"/>
        <item x="233"/>
        <item x="59"/>
        <item x="328"/>
        <item x="17"/>
        <item x="167"/>
        <item x="445"/>
        <item x="329"/>
        <item x="202"/>
        <item x="347"/>
        <item x="285"/>
        <item x="140"/>
        <item x="14"/>
        <item x="396"/>
        <item t="default"/>
      </items>
    </pivotField>
    <pivotField compact="0" numFmtId="181" showAll="0">
      <items count="473">
        <item x="5"/>
        <item x="185"/>
        <item x="7"/>
        <item x="412"/>
        <item x="199"/>
        <item x="123"/>
        <item x="126"/>
        <item x="187"/>
        <item x="443"/>
        <item x="78"/>
        <item x="24"/>
        <item x="420"/>
        <item x="183"/>
        <item x="62"/>
        <item x="174"/>
        <item x="152"/>
        <item x="109"/>
        <item x="424"/>
        <item x="276"/>
        <item x="294"/>
        <item x="162"/>
        <item x="157"/>
        <item x="381"/>
        <item x="95"/>
        <item x="222"/>
        <item x="2"/>
        <item x="155"/>
        <item x="214"/>
        <item x="211"/>
        <item x="311"/>
        <item x="50"/>
        <item x="335"/>
        <item x="307"/>
        <item x="64"/>
        <item x="130"/>
        <item x="273"/>
        <item x="166"/>
        <item x="128"/>
        <item x="382"/>
        <item x="287"/>
        <item x="34"/>
        <item x="457"/>
        <item x="454"/>
        <item x="440"/>
        <item x="91"/>
        <item x="189"/>
        <item x="15"/>
        <item x="433"/>
        <item x="206"/>
        <item x="67"/>
        <item x="184"/>
        <item x="28"/>
        <item x="292"/>
        <item x="133"/>
        <item x="366"/>
        <item x="428"/>
        <item x="376"/>
        <item x="380"/>
        <item x="180"/>
        <item x="72"/>
        <item x="21"/>
        <item x="278"/>
        <item x="438"/>
        <item x="354"/>
        <item x="102"/>
        <item x="403"/>
        <item x="212"/>
        <item x="370"/>
        <item x="76"/>
        <item x="279"/>
        <item x="112"/>
        <item x="322"/>
        <item x="363"/>
        <item x="246"/>
        <item x="38"/>
        <item x="302"/>
        <item x="89"/>
        <item x="86"/>
        <item x="44"/>
        <item x="392"/>
        <item x="258"/>
        <item x="421"/>
        <item x="417"/>
        <item x="441"/>
        <item x="419"/>
        <item x="137"/>
        <item x="470"/>
        <item x="369"/>
        <item x="172"/>
        <item x="262"/>
        <item x="144"/>
        <item x="360"/>
        <item x="175"/>
        <item x="47"/>
        <item x="208"/>
        <item x="252"/>
        <item x="239"/>
        <item x="236"/>
        <item x="385"/>
        <item x="286"/>
        <item x="177"/>
        <item x="170"/>
        <item x="229"/>
        <item x="135"/>
        <item x="469"/>
        <item x="52"/>
        <item x="283"/>
        <item x="118"/>
        <item x="119"/>
        <item x="66"/>
        <item x="204"/>
        <item x="165"/>
        <item x="79"/>
        <item x="336"/>
        <item x="464"/>
        <item x="141"/>
        <item x="377"/>
        <item x="414"/>
        <item x="256"/>
        <item x="355"/>
        <item x="203"/>
        <item x="318"/>
        <item x="226"/>
        <item x="73"/>
        <item x="305"/>
        <item x="161"/>
        <item x="460"/>
        <item x="228"/>
        <item x="351"/>
        <item x="349"/>
        <item x="159"/>
        <item x="321"/>
        <item x="394"/>
        <item x="209"/>
        <item x="406"/>
        <item x="261"/>
        <item x="147"/>
        <item x="319"/>
        <item x="255"/>
        <item x="179"/>
        <item x="245"/>
        <item x="281"/>
        <item x="387"/>
        <item x="196"/>
        <item x="271"/>
        <item x="108"/>
        <item x="284"/>
        <item x="138"/>
        <item x="367"/>
        <item x="365"/>
        <item x="115"/>
        <item x="145"/>
        <item x="295"/>
        <item x="290"/>
        <item x="332"/>
        <item x="207"/>
        <item x="82"/>
        <item x="63"/>
        <item x="4"/>
        <item x="234"/>
        <item x="439"/>
        <item x="306"/>
        <item x="293"/>
        <item x="353"/>
        <item x="275"/>
        <item x="432"/>
        <item x="357"/>
        <item x="198"/>
        <item x="383"/>
        <item x="468"/>
        <item x="116"/>
        <item x="97"/>
        <item x="235"/>
        <item x="85"/>
        <item x="241"/>
        <item x="186"/>
        <item x="251"/>
        <item x="458"/>
        <item x="40"/>
        <item x="300"/>
        <item x="434"/>
        <item x="248"/>
        <item x="415"/>
        <item x="10"/>
        <item x="340"/>
        <item x="13"/>
        <item x="132"/>
        <item x="176"/>
        <item x="436"/>
        <item x="149"/>
        <item x="378"/>
        <item x="182"/>
        <item x="146"/>
        <item x="344"/>
        <item x="390"/>
        <item x="347"/>
        <item x="277"/>
        <item x="257"/>
        <item x="309"/>
        <item x="68"/>
        <item x="451"/>
        <item x="402"/>
        <item x="35"/>
        <item x="220"/>
        <item x="430"/>
        <item x="197"/>
        <item x="371"/>
        <item x="259"/>
        <item x="0"/>
        <item x="154"/>
        <item x="58"/>
        <item x="242"/>
        <item x="240"/>
        <item x="238"/>
        <item x="285"/>
        <item x="298"/>
        <item x="140"/>
        <item x="83"/>
        <item x="411"/>
        <item x="396"/>
        <item x="37"/>
        <item x="70"/>
        <item x="32"/>
        <item x="410"/>
        <item x="317"/>
        <item x="361"/>
        <item x="368"/>
        <item x="225"/>
        <item x="334"/>
        <item x="431"/>
        <item x="23"/>
        <item x="389"/>
        <item x="408"/>
        <item x="101"/>
        <item x="45"/>
        <item x="8"/>
        <item x="43"/>
        <item x="163"/>
        <item x="93"/>
        <item x="65"/>
        <item x="104"/>
        <item x="422"/>
        <item x="105"/>
        <item x="122"/>
        <item x="158"/>
        <item x="304"/>
        <item x="156"/>
        <item x="391"/>
        <item x="274"/>
        <item x="264"/>
        <item x="445"/>
        <item x="413"/>
        <item x="269"/>
        <item x="301"/>
        <item x="120"/>
        <item x="374"/>
        <item x="459"/>
        <item x="244"/>
        <item x="136"/>
        <item x="75"/>
        <item x="359"/>
        <item x="409"/>
        <item x="25"/>
        <item x="160"/>
        <item x="27"/>
        <item x="289"/>
        <item x="448"/>
        <item x="106"/>
        <item x="223"/>
        <item x="20"/>
        <item x="291"/>
        <item x="425"/>
        <item x="316"/>
        <item x="328"/>
        <item x="444"/>
        <item x="327"/>
        <item x="148"/>
        <item x="296"/>
        <item x="466"/>
        <item x="450"/>
        <item x="418"/>
        <item x="33"/>
        <item x="452"/>
        <item x="178"/>
        <item x="103"/>
        <item x="333"/>
        <item x="250"/>
        <item x="213"/>
        <item x="346"/>
        <item x="393"/>
        <item x="150"/>
        <item x="39"/>
        <item x="74"/>
        <item x="427"/>
        <item x="181"/>
        <item x="215"/>
        <item x="356"/>
        <item x="326"/>
        <item x="100"/>
        <item x="191"/>
        <item x="233"/>
        <item x="168"/>
        <item x="201"/>
        <item x="142"/>
        <item x="193"/>
        <item x="463"/>
        <item x="400"/>
        <item x="171"/>
        <item x="1"/>
        <item x="90"/>
        <item x="288"/>
        <item x="268"/>
        <item x="49"/>
        <item x="435"/>
        <item x="46"/>
        <item x="200"/>
        <item x="348"/>
        <item x="41"/>
        <item x="61"/>
        <item x="224"/>
        <item x="401"/>
        <item x="48"/>
        <item x="153"/>
        <item x="297"/>
        <item x="388"/>
        <item x="117"/>
        <item x="299"/>
        <item x="386"/>
        <item x="337"/>
        <item x="219"/>
        <item x="131"/>
        <item x="55"/>
        <item x="350"/>
        <item x="71"/>
        <item x="77"/>
        <item x="456"/>
        <item x="127"/>
        <item x="99"/>
        <item x="364"/>
        <item x="26"/>
        <item x="111"/>
        <item x="404"/>
        <item x="16"/>
        <item x="134"/>
        <item x="129"/>
        <item x="352"/>
        <item x="6"/>
        <item x="30"/>
        <item x="461"/>
        <item x="312"/>
        <item x="260"/>
        <item x="11"/>
        <item x="107"/>
        <item x="329"/>
        <item x="267"/>
        <item x="195"/>
        <item x="173"/>
        <item x="190"/>
        <item x="96"/>
        <item x="51"/>
        <item x="313"/>
        <item x="449"/>
        <item x="188"/>
        <item x="446"/>
        <item x="124"/>
        <item x="54"/>
        <item x="169"/>
        <item x="237"/>
        <item x="471"/>
        <item x="331"/>
        <item x="341"/>
        <item x="330"/>
        <item x="125"/>
        <item x="397"/>
        <item x="266"/>
        <item x="398"/>
        <item x="247"/>
        <item x="12"/>
        <item x="3"/>
        <item x="98"/>
        <item x="254"/>
        <item x="339"/>
        <item x="303"/>
        <item x="308"/>
        <item x="29"/>
        <item x="265"/>
        <item x="249"/>
        <item x="437"/>
        <item x="81"/>
        <item x="372"/>
        <item x="231"/>
        <item x="272"/>
        <item x="358"/>
        <item x="53"/>
        <item x="221"/>
        <item x="465"/>
        <item x="164"/>
        <item x="69"/>
        <item x="416"/>
        <item x="57"/>
        <item x="87"/>
        <item x="143"/>
        <item x="399"/>
        <item x="453"/>
        <item x="384"/>
        <item x="429"/>
        <item x="80"/>
        <item x="60"/>
        <item x="280"/>
        <item x="217"/>
        <item x="19"/>
        <item x="407"/>
        <item x="375"/>
        <item x="270"/>
        <item x="323"/>
        <item x="9"/>
        <item x="110"/>
        <item x="338"/>
        <item x="56"/>
        <item x="42"/>
        <item x="455"/>
        <item x="362"/>
        <item x="88"/>
        <item x="230"/>
        <item x="22"/>
        <item x="320"/>
        <item x="227"/>
        <item x="342"/>
        <item x="263"/>
        <item x="36"/>
        <item x="310"/>
        <item x="114"/>
        <item x="243"/>
        <item x="462"/>
        <item x="205"/>
        <item x="113"/>
        <item x="216"/>
        <item x="467"/>
        <item x="442"/>
        <item x="194"/>
        <item x="18"/>
        <item x="31"/>
        <item x="192"/>
        <item x="218"/>
        <item x="121"/>
        <item x="373"/>
        <item x="92"/>
        <item x="315"/>
        <item x="94"/>
        <item x="84"/>
        <item x="151"/>
        <item x="426"/>
        <item x="423"/>
        <item x="405"/>
        <item x="210"/>
        <item x="379"/>
        <item x="253"/>
        <item x="345"/>
        <item x="314"/>
        <item x="232"/>
        <item x="59"/>
        <item x="324"/>
        <item x="17"/>
        <item x="167"/>
        <item x="447"/>
        <item x="325"/>
        <item x="202"/>
        <item x="343"/>
        <item x="282"/>
        <item x="139"/>
        <item x="14"/>
        <item x="395"/>
        <item t="default"/>
      </items>
    </pivotField>
    <pivotField compact="0" numFmtId="1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compact="0" showAll="0">
      <items count="4">
        <item m="1" x="2"/>
        <item x="0"/>
        <item x="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axis="axisRow" compact="0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compact="0" showAll="0">
      <items count="41">
        <item x="7"/>
        <item x="36"/>
        <item x="38"/>
        <item x="6"/>
        <item x="9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4"/>
        <item x="28"/>
        <item x="1"/>
        <item x="30"/>
        <item x="24"/>
        <item x="8"/>
        <item x="23"/>
        <item x="14"/>
        <item x="27"/>
        <item x="5"/>
        <item x="35"/>
        <item x="26"/>
        <item t="default"/>
      </items>
    </pivotField>
    <pivotField compact="0" showAll="0">
      <items count="7">
        <item x="3"/>
        <item x="0"/>
        <item x="1"/>
        <item x="5"/>
        <item x="2"/>
        <item x="4"/>
        <item t="default"/>
      </items>
    </pivotField>
    <pivotField compact="0" showAll="0">
      <items count="7">
        <item x="4"/>
        <item x="3"/>
        <item x="2"/>
        <item x="5"/>
        <item x="1"/>
        <item x="0"/>
        <item t="default"/>
      </items>
    </pivotField>
    <pivotField compact="0" showAll="0">
      <items count="17">
        <item x="8"/>
        <item x="5"/>
        <item x="0"/>
        <item x="14"/>
        <item x="6"/>
        <item x="9"/>
        <item x="3"/>
        <item x="10"/>
        <item x="2"/>
        <item x="1"/>
        <item x="11"/>
        <item x="4"/>
        <item x="12"/>
        <item x="13"/>
        <item x="7"/>
        <item x="15"/>
        <item t="default"/>
      </items>
    </pivotField>
    <pivotField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showAll="0">
      <items count="631">
        <item x="139"/>
        <item x="621"/>
        <item x="333"/>
        <item x="415"/>
        <item x="340"/>
        <item x="394"/>
        <item x="441"/>
        <item x="293"/>
        <item x="491"/>
        <item x="587"/>
        <item x="207"/>
        <item x="14"/>
        <item x="478"/>
        <item x="58"/>
        <item x="261"/>
        <item x="59"/>
        <item x="325"/>
        <item x="103"/>
        <item x="170"/>
        <item x="70"/>
        <item x="497"/>
        <item x="416"/>
        <item x="312"/>
        <item x="319"/>
        <item x="489"/>
        <item x="332"/>
        <item x="355"/>
        <item x="516"/>
        <item x="185"/>
        <item x="545"/>
        <item x="221"/>
        <item x="259"/>
        <item x="450"/>
        <item x="521"/>
        <item x="576"/>
        <item x="270"/>
        <item x="22"/>
        <item x="158"/>
        <item x="131"/>
        <item x="154"/>
        <item x="290"/>
        <item x="76"/>
        <item x="113"/>
        <item x="569"/>
        <item x="187"/>
        <item x="618"/>
        <item x="588"/>
        <item x="227"/>
        <item x="552"/>
        <item x="551"/>
        <item x="97"/>
        <item x="460"/>
        <item x="214"/>
        <item x="352"/>
        <item x="299"/>
        <item x="57"/>
        <item x="288"/>
        <item x="50"/>
        <item x="147"/>
        <item x="437"/>
        <item x="346"/>
        <item x="180"/>
        <item x="358"/>
        <item x="142"/>
        <item x="493"/>
        <item x="557"/>
        <item x="465"/>
        <item x="604"/>
        <item x="360"/>
        <item x="592"/>
        <item x="10"/>
        <item x="277"/>
        <item x="18"/>
        <item x="338"/>
        <item x="541"/>
        <item x="292"/>
        <item x="454"/>
        <item x="25"/>
        <item x="209"/>
        <item x="93"/>
        <item x="66"/>
        <item x="77"/>
        <item x="554"/>
        <item x="536"/>
        <item x="306"/>
        <item x="182"/>
        <item x="408"/>
        <item x="109"/>
        <item x="75"/>
        <item x="169"/>
        <item x="513"/>
        <item x="471"/>
        <item x="579"/>
        <item x="607"/>
        <item x="624"/>
        <item x="34"/>
        <item x="172"/>
        <item x="627"/>
        <item x="401"/>
        <item x="126"/>
        <item x="391"/>
        <item x="124"/>
        <item x="484"/>
        <item x="523"/>
        <item x="377"/>
        <item x="24"/>
        <item x="87"/>
        <item x="82"/>
        <item x="324"/>
        <item x="510"/>
        <item x="367"/>
        <item x="458"/>
        <item x="12"/>
        <item x="136"/>
        <item x="9"/>
        <item x="294"/>
        <item x="157"/>
        <item x="464"/>
        <item x="210"/>
        <item x="315"/>
        <item x="467"/>
        <item x="85"/>
        <item x="161"/>
        <item x="260"/>
        <item x="348"/>
        <item x="256"/>
        <item x="573"/>
        <item x="220"/>
        <item x="617"/>
        <item x="594"/>
        <item x="326"/>
        <item x="74"/>
        <item x="171"/>
        <item x="589"/>
        <item x="490"/>
        <item x="518"/>
        <item x="463"/>
        <item x="78"/>
        <item x="519"/>
        <item x="564"/>
        <item x="44"/>
        <item x="127"/>
        <item x="125"/>
        <item x="110"/>
        <item x="568"/>
        <item x="504"/>
        <item x="459"/>
        <item x="451"/>
        <item x="397"/>
        <item x="30"/>
        <item x="230"/>
        <item x="61"/>
        <item x="365"/>
        <item x="222"/>
        <item x="206"/>
        <item x="69"/>
        <item x="250"/>
        <item x="36"/>
        <item x="60"/>
        <item x="105"/>
        <item x="511"/>
        <item x="101"/>
        <item x="86"/>
        <item x="234"/>
        <item x="0"/>
        <item x="37"/>
        <item x="393"/>
        <item x="436"/>
        <item x="403"/>
        <item x="289"/>
        <item x="476"/>
        <item x="237"/>
        <item x="585"/>
        <item x="177"/>
        <item x="300"/>
        <item x="267"/>
        <item x="559"/>
        <item x="323"/>
        <item x="475"/>
        <item x="477"/>
        <item x="533"/>
        <item x="166"/>
        <item x="145"/>
        <item x="295"/>
        <item x="15"/>
        <item x="527"/>
        <item x="445"/>
        <item x="582"/>
        <item x="539"/>
        <item x="349"/>
        <item x="119"/>
        <item x="279"/>
        <item x="246"/>
        <item x="384"/>
        <item x="239"/>
        <item x="370"/>
        <item x="629"/>
        <item x="481"/>
        <item x="146"/>
        <item x="19"/>
        <item x="64"/>
        <item x="264"/>
        <item x="507"/>
        <item x="571"/>
        <item x="345"/>
        <item x="99"/>
        <item x="53"/>
        <item x="362"/>
        <item x="514"/>
        <item x="581"/>
        <item x="71"/>
        <item x="309"/>
        <item x="304"/>
        <item x="542"/>
        <item x="242"/>
        <item x="457"/>
        <item x="603"/>
        <item x="23"/>
        <item x="255"/>
        <item x="508"/>
        <item x="104"/>
        <item x="190"/>
        <item x="563"/>
        <item x="387"/>
        <item x="251"/>
        <item x="151"/>
        <item x="520"/>
        <item x="593"/>
        <item x="368"/>
        <item x="56"/>
        <item x="409"/>
        <item x="275"/>
        <item x="173"/>
        <item x="102"/>
        <item x="388"/>
        <item x="534"/>
        <item x="565"/>
        <item x="425"/>
        <item x="52"/>
        <item x="192"/>
        <item x="407"/>
        <item x="117"/>
        <item x="396"/>
        <item x="424"/>
        <item x="72"/>
        <item x="5"/>
        <item x="598"/>
        <item x="430"/>
        <item x="421"/>
        <item x="283"/>
        <item x="329"/>
        <item x="386"/>
        <item x="111"/>
        <item x="224"/>
        <item x="132"/>
        <item x="20"/>
        <item x="402"/>
        <item x="284"/>
        <item x="33"/>
        <item x="339"/>
        <item x="566"/>
        <item x="314"/>
        <item x="271"/>
        <item x="591"/>
        <item x="216"/>
        <item x="186"/>
        <item x="205"/>
        <item x="96"/>
        <item x="404"/>
        <item x="167"/>
        <item x="140"/>
        <item x="68"/>
        <item x="472"/>
        <item x="509"/>
        <item x="217"/>
        <item x="115"/>
        <item x="247"/>
        <item x="597"/>
        <item x="89"/>
        <item x="328"/>
        <item x="249"/>
        <item x="135"/>
        <item x="273"/>
        <item x="427"/>
        <item x="83"/>
        <item x="398"/>
        <item x="121"/>
        <item x="625"/>
        <item x="418"/>
        <item x="615"/>
        <item x="189"/>
        <item x="351"/>
        <item x="549"/>
        <item x="297"/>
        <item x="51"/>
        <item x="252"/>
        <item x="372"/>
        <item x="432"/>
        <item x="499"/>
        <item x="55"/>
        <item x="204"/>
        <item x="456"/>
        <item x="130"/>
        <item x="63"/>
        <item x="233"/>
        <item x="178"/>
        <item x="305"/>
        <item x="447"/>
        <item x="280"/>
        <item x="298"/>
        <item x="183"/>
        <item x="363"/>
        <item x="389"/>
        <item x="561"/>
        <item x="572"/>
        <item x="522"/>
        <item x="547"/>
        <item x="310"/>
        <item x="195"/>
        <item x="165"/>
        <item x="67"/>
        <item x="453"/>
        <item x="8"/>
        <item x="175"/>
        <item x="556"/>
        <item x="446"/>
        <item x="580"/>
        <item x="191"/>
        <item x="168"/>
        <item x="383"/>
        <item x="258"/>
        <item x="211"/>
        <item x="188"/>
        <item x="79"/>
        <item x="610"/>
        <item x="544"/>
        <item x="6"/>
        <item x="272"/>
        <item x="540"/>
        <item x="431"/>
        <item x="184"/>
        <item x="494"/>
        <item x="254"/>
        <item x="88"/>
        <item x="118"/>
        <item x="531"/>
        <item x="163"/>
        <item x="498"/>
        <item x="318"/>
        <item x="395"/>
        <item x="266"/>
        <item x="160"/>
        <item x="40"/>
        <item x="496"/>
        <item x="311"/>
        <item x="495"/>
        <item x="590"/>
        <item x="380"/>
        <item x="41"/>
        <item x="223"/>
        <item x="226"/>
        <item x="302"/>
        <item x="98"/>
        <item x="341"/>
        <item x="73"/>
        <item x="479"/>
        <item x="90"/>
        <item x="45"/>
        <item x="47"/>
        <item x="144"/>
        <item x="257"/>
        <item x="623"/>
        <item x="438"/>
        <item x="562"/>
        <item x="248"/>
        <item x="483"/>
        <item x="577"/>
        <item x="114"/>
        <item x="21"/>
        <item x="399"/>
        <item x="198"/>
        <item x="376"/>
        <item x="575"/>
        <item x="506"/>
        <item x="307"/>
        <item x="574"/>
        <item x="382"/>
        <item x="357"/>
        <item x="317"/>
        <item x="129"/>
        <item x="517"/>
        <item x="112"/>
        <item x="548"/>
        <item x="321"/>
        <item x="620"/>
        <item x="622"/>
        <item x="80"/>
        <item x="322"/>
        <item x="543"/>
        <item x="48"/>
        <item x="462"/>
        <item x="612"/>
        <item x="379"/>
        <item x="276"/>
        <item x="194"/>
        <item x="611"/>
        <item x="466"/>
        <item x="203"/>
        <item x="600"/>
        <item x="503"/>
        <item x="120"/>
        <item x="108"/>
        <item x="535"/>
        <item x="413"/>
        <item x="84"/>
        <item x="550"/>
        <item x="215"/>
        <item x="378"/>
        <item x="155"/>
        <item x="32"/>
        <item x="433"/>
        <item x="502"/>
        <item x="281"/>
        <item x="123"/>
        <item x="619"/>
        <item x="156"/>
        <item x="538"/>
        <item x="614"/>
        <item x="353"/>
        <item x="331"/>
        <item x="262"/>
        <item x="567"/>
        <item x="529"/>
        <item x="344"/>
        <item x="2"/>
        <item x="29"/>
        <item x="435"/>
        <item x="287"/>
        <item x="54"/>
        <item x="420"/>
        <item x="17"/>
        <item x="282"/>
        <item x="347"/>
        <item x="213"/>
        <item x="343"/>
        <item x="28"/>
        <item x="560"/>
        <item x="512"/>
        <item x="202"/>
        <item x="371"/>
        <item x="327"/>
        <item x="107"/>
        <item x="448"/>
        <item x="238"/>
        <item x="482"/>
        <item x="231"/>
        <item x="422"/>
        <item x="133"/>
        <item x="530"/>
        <item x="268"/>
        <item x="426"/>
        <item x="200"/>
        <item x="392"/>
        <item x="91"/>
        <item x="241"/>
        <item x="286"/>
        <item x="263"/>
        <item x="334"/>
        <item x="412"/>
        <item x="440"/>
        <item x="128"/>
        <item x="570"/>
        <item x="3"/>
        <item x="583"/>
        <item x="149"/>
        <item x="65"/>
        <item x="626"/>
        <item x="245"/>
        <item x="31"/>
        <item x="375"/>
        <item x="197"/>
        <item x="303"/>
        <item x="584"/>
        <item x="361"/>
        <item x="162"/>
        <item x="452"/>
        <item x="428"/>
        <item x="406"/>
        <item x="485"/>
        <item x="553"/>
        <item x="316"/>
        <item x="330"/>
        <item x="488"/>
        <item x="455"/>
        <item x="285"/>
        <item x="278"/>
        <item x="27"/>
        <item x="366"/>
        <item x="94"/>
        <item x="11"/>
        <item x="244"/>
        <item x="225"/>
        <item x="605"/>
        <item x="181"/>
        <item x="578"/>
        <item x="336"/>
        <item x="492"/>
        <item x="122"/>
        <item x="374"/>
        <item x="137"/>
        <item x="141"/>
        <item x="532"/>
        <item x="62"/>
        <item x="100"/>
        <item x="419"/>
        <item x="411"/>
        <item x="505"/>
        <item x="236"/>
        <item x="434"/>
        <item x="106"/>
        <item x="500"/>
        <item x="628"/>
        <item x="159"/>
        <item x="320"/>
        <item x="473"/>
        <item x="586"/>
        <item x="196"/>
        <item x="501"/>
        <item x="335"/>
        <item x="232"/>
        <item x="390"/>
        <item x="474"/>
        <item x="265"/>
        <item x="486"/>
        <item x="49"/>
        <item x="526"/>
        <item x="537"/>
        <item x="410"/>
        <item x="515"/>
        <item x="525"/>
        <item x="439"/>
        <item x="228"/>
        <item x="313"/>
        <item x="449"/>
        <item x="555"/>
        <item x="429"/>
        <item x="46"/>
        <item x="524"/>
        <item x="219"/>
        <item x="253"/>
        <item x="308"/>
        <item x="212"/>
        <item x="42"/>
        <item x="468"/>
        <item x="364"/>
        <item x="369"/>
        <item x="174"/>
        <item x="480"/>
        <item x="164"/>
        <item x="26"/>
        <item x="148"/>
        <item x="143"/>
        <item x="35"/>
        <item x="528"/>
        <item x="595"/>
        <item x="134"/>
        <item x="442"/>
        <item x="342"/>
        <item x="609"/>
        <item x="138"/>
        <item x="193"/>
        <item x="240"/>
        <item x="602"/>
        <item x="176"/>
        <item x="613"/>
        <item x="337"/>
        <item x="243"/>
        <item x="606"/>
        <item x="400"/>
        <item x="218"/>
        <item x="616"/>
        <item x="487"/>
        <item x="417"/>
        <item x="381"/>
        <item x="208"/>
        <item x="601"/>
        <item x="150"/>
        <item x="7"/>
        <item x="423"/>
        <item x="116"/>
        <item x="92"/>
        <item x="301"/>
        <item x="39"/>
        <item x="558"/>
        <item x="359"/>
        <item x="269"/>
        <item x="16"/>
        <item x="461"/>
        <item x="199"/>
        <item x="229"/>
        <item x="470"/>
        <item x="153"/>
        <item x="38"/>
        <item x="350"/>
        <item x="235"/>
        <item x="296"/>
        <item x="444"/>
        <item x="4"/>
        <item x="179"/>
        <item x="152"/>
        <item x="13"/>
        <item x="201"/>
        <item x="373"/>
        <item x="274"/>
        <item x="291"/>
        <item x="385"/>
        <item x="95"/>
        <item x="608"/>
        <item x="1"/>
        <item x="405"/>
        <item x="469"/>
        <item x="356"/>
        <item x="443"/>
        <item x="546"/>
        <item x="81"/>
        <item x="43"/>
        <item x="599"/>
        <item x="596"/>
        <item x="354"/>
        <item x="414"/>
        <item t="default"/>
      </items>
    </pivotField>
    <pivotField compact="0" numFmtId="44" showAll="0">
      <items count="633">
        <item x="493"/>
        <item x="112"/>
        <item x="180"/>
        <item x="298"/>
        <item x="172"/>
        <item x="286"/>
        <item x="106"/>
        <item x="247"/>
        <item x="389"/>
        <item x="83"/>
        <item x="572"/>
        <item x="96"/>
        <item x="7"/>
        <item x="341"/>
        <item x="177"/>
        <item x="461"/>
        <item x="127"/>
        <item x="582"/>
        <item x="481"/>
        <item x="54"/>
        <item x="311"/>
        <item x="631"/>
        <item x="230"/>
        <item x="354"/>
        <item x="89"/>
        <item x="119"/>
        <item x="532"/>
        <item x="586"/>
        <item x="245"/>
        <item x="139"/>
        <item x="517"/>
        <item x="291"/>
        <item x="243"/>
        <item x="51"/>
        <item x="116"/>
        <item x="347"/>
        <item x="323"/>
        <item x="418"/>
        <item x="575"/>
        <item x="108"/>
        <item x="551"/>
        <item x="305"/>
        <item x="443"/>
        <item x="211"/>
        <item x="526"/>
        <item x="282"/>
        <item x="263"/>
        <item x="330"/>
        <item x="344"/>
        <item x="103"/>
        <item x="609"/>
        <item x="488"/>
        <item x="463"/>
        <item x="531"/>
        <item x="26"/>
        <item x="308"/>
        <item x="436"/>
        <item x="163"/>
        <item x="206"/>
        <item x="570"/>
        <item x="460"/>
        <item x="113"/>
        <item x="608"/>
        <item x="221"/>
        <item x="217"/>
        <item x="318"/>
        <item x="128"/>
        <item x="239"/>
        <item x="579"/>
        <item x="599"/>
        <item x="621"/>
        <item x="82"/>
        <item x="458"/>
        <item x="577"/>
        <item x="124"/>
        <item x="35"/>
        <item x="174"/>
        <item x="434"/>
        <item x="490"/>
        <item x="447"/>
        <item x="233"/>
        <item x="232"/>
        <item x="53"/>
        <item x="28"/>
        <item x="293"/>
        <item x="476"/>
        <item x="178"/>
        <item x="511"/>
        <item x="627"/>
        <item x="508"/>
        <item x="391"/>
        <item x="215"/>
        <item x="304"/>
        <item x="270"/>
        <item x="222"/>
        <item x="466"/>
        <item x="445"/>
        <item x="296"/>
        <item x="194"/>
        <item x="620"/>
        <item x="369"/>
        <item x="485"/>
        <item x="3"/>
        <item x="71"/>
        <item x="464"/>
        <item x="145"/>
        <item x="0"/>
        <item x="274"/>
        <item x="486"/>
        <item x="373"/>
        <item x="316"/>
        <item x="109"/>
        <item x="491"/>
        <item x="597"/>
        <item x="160"/>
        <item x="137"/>
        <item x="133"/>
        <item x="350"/>
        <item x="456"/>
        <item x="326"/>
        <item x="101"/>
        <item x="39"/>
        <item x="258"/>
        <item x="5"/>
        <item x="254"/>
        <item x="594"/>
        <item x="386"/>
        <item x="428"/>
        <item x="271"/>
        <item x="519"/>
        <item x="166"/>
        <item x="12"/>
        <item x="297"/>
        <item x="46"/>
        <item x="118"/>
        <item x="169"/>
        <item x="57"/>
        <item x="483"/>
        <item x="439"/>
        <item x="179"/>
        <item x="495"/>
        <item x="114"/>
        <item x="78"/>
        <item x="148"/>
        <item x="380"/>
        <item x="315"/>
        <item x="441"/>
        <item x="307"/>
        <item x="328"/>
        <item x="432"/>
        <item x="277"/>
        <item x="240"/>
        <item x="219"/>
        <item x="214"/>
        <item x="580"/>
        <item x="616"/>
        <item x="218"/>
        <item x="231"/>
        <item x="505"/>
        <item x="453"/>
        <item x="525"/>
        <item x="309"/>
        <item x="321"/>
        <item x="604"/>
        <item x="93"/>
        <item x="129"/>
        <item x="130"/>
        <item x="602"/>
        <item x="331"/>
        <item x="470"/>
        <item x="378"/>
        <item x="155"/>
        <item x="546"/>
        <item x="573"/>
        <item x="561"/>
        <item x="191"/>
        <item x="544"/>
        <item x="250"/>
        <item x="494"/>
        <item x="410"/>
        <item x="312"/>
        <item x="477"/>
        <item x="500"/>
        <item x="408"/>
        <item x="536"/>
        <item x="334"/>
        <item x="251"/>
        <item x="43"/>
        <item x="433"/>
        <item x="540"/>
        <item x="370"/>
        <item x="201"/>
        <item x="68"/>
        <item x="30"/>
        <item x="64"/>
        <item x="403"/>
        <item x="141"/>
        <item x="419"/>
        <item x="338"/>
        <item x="498"/>
        <item x="523"/>
        <item x="197"/>
        <item x="257"/>
        <item x="290"/>
        <item x="88"/>
        <item x="565"/>
        <item x="268"/>
        <item x="91"/>
        <item x="52"/>
        <item x="361"/>
        <item x="98"/>
        <item x="110"/>
        <item x="479"/>
        <item x="285"/>
        <item x="131"/>
        <item x="444"/>
        <item x="144"/>
        <item x="262"/>
        <item x="6"/>
        <item x="564"/>
        <item x="220"/>
        <item x="202"/>
        <item x="299"/>
        <item x="186"/>
        <item x="314"/>
        <item x="430"/>
        <item x="87"/>
        <item x="62"/>
        <item x="474"/>
        <item x="364"/>
        <item x="437"/>
        <item x="538"/>
        <item x="417"/>
        <item x="623"/>
        <item x="339"/>
        <item x="510"/>
        <item x="283"/>
        <item x="337"/>
        <item x="446"/>
        <item x="515"/>
        <item x="584"/>
        <item x="13"/>
        <item x="10"/>
        <item x="33"/>
        <item x="336"/>
        <item x="472"/>
        <item x="252"/>
        <item x="516"/>
        <item x="301"/>
        <item x="395"/>
        <item x="325"/>
        <item x="156"/>
        <item x="355"/>
        <item x="499"/>
        <item x="340"/>
        <item x="4"/>
        <item x="469"/>
        <item x="411"/>
        <item x="591"/>
        <item x="359"/>
        <item x="255"/>
        <item x="571"/>
        <item x="563"/>
        <item x="67"/>
        <item x="44"/>
        <item x="533"/>
        <item x="147"/>
        <item x="605"/>
        <item x="475"/>
        <item x="90"/>
        <item x="412"/>
        <item x="576"/>
        <item x="238"/>
        <item x="134"/>
        <item x="549"/>
        <item x="558"/>
        <item x="36"/>
        <item x="457"/>
        <item x="611"/>
        <item x="259"/>
        <item x="73"/>
        <item x="585"/>
        <item x="269"/>
        <item x="372"/>
        <item x="617"/>
        <item x="535"/>
        <item x="553"/>
        <item x="22"/>
        <item x="185"/>
        <item x="462"/>
        <item x="568"/>
        <item x="522"/>
        <item x="578"/>
        <item x="595"/>
        <item x="29"/>
        <item x="15"/>
        <item x="37"/>
        <item x="150"/>
        <item x="182"/>
        <item x="358"/>
        <item x="502"/>
        <item x="435"/>
        <item x="14"/>
        <item x="598"/>
        <item x="471"/>
        <item x="294"/>
        <item x="590"/>
        <item x="183"/>
        <item x="192"/>
        <item x="288"/>
        <item x="253"/>
        <item x="120"/>
        <item x="170"/>
        <item x="560"/>
        <item x="248"/>
        <item x="92"/>
        <item x="513"/>
        <item x="342"/>
        <item x="628"/>
        <item x="630"/>
        <item x="161"/>
        <item x="454"/>
        <item x="158"/>
        <item x="619"/>
        <item x="143"/>
        <item x="75"/>
        <item x="45"/>
        <item x="200"/>
        <item x="381"/>
        <item x="362"/>
        <item x="473"/>
        <item x="379"/>
        <item x="313"/>
        <item x="171"/>
        <item x="401"/>
        <item x="416"/>
        <item x="55"/>
        <item x="574"/>
        <item x="27"/>
        <item x="559"/>
        <item x="48"/>
        <item x="581"/>
        <item x="438"/>
        <item x="102"/>
        <item x="300"/>
        <item x="38"/>
        <item x="154"/>
        <item x="451"/>
        <item x="319"/>
        <item x="351"/>
        <item x="548"/>
        <item x="69"/>
        <item x="557"/>
        <item x="203"/>
        <item x="16"/>
        <item x="146"/>
        <item x="303"/>
        <item x="327"/>
        <item x="449"/>
        <item x="492"/>
        <item x="157"/>
        <item x="452"/>
        <item x="509"/>
        <item x="168"/>
        <item x="11"/>
        <item x="70"/>
        <item x="74"/>
        <item x="241"/>
        <item x="164"/>
        <item x="153"/>
        <item x="618"/>
        <item x="518"/>
        <item x="506"/>
        <item x="348"/>
        <item x="228"/>
        <item x="367"/>
        <item x="429"/>
        <item x="530"/>
        <item x="132"/>
        <item x="384"/>
        <item x="612"/>
        <item x="176"/>
        <item x="543"/>
        <item x="450"/>
        <item x="24"/>
        <item x="125"/>
        <item x="360"/>
        <item x="279"/>
        <item x="352"/>
        <item x="404"/>
        <item x="440"/>
        <item x="349"/>
        <item x="600"/>
        <item x="193"/>
        <item x="346"/>
        <item x="320"/>
        <item x="375"/>
        <item x="190"/>
        <item x="504"/>
        <item x="151"/>
        <item x="487"/>
        <item x="94"/>
        <item x="324"/>
        <item x="244"/>
        <item x="19"/>
        <item x="592"/>
        <item x="204"/>
        <item x="317"/>
        <item x="284"/>
        <item x="388"/>
        <item x="402"/>
        <item x="624"/>
        <item x="184"/>
        <item x="162"/>
        <item x="40"/>
        <item x="229"/>
        <item x="272"/>
        <item x="589"/>
        <item x="363"/>
        <item x="207"/>
        <item x="425"/>
        <item x="550"/>
        <item x="478"/>
        <item x="365"/>
        <item x="59"/>
        <item x="524"/>
        <item x="520"/>
        <item x="126"/>
        <item x="287"/>
        <item x="18"/>
        <item x="629"/>
        <item x="189"/>
        <item x="225"/>
        <item x="66"/>
        <item x="332"/>
        <item x="273"/>
        <item x="527"/>
        <item x="1"/>
        <item x="95"/>
        <item x="216"/>
        <item x="135"/>
        <item x="224"/>
        <item x="210"/>
        <item x="280"/>
        <item x="152"/>
        <item x="610"/>
        <item x="420"/>
        <item x="281"/>
        <item x="266"/>
        <item x="77"/>
        <item x="377"/>
        <item x="400"/>
        <item x="260"/>
        <item x="79"/>
        <item x="405"/>
        <item x="392"/>
        <item x="181"/>
        <item x="503"/>
        <item x="497"/>
        <item x="596"/>
        <item x="393"/>
        <item x="107"/>
        <item x="539"/>
        <item x="382"/>
        <item x="292"/>
        <item x="198"/>
        <item x="603"/>
        <item x="383"/>
        <item x="455"/>
        <item x="534"/>
        <item x="427"/>
        <item x="56"/>
        <item x="105"/>
        <item x="385"/>
        <item x="554"/>
        <item x="387"/>
        <item x="212"/>
        <item x="567"/>
        <item x="552"/>
        <item x="468"/>
        <item x="278"/>
        <item x="399"/>
        <item x="60"/>
        <item x="357"/>
        <item x="205"/>
        <item x="81"/>
        <item x="333"/>
        <item x="85"/>
        <item x="111"/>
        <item x="555"/>
        <item x="562"/>
        <item x="413"/>
        <item x="223"/>
        <item x="99"/>
        <item x="431"/>
        <item x="397"/>
        <item x="356"/>
        <item x="138"/>
        <item x="209"/>
        <item x="421"/>
        <item x="448"/>
        <item x="41"/>
        <item x="265"/>
        <item x="528"/>
        <item x="606"/>
        <item x="249"/>
        <item x="371"/>
        <item x="480"/>
        <item x="159"/>
        <item x="58"/>
        <item x="17"/>
        <item x="242"/>
        <item x="97"/>
        <item x="376"/>
        <item x="343"/>
        <item x="501"/>
        <item x="587"/>
        <item x="353"/>
        <item x="566"/>
        <item x="63"/>
        <item x="165"/>
        <item x="235"/>
        <item x="227"/>
        <item x="31"/>
        <item x="208"/>
        <item x="593"/>
        <item x="100"/>
        <item x="414"/>
        <item x="541"/>
        <item x="142"/>
        <item x="187"/>
        <item x="173"/>
        <item x="459"/>
        <item x="302"/>
        <item x="267"/>
        <item x="426"/>
        <item x="289"/>
        <item x="23"/>
        <item x="368"/>
        <item x="521"/>
        <item x="482"/>
        <item x="415"/>
        <item x="335"/>
        <item x="537"/>
        <item x="496"/>
        <item x="366"/>
        <item x="8"/>
        <item x="394"/>
        <item x="149"/>
        <item x="121"/>
        <item x="547"/>
        <item x="322"/>
        <item x="65"/>
        <item x="49"/>
        <item x="545"/>
        <item x="484"/>
        <item x="234"/>
        <item x="398"/>
        <item x="422"/>
        <item x="615"/>
        <item x="199"/>
        <item x="613"/>
        <item x="21"/>
        <item x="9"/>
        <item x="507"/>
        <item x="188"/>
        <item x="465"/>
        <item x="601"/>
        <item x="276"/>
        <item x="236"/>
        <item x="622"/>
        <item x="626"/>
        <item x="625"/>
        <item x="246"/>
        <item x="226"/>
        <item x="406"/>
        <item x="442"/>
        <item x="295"/>
        <item x="123"/>
        <item x="237"/>
        <item x="86"/>
        <item x="588"/>
        <item x="583"/>
        <item x="542"/>
        <item x="329"/>
        <item x="72"/>
        <item x="195"/>
        <item x="512"/>
        <item x="117"/>
        <item x="76"/>
        <item x="122"/>
        <item x="42"/>
        <item x="396"/>
        <item x="529"/>
        <item x="310"/>
        <item x="104"/>
        <item x="196"/>
        <item x="569"/>
        <item x="467"/>
        <item x="80"/>
        <item x="275"/>
        <item x="136"/>
        <item x="175"/>
        <item x="409"/>
        <item x="614"/>
        <item x="47"/>
        <item x="84"/>
        <item x="514"/>
        <item x="34"/>
        <item x="407"/>
        <item x="556"/>
        <item x="213"/>
        <item x="306"/>
        <item x="50"/>
        <item x="264"/>
        <item x="2"/>
        <item x="32"/>
        <item x="140"/>
        <item x="607"/>
        <item x="489"/>
        <item x="61"/>
        <item x="256"/>
        <item x="261"/>
        <item x="115"/>
        <item x="424"/>
        <item x="167"/>
        <item x="374"/>
        <item x="390"/>
        <item x="423"/>
        <item x="25"/>
        <item x="20"/>
        <item x="345"/>
        <item t="default"/>
      </items>
    </pivotField>
    <pivotField compact="0" numFmtId="44" showAll="0">
      <items count="631">
        <item x="615"/>
        <item x="2"/>
        <item x="58"/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numFmtId="44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numFmtId="184" showAll="0">
      <items count="229">
        <item x="5"/>
        <item x="140"/>
        <item x="10"/>
        <item x="20"/>
        <item x="99"/>
        <item x="19"/>
        <item x="84"/>
        <item x="170"/>
        <item x="212"/>
        <item x="108"/>
        <item x="205"/>
        <item x="113"/>
        <item x="106"/>
        <item x="118"/>
        <item x="109"/>
        <item x="179"/>
        <item x="134"/>
        <item x="71"/>
        <item x="8"/>
        <item x="195"/>
        <item x="76"/>
        <item x="42"/>
        <item x="32"/>
        <item x="16"/>
        <item x="188"/>
        <item x="208"/>
        <item x="174"/>
        <item x="89"/>
        <item x="221"/>
        <item x="107"/>
        <item x="215"/>
        <item x="58"/>
        <item x="216"/>
        <item x="54"/>
        <item x="130"/>
        <item x="114"/>
        <item x="223"/>
        <item x="133"/>
        <item x="121"/>
        <item x="92"/>
        <item x="193"/>
        <item x="163"/>
        <item x="227"/>
        <item x="96"/>
        <item x="201"/>
        <item x="176"/>
        <item x="72"/>
        <item x="143"/>
        <item x="55"/>
        <item x="90"/>
        <item x="68"/>
        <item x="88"/>
        <item x="3"/>
        <item x="93"/>
        <item x="13"/>
        <item x="43"/>
        <item x="171"/>
        <item x="202"/>
        <item x="117"/>
        <item x="164"/>
        <item x="226"/>
        <item x="104"/>
        <item x="200"/>
        <item x="26"/>
        <item x="147"/>
        <item x="24"/>
        <item x="167"/>
        <item x="25"/>
        <item x="168"/>
        <item x="119"/>
        <item x="77"/>
        <item x="142"/>
        <item x="12"/>
        <item x="148"/>
        <item x="73"/>
        <item x="224"/>
        <item x="199"/>
        <item x="74"/>
        <item x="165"/>
        <item x="27"/>
        <item x="4"/>
        <item x="172"/>
        <item x="67"/>
        <item x="52"/>
        <item x="192"/>
        <item x="105"/>
        <item x="86"/>
        <item x="14"/>
        <item x="46"/>
        <item x="95"/>
        <item x="0"/>
        <item x="139"/>
        <item x="60"/>
        <item x="158"/>
        <item x="144"/>
        <item x="85"/>
        <item x="45"/>
        <item x="18"/>
        <item x="173"/>
        <item x="153"/>
        <item x="82"/>
        <item x="213"/>
        <item x="22"/>
        <item x="38"/>
        <item x="110"/>
        <item x="137"/>
        <item x="31"/>
        <item x="49"/>
        <item x="2"/>
        <item x="191"/>
        <item x="112"/>
        <item x="61"/>
        <item x="157"/>
        <item x="29"/>
        <item x="81"/>
        <item x="159"/>
        <item x="23"/>
        <item x="78"/>
        <item x="169"/>
        <item x="56"/>
        <item x="17"/>
        <item x="41"/>
        <item x="180"/>
        <item x="34"/>
        <item x="6"/>
        <item x="135"/>
        <item x="9"/>
        <item x="209"/>
        <item x="102"/>
        <item x="136"/>
        <item x="125"/>
        <item x="69"/>
        <item x="131"/>
        <item x="161"/>
        <item x="87"/>
        <item x="181"/>
        <item x="129"/>
        <item x="75"/>
        <item x="64"/>
        <item x="196"/>
        <item x="156"/>
        <item x="211"/>
        <item x="150"/>
        <item x="21"/>
        <item x="36"/>
        <item x="189"/>
        <item x="225"/>
        <item x="145"/>
        <item x="122"/>
        <item x="155"/>
        <item x="30"/>
        <item x="166"/>
        <item x="120"/>
        <item x="94"/>
        <item x="79"/>
        <item x="111"/>
        <item x="35"/>
        <item x="15"/>
        <item x="50"/>
        <item x="57"/>
        <item x="63"/>
        <item x="37"/>
        <item x="70"/>
        <item x="51"/>
        <item x="197"/>
        <item x="98"/>
        <item x="7"/>
        <item x="124"/>
        <item x="115"/>
        <item x="47"/>
        <item x="138"/>
        <item x="91"/>
        <item x="53"/>
        <item x="44"/>
        <item x="162"/>
        <item x="222"/>
        <item x="219"/>
        <item x="182"/>
        <item x="126"/>
        <item x="123"/>
        <item x="207"/>
        <item x="66"/>
        <item x="154"/>
        <item x="203"/>
        <item x="218"/>
        <item x="97"/>
        <item x="217"/>
        <item x="152"/>
        <item x="204"/>
        <item x="83"/>
        <item x="214"/>
        <item x="127"/>
        <item x="146"/>
        <item x="128"/>
        <item x="1"/>
        <item x="149"/>
        <item x="177"/>
        <item x="183"/>
        <item x="65"/>
        <item x="28"/>
        <item x="103"/>
        <item x="220"/>
        <item x="11"/>
        <item x="116"/>
        <item x="48"/>
        <item x="194"/>
        <item x="62"/>
        <item x="132"/>
        <item x="101"/>
        <item x="187"/>
        <item x="151"/>
        <item x="100"/>
        <item x="141"/>
        <item x="178"/>
        <item x="190"/>
        <item x="80"/>
        <item x="186"/>
        <item x="39"/>
        <item x="210"/>
        <item x="40"/>
        <item x="184"/>
        <item x="206"/>
        <item x="160"/>
        <item x="33"/>
        <item x="59"/>
        <item x="175"/>
        <item x="198"/>
        <item x="18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04">
        <item x="5"/>
        <item x="130"/>
        <item x="10"/>
        <item x="20"/>
        <item x="93"/>
        <item x="19"/>
        <item x="78"/>
        <item x="157"/>
        <item x="188"/>
        <item x="100"/>
        <item x="183"/>
        <item x="105"/>
        <item x="98"/>
        <item x="109"/>
        <item x="101"/>
        <item x="164"/>
        <item x="124"/>
        <item x="66"/>
        <item x="8"/>
        <item x="174"/>
        <item x="71"/>
        <item x="40"/>
        <item x="32"/>
        <item x="16"/>
        <item x="169"/>
        <item x="185"/>
        <item x="161"/>
        <item x="83"/>
        <item x="196"/>
        <item x="99"/>
        <item x="190"/>
        <item x="55"/>
        <item x="191"/>
        <item x="51"/>
        <item x="121"/>
        <item x="106"/>
        <item x="198"/>
        <item x="123"/>
        <item x="112"/>
        <item x="86"/>
        <item x="173"/>
        <item x="150"/>
        <item x="202"/>
        <item x="90"/>
        <item x="179"/>
        <item x="162"/>
        <item x="67"/>
        <item x="132"/>
        <item x="52"/>
        <item x="84"/>
        <item x="63"/>
        <item x="82"/>
        <item x="3"/>
        <item x="87"/>
        <item x="13"/>
        <item x="41"/>
        <item x="158"/>
        <item x="180"/>
        <item x="108"/>
        <item x="151"/>
        <item x="201"/>
        <item x="96"/>
        <item x="178"/>
        <item x="26"/>
        <item x="136"/>
        <item x="24"/>
        <item x="154"/>
        <item x="25"/>
        <item x="155"/>
        <item x="110"/>
        <item x="72"/>
        <item x="131"/>
        <item x="12"/>
        <item x="137"/>
        <item x="68"/>
        <item x="199"/>
        <item x="177"/>
        <item x="69"/>
        <item x="152"/>
        <item x="27"/>
        <item x="4"/>
        <item x="159"/>
        <item x="62"/>
        <item x="49"/>
        <item x="172"/>
        <item x="97"/>
        <item x="80"/>
        <item x="14"/>
        <item x="44"/>
        <item x="89"/>
        <item x="0"/>
        <item x="129"/>
        <item x="56"/>
        <item x="146"/>
        <item x="133"/>
        <item x="79"/>
        <item x="43"/>
        <item x="18"/>
        <item x="160"/>
        <item x="141"/>
        <item x="76"/>
        <item x="189"/>
        <item x="22"/>
        <item x="38"/>
        <item x="102"/>
        <item x="127"/>
        <item x="31"/>
        <item x="46"/>
        <item x="2"/>
        <item x="171"/>
        <item x="104"/>
        <item x="57"/>
        <item x="145"/>
        <item x="29"/>
        <item x="75"/>
        <item x="147"/>
        <item x="23"/>
        <item x="73"/>
        <item x="156"/>
        <item x="53"/>
        <item x="17"/>
        <item x="39"/>
        <item x="165"/>
        <item x="34"/>
        <item x="6"/>
        <item x="125"/>
        <item x="9"/>
        <item x="186"/>
        <item x="94"/>
        <item x="126"/>
        <item x="116"/>
        <item x="64"/>
        <item x="122"/>
        <item x="148"/>
        <item x="81"/>
        <item x="166"/>
        <item x="120"/>
        <item x="70"/>
        <item x="59"/>
        <item x="175"/>
        <item x="144"/>
        <item x="187"/>
        <item x="139"/>
        <item x="21"/>
        <item x="36"/>
        <item x="170"/>
        <item x="200"/>
        <item x="134"/>
        <item x="113"/>
        <item x="143"/>
        <item x="30"/>
        <item x="153"/>
        <item x="111"/>
        <item x="88"/>
        <item x="74"/>
        <item x="103"/>
        <item x="35"/>
        <item x="15"/>
        <item x="47"/>
        <item x="54"/>
        <item x="58"/>
        <item x="37"/>
        <item x="65"/>
        <item x="48"/>
        <item x="176"/>
        <item x="92"/>
        <item x="7"/>
        <item x="115"/>
        <item x="107"/>
        <item x="45"/>
        <item x="128"/>
        <item x="85"/>
        <item x="50"/>
        <item x="42"/>
        <item x="149"/>
        <item x="197"/>
        <item x="194"/>
        <item x="167"/>
        <item x="117"/>
        <item x="114"/>
        <item x="184"/>
        <item x="61"/>
        <item x="142"/>
        <item x="181"/>
        <item x="193"/>
        <item x="91"/>
        <item x="192"/>
        <item x="140"/>
        <item x="182"/>
        <item x="77"/>
        <item x="33"/>
        <item x="118"/>
        <item x="135"/>
        <item x="119"/>
        <item x="1"/>
        <item x="138"/>
        <item x="163"/>
        <item x="168"/>
        <item x="60"/>
        <item x="28"/>
        <item x="95"/>
        <item x="195"/>
        <item x="11"/>
        <item t="default"/>
      </items>
    </pivotField>
    <pivotField compact="0" numFmtId="183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dataField="1"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51"/>
        <item x="247"/>
        <item x="531"/>
        <item x="89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41"/>
        <item x="354"/>
        <item x="139"/>
        <item x="114"/>
        <item x="490"/>
        <item x="305"/>
        <item x="87"/>
        <item x="108"/>
        <item x="460"/>
        <item x="26"/>
        <item x="211"/>
        <item x="582"/>
        <item x="464"/>
        <item x="551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137"/>
        <item x="258"/>
        <item x="193"/>
        <item x="598"/>
        <item x="131"/>
        <item x="179"/>
        <item x="74"/>
        <item x="240"/>
        <item x="222"/>
        <item x="369"/>
        <item x="59"/>
        <item x="571"/>
        <item x="201"/>
        <item x="408"/>
        <item x="495"/>
        <item x="543"/>
        <item x="481"/>
        <item x="57"/>
        <item x="361"/>
        <item x="546"/>
        <item x="186"/>
        <item x="334"/>
        <item x="0"/>
        <item x="79"/>
        <item x="12"/>
        <item x="314"/>
        <item x="627"/>
        <item x="483"/>
        <item x="486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447"/>
        <item x="333"/>
        <item x="161"/>
        <item x="593"/>
        <item x="118"/>
        <item x="52"/>
        <item x="231"/>
        <item x="304"/>
        <item x="443"/>
        <item x="103"/>
        <item x="599"/>
        <item x="485"/>
        <item x="277"/>
        <item x="581"/>
        <item x="328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332"/>
        <item x="271"/>
        <item x="46"/>
        <item x="580"/>
        <item x="156"/>
        <item x="270"/>
        <item x="363"/>
        <item x="437"/>
        <item x="293"/>
        <item x="520"/>
        <item x="501"/>
        <item x="229"/>
        <item x="601"/>
        <item x="321"/>
        <item x="492"/>
        <item x="259"/>
        <item x="14"/>
        <item x="458"/>
        <item x="269"/>
        <item x="182"/>
        <item x="130"/>
        <item x="216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343"/>
        <item x="590"/>
        <item x="316"/>
        <item x="510"/>
        <item x="612"/>
        <item x="530"/>
        <item x="73"/>
        <item x="419"/>
        <item x="386"/>
        <item x="489"/>
        <item x="32"/>
        <item x="241"/>
        <item x="136"/>
        <item x="446"/>
        <item x="246"/>
        <item x="30"/>
        <item x="518"/>
        <item x="325"/>
        <item x="309"/>
        <item x="301"/>
        <item x="143"/>
        <item x="421"/>
        <item x="92"/>
        <item x="564"/>
        <item x="504"/>
        <item x="610"/>
        <item x="11"/>
        <item x="158"/>
        <item x="185"/>
        <item x="470"/>
        <item x="78"/>
        <item x="289"/>
        <item x="615"/>
        <item x="558"/>
        <item x="41"/>
        <item x="70"/>
        <item x="43"/>
        <item x="623"/>
        <item x="616"/>
        <item x="545"/>
        <item x="123"/>
        <item x="515"/>
        <item x="502"/>
        <item x="416"/>
        <item x="22"/>
        <item x="549"/>
        <item x="62"/>
        <item x="4"/>
        <item x="154"/>
        <item x="312"/>
        <item x="393"/>
        <item x="197"/>
        <item x="380"/>
        <item x="527"/>
        <item x="274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105"/>
        <item x="576"/>
        <item x="65"/>
        <item x="250"/>
        <item x="163"/>
        <item x="349"/>
        <item x="244"/>
        <item x="449"/>
        <item x="104"/>
        <item x="167"/>
        <item x="450"/>
        <item x="265"/>
        <item x="441"/>
        <item x="299"/>
        <item x="364"/>
        <item x="630"/>
        <item x="381"/>
        <item x="145"/>
        <item x="430"/>
        <item x="433"/>
        <item x="399"/>
        <item x="281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170"/>
        <item x="8"/>
        <item x="455"/>
        <item x="359"/>
        <item x="148"/>
        <item x="50"/>
        <item x="595"/>
        <item x="200"/>
        <item x="38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335"/>
        <item x="469"/>
        <item x="317"/>
        <item x="351"/>
        <item x="499"/>
        <item x="228"/>
        <item x="371"/>
        <item x="402"/>
        <item x="340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427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99"/>
        <item x="204"/>
        <item x="300"/>
        <item x="144"/>
        <item x="16"/>
        <item x="324"/>
        <item x="339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329"/>
        <item x="188"/>
        <item x="219"/>
        <item x="336"/>
        <item x="207"/>
        <item x="487"/>
        <item x="607"/>
        <item x="159"/>
        <item x="273"/>
        <item x="423"/>
        <item x="153"/>
        <item x="56"/>
        <item x="550"/>
        <item x="111"/>
        <item x="622"/>
        <item x="426"/>
        <item x="226"/>
        <item x="42"/>
        <item x="542"/>
        <item x="496"/>
        <item x="310"/>
        <item x="374"/>
        <item x="195"/>
        <item x="442"/>
        <item x="414"/>
        <item x="173"/>
        <item x="55"/>
        <item x="548"/>
        <item x="142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92"/>
        <item x="357"/>
        <item x="624"/>
        <item x="512"/>
        <item x="557"/>
        <item x="537"/>
        <item x="592"/>
        <item x="100"/>
        <item x="319"/>
        <item x="199"/>
        <item x="396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247"/>
        <item x="531"/>
        <item x="89"/>
        <item x="51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54"/>
        <item x="341"/>
        <item x="114"/>
        <item x="139"/>
        <item x="490"/>
        <item x="305"/>
        <item x="87"/>
        <item x="108"/>
        <item x="460"/>
        <item x="26"/>
        <item x="211"/>
        <item x="582"/>
        <item x="551"/>
        <item x="464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258"/>
        <item x="193"/>
        <item x="598"/>
        <item x="131"/>
        <item x="179"/>
        <item x="240"/>
        <item x="222"/>
        <item x="137"/>
        <item x="369"/>
        <item x="59"/>
        <item x="571"/>
        <item x="408"/>
        <item x="495"/>
        <item x="543"/>
        <item x="481"/>
        <item x="57"/>
        <item x="361"/>
        <item x="201"/>
        <item x="546"/>
        <item x="186"/>
        <item x="334"/>
        <item x="0"/>
        <item x="79"/>
        <item x="12"/>
        <item x="314"/>
        <item x="627"/>
        <item x="483"/>
        <item x="486"/>
        <item x="74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333"/>
        <item x="161"/>
        <item x="593"/>
        <item x="118"/>
        <item x="52"/>
        <item x="231"/>
        <item x="304"/>
        <item x="443"/>
        <item x="103"/>
        <item x="599"/>
        <item x="447"/>
        <item x="485"/>
        <item x="277"/>
        <item x="581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271"/>
        <item x="46"/>
        <item x="580"/>
        <item x="156"/>
        <item x="270"/>
        <item x="328"/>
        <item x="437"/>
        <item x="293"/>
        <item x="520"/>
        <item x="501"/>
        <item x="229"/>
        <item x="601"/>
        <item x="321"/>
        <item x="332"/>
        <item x="492"/>
        <item x="259"/>
        <item x="14"/>
        <item x="458"/>
        <item x="269"/>
        <item x="182"/>
        <item x="130"/>
        <item x="216"/>
        <item x="363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590"/>
        <item x="316"/>
        <item x="510"/>
        <item x="612"/>
        <item x="530"/>
        <item x="343"/>
        <item x="73"/>
        <item x="419"/>
        <item x="386"/>
        <item x="489"/>
        <item x="32"/>
        <item x="241"/>
        <item x="136"/>
        <item x="446"/>
        <item x="30"/>
        <item x="518"/>
        <item x="325"/>
        <item x="309"/>
        <item x="301"/>
        <item x="143"/>
        <item x="421"/>
        <item x="92"/>
        <item x="564"/>
        <item x="504"/>
        <item x="246"/>
        <item x="610"/>
        <item x="11"/>
        <item x="158"/>
        <item x="185"/>
        <item x="470"/>
        <item x="289"/>
        <item x="615"/>
        <item x="558"/>
        <item x="41"/>
        <item x="70"/>
        <item x="43"/>
        <item x="623"/>
        <item x="616"/>
        <item x="545"/>
        <item x="123"/>
        <item x="78"/>
        <item x="515"/>
        <item x="502"/>
        <item x="416"/>
        <item x="22"/>
        <item x="549"/>
        <item x="62"/>
        <item x="4"/>
        <item x="154"/>
        <item x="312"/>
        <item x="197"/>
        <item x="380"/>
        <item x="527"/>
        <item x="274"/>
        <item x="393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576"/>
        <item x="65"/>
        <item x="250"/>
        <item x="163"/>
        <item x="349"/>
        <item x="244"/>
        <item x="449"/>
        <item x="104"/>
        <item x="450"/>
        <item x="265"/>
        <item x="441"/>
        <item x="299"/>
        <item x="364"/>
        <item x="630"/>
        <item x="167"/>
        <item x="381"/>
        <item x="105"/>
        <item x="145"/>
        <item x="430"/>
        <item x="433"/>
        <item x="399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281"/>
        <item x="8"/>
        <item x="455"/>
        <item x="359"/>
        <item x="148"/>
        <item x="595"/>
        <item x="200"/>
        <item x="38"/>
        <item x="170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50"/>
        <item x="335"/>
        <item x="469"/>
        <item x="317"/>
        <item x="351"/>
        <item x="499"/>
        <item x="228"/>
        <item x="371"/>
        <item x="402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427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204"/>
        <item x="300"/>
        <item x="144"/>
        <item x="16"/>
        <item x="324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99"/>
        <item x="329"/>
        <item x="188"/>
        <item x="336"/>
        <item x="207"/>
        <item x="339"/>
        <item x="487"/>
        <item x="607"/>
        <item x="159"/>
        <item x="273"/>
        <item x="219"/>
        <item x="423"/>
        <item x="153"/>
        <item x="56"/>
        <item x="550"/>
        <item x="111"/>
        <item x="340"/>
        <item x="622"/>
        <item x="426"/>
        <item x="226"/>
        <item x="542"/>
        <item x="496"/>
        <item x="310"/>
        <item x="195"/>
        <item x="442"/>
        <item x="414"/>
        <item x="173"/>
        <item x="55"/>
        <item x="548"/>
        <item x="142"/>
        <item x="374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42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57"/>
        <item x="624"/>
        <item x="512"/>
        <item x="557"/>
        <item x="537"/>
        <item x="592"/>
        <item x="100"/>
        <item x="319"/>
        <item x="199"/>
        <item x="396"/>
        <item x="392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493"/>
        <item x="172"/>
        <item x="286"/>
        <item x="298"/>
        <item x="96"/>
        <item x="586"/>
        <item x="389"/>
        <item x="54"/>
        <item x="83"/>
        <item x="247"/>
        <item x="631"/>
        <item x="119"/>
        <item x="575"/>
        <item x="89"/>
        <item x="572"/>
        <item x="418"/>
        <item x="106"/>
        <item x="177"/>
        <item x="7"/>
        <item x="517"/>
        <item x="532"/>
        <item x="282"/>
        <item x="354"/>
        <item x="263"/>
        <item x="243"/>
        <item x="51"/>
        <item x="531"/>
        <item x="109"/>
        <item x="305"/>
        <item x="461"/>
        <item x="341"/>
        <item x="221"/>
        <item x="620"/>
        <item x="291"/>
        <item x="311"/>
        <item x="108"/>
        <item x="602"/>
        <item x="230"/>
        <item x="490"/>
        <item x="551"/>
        <item x="127"/>
        <item x="519"/>
        <item x="445"/>
        <item x="323"/>
        <item x="476"/>
        <item x="464"/>
        <item x="582"/>
        <item x="391"/>
        <item x="347"/>
        <item x="26"/>
        <item x="621"/>
        <item x="217"/>
        <item x="330"/>
        <item x="326"/>
        <item x="460"/>
        <item x="116"/>
        <item x="211"/>
        <item x="412"/>
        <item x="128"/>
        <item x="124"/>
        <item x="174"/>
        <item x="466"/>
        <item x="344"/>
        <item x="463"/>
        <item x="597"/>
        <item x="245"/>
        <item x="139"/>
        <item x="113"/>
        <item x="570"/>
        <item x="169"/>
        <item x="87"/>
        <item x="28"/>
        <item x="526"/>
        <item x="232"/>
        <item x="608"/>
        <item x="318"/>
        <item x="257"/>
        <item x="609"/>
        <item x="565"/>
        <item x="439"/>
        <item x="114"/>
        <item x="5"/>
        <item x="508"/>
        <item x="579"/>
        <item x="6"/>
        <item x="297"/>
        <item x="434"/>
        <item x="481"/>
        <item x="334"/>
        <item x="222"/>
        <item x="133"/>
        <item x="495"/>
        <item x="627"/>
        <item x="403"/>
        <item x="0"/>
        <item x="258"/>
        <item x="82"/>
        <item x="584"/>
        <item x="581"/>
        <item x="546"/>
        <item x="53"/>
        <item x="327"/>
        <item x="511"/>
        <item x="296"/>
        <item x="239"/>
        <item x="231"/>
        <item x="57"/>
        <item x="436"/>
        <item x="304"/>
        <item x="39"/>
        <item x="604"/>
        <item x="254"/>
        <item x="443"/>
        <item x="370"/>
        <item x="491"/>
        <item x="194"/>
        <item x="378"/>
        <item x="307"/>
        <item x="277"/>
        <item x="240"/>
        <item x="233"/>
        <item x="598"/>
        <item x="293"/>
        <item x="486"/>
        <item x="71"/>
        <item x="178"/>
        <item x="103"/>
        <item x="248"/>
        <item x="488"/>
        <item x="156"/>
        <item x="12"/>
        <item x="130"/>
        <item x="571"/>
        <item x="79"/>
        <item x="350"/>
        <item x="118"/>
        <item x="308"/>
        <item x="186"/>
        <item x="458"/>
        <item x="462"/>
        <item x="410"/>
        <item x="182"/>
        <item x="328"/>
        <item x="432"/>
        <item x="358"/>
        <item x="483"/>
        <item x="285"/>
        <item x="513"/>
        <item x="563"/>
        <item x="161"/>
        <item x="498"/>
        <item x="369"/>
        <item x="599"/>
        <item x="594"/>
        <item x="314"/>
        <item x="171"/>
        <item x="59"/>
        <item x="524"/>
        <item x="437"/>
        <item x="332"/>
        <item x="46"/>
        <item x="69"/>
        <item x="191"/>
        <item x="141"/>
        <item x="509"/>
        <item x="338"/>
        <item x="137"/>
        <item x="179"/>
        <item x="74"/>
        <item x="214"/>
        <item x="616"/>
        <item x="279"/>
        <item x="90"/>
        <item x="447"/>
        <item x="158"/>
        <item x="540"/>
        <item x="373"/>
        <item x="315"/>
        <item x="201"/>
        <item x="227"/>
        <item x="446"/>
        <item x="473"/>
        <item x="206"/>
        <item x="218"/>
        <item x="27"/>
        <item x="470"/>
        <item x="271"/>
        <item x="525"/>
        <item x="408"/>
        <item x="578"/>
        <item x="43"/>
        <item x="146"/>
        <item x="502"/>
        <item x="168"/>
        <item x="331"/>
        <item x="183"/>
        <item x="309"/>
        <item x="503"/>
        <item x="596"/>
        <item x="543"/>
        <item x="3"/>
        <item x="88"/>
        <item x="386"/>
        <item x="75"/>
        <item x="270"/>
        <item x="262"/>
        <item x="301"/>
        <item x="32"/>
        <item x="489"/>
        <item x="349"/>
        <item x="193"/>
        <item x="485"/>
        <item x="333"/>
        <item x="25"/>
        <item x="102"/>
        <item x="274"/>
        <item x="94"/>
        <item x="37"/>
        <item x="131"/>
        <item x="589"/>
        <item x="593"/>
        <item x="145"/>
        <item x="163"/>
        <item x="520"/>
        <item x="368"/>
        <item x="558"/>
        <item x="316"/>
        <item x="92"/>
        <item x="544"/>
        <item x="33"/>
        <item x="630"/>
        <item x="220"/>
        <item x="250"/>
        <item x="518"/>
        <item x="398"/>
        <item x="152"/>
        <item x="430"/>
        <item x="35"/>
        <item x="477"/>
        <item x="580"/>
        <item x="450"/>
        <item x="62"/>
        <item x="561"/>
        <item x="536"/>
        <item x="533"/>
        <item x="595"/>
        <item x="417"/>
        <item x="15"/>
        <item x="433"/>
        <item x="101"/>
        <item x="238"/>
        <item x="212"/>
        <item x="515"/>
        <item x="104"/>
        <item x="312"/>
        <item x="294"/>
        <item x="361"/>
        <item x="78"/>
        <item x="162"/>
        <item x="269"/>
        <item x="421"/>
        <item x="197"/>
        <item x="41"/>
        <item x="411"/>
        <item x="22"/>
        <item x="241"/>
        <item x="164"/>
        <item x="143"/>
        <item x="268"/>
        <item x="343"/>
        <item x="129"/>
        <item x="345"/>
        <item x="283"/>
        <item x="189"/>
        <item x="577"/>
        <item x="419"/>
        <item x="216"/>
        <item x="453"/>
        <item x="98"/>
        <item x="523"/>
        <item x="559"/>
        <item x="281"/>
        <item x="472"/>
        <item x="8"/>
        <item x="325"/>
        <item x="405"/>
        <item x="615"/>
        <item x="507"/>
        <item x="52"/>
        <item x="198"/>
        <item x="246"/>
        <item x="70"/>
        <item x="425"/>
        <item x="155"/>
        <item x="413"/>
        <item x="367"/>
        <item x="30"/>
        <item x="530"/>
        <item x="549"/>
        <item x="275"/>
        <item x="136"/>
        <item x="612"/>
        <item x="176"/>
        <item x="457"/>
        <item x="499"/>
        <item x="359"/>
        <item x="527"/>
        <item x="623"/>
        <item x="154"/>
        <item x="535"/>
        <item x="510"/>
        <item x="451"/>
        <item x="67"/>
        <item x="564"/>
        <item x="610"/>
        <item x="541"/>
        <item x="185"/>
        <item x="494"/>
        <item x="342"/>
        <item x="68"/>
        <item x="321"/>
        <item x="303"/>
        <item x="605"/>
        <item x="504"/>
        <item x="415"/>
        <item x="335"/>
        <item x="455"/>
        <item x="538"/>
        <item x="363"/>
        <item x="601"/>
        <item x="14"/>
        <item x="290"/>
        <item x="148"/>
        <item x="380"/>
        <item x="93"/>
        <item x="295"/>
        <item x="147"/>
        <item x="287"/>
        <item x="13"/>
        <item x="249"/>
        <item x="404"/>
        <item x="492"/>
        <item x="467"/>
        <item x="210"/>
        <item x="320"/>
        <item x="280"/>
        <item x="441"/>
        <item x="4"/>
        <item x="591"/>
        <item x="611"/>
        <item x="255"/>
        <item x="267"/>
        <item x="23"/>
        <item x="393"/>
        <item x="229"/>
        <item x="261"/>
        <item x="366"/>
        <item x="394"/>
        <item x="547"/>
        <item x="545"/>
        <item x="500"/>
        <item x="20"/>
        <item x="576"/>
        <item x="29"/>
        <item x="399"/>
        <item x="21"/>
        <item x="440"/>
        <item x="225"/>
        <item x="452"/>
        <item x="474"/>
        <item x="123"/>
        <item x="428"/>
        <item x="420"/>
        <item x="324"/>
        <item x="38"/>
        <item x="469"/>
        <item x="614"/>
        <item x="24"/>
        <item x="259"/>
        <item x="364"/>
        <item x="251"/>
        <item x="50"/>
        <item x="381"/>
        <item x="121"/>
        <item x="444"/>
        <item x="115"/>
        <item x="590"/>
        <item x="209"/>
        <item x="228"/>
        <item x="204"/>
        <item x="454"/>
        <item x="150"/>
        <item x="284"/>
        <item x="377"/>
        <item x="501"/>
        <item x="395"/>
        <item x="568"/>
        <item x="56"/>
        <item x="253"/>
        <item x="170"/>
        <item x="552"/>
        <item x="34"/>
        <item x="456"/>
        <item x="73"/>
        <item x="205"/>
        <item x="213"/>
        <item x="299"/>
        <item x="85"/>
        <item x="234"/>
        <item x="91"/>
        <item x="607"/>
        <item x="256"/>
        <item x="606"/>
        <item x="125"/>
        <item x="167"/>
        <item x="371"/>
        <item x="207"/>
        <item x="449"/>
        <item x="260"/>
        <item x="157"/>
        <item x="416"/>
        <item x="86"/>
        <item x="107"/>
        <item x="208"/>
        <item x="414"/>
        <item x="355"/>
        <item x="215"/>
        <item x="105"/>
        <item x="554"/>
        <item x="529"/>
        <item x="135"/>
        <item x="573"/>
        <item x="336"/>
        <item x="288"/>
        <item x="574"/>
        <item x="10"/>
        <item x="110"/>
        <item x="153"/>
        <item x="44"/>
        <item x="348"/>
        <item x="351"/>
        <item x="442"/>
        <item x="160"/>
        <item x="200"/>
        <item x="505"/>
        <item x="132"/>
        <item x="379"/>
        <item x="329"/>
        <item x="585"/>
        <item x="487"/>
        <item x="166"/>
        <item x="475"/>
        <item x="317"/>
        <item x="202"/>
        <item x="555"/>
        <item x="496"/>
        <item x="550"/>
        <item x="400"/>
        <item x="514"/>
        <item x="219"/>
        <item x="340"/>
        <item x="292"/>
        <item x="566"/>
        <item x="553"/>
        <item x="235"/>
        <item x="401"/>
        <item x="144"/>
        <item x="244"/>
        <item x="387"/>
        <item x="402"/>
        <item x="224"/>
        <item x="390"/>
        <item x="300"/>
        <item x="459"/>
        <item x="289"/>
        <item x="372"/>
        <item x="122"/>
        <item x="310"/>
        <item x="569"/>
        <item x="65"/>
        <item x="384"/>
        <item x="409"/>
        <item x="484"/>
        <item x="159"/>
        <item x="522"/>
        <item x="66"/>
        <item x="388"/>
        <item x="339"/>
        <item x="516"/>
        <item x="2"/>
        <item x="468"/>
        <item x="226"/>
        <item x="61"/>
        <item x="374"/>
        <item x="151"/>
        <item x="471"/>
        <item x="76"/>
        <item x="252"/>
        <item x="352"/>
        <item x="11"/>
        <item x="134"/>
        <item x="322"/>
        <item x="479"/>
        <item x="120"/>
        <item x="84"/>
        <item x="628"/>
        <item x="188"/>
        <item x="600"/>
        <item x="190"/>
        <item x="625"/>
        <item x="77"/>
        <item x="81"/>
        <item x="173"/>
        <item x="365"/>
        <item x="406"/>
        <item x="18"/>
        <item x="36"/>
        <item x="19"/>
        <item x="629"/>
        <item x="482"/>
        <item x="603"/>
        <item x="480"/>
        <item x="95"/>
        <item x="42"/>
        <item x="17"/>
        <item x="587"/>
        <item x="31"/>
        <item x="64"/>
        <item x="278"/>
        <item x="560"/>
        <item x="111"/>
        <item x="617"/>
        <item x="397"/>
        <item x="265"/>
        <item x="48"/>
        <item x="438"/>
        <item x="427"/>
        <item x="266"/>
        <item x="100"/>
        <item x="99"/>
        <item x="273"/>
        <item x="356"/>
        <item x="478"/>
        <item x="542"/>
        <item x="97"/>
        <item x="429"/>
        <item x="181"/>
        <item x="313"/>
        <item x="562"/>
        <item x="360"/>
        <item x="626"/>
        <item x="534"/>
        <item x="337"/>
        <item x="45"/>
        <item x="435"/>
        <item x="149"/>
        <item x="72"/>
        <item x="184"/>
        <item x="60"/>
        <item x="557"/>
        <item x="196"/>
        <item x="618"/>
        <item x="353"/>
        <item x="16"/>
        <item x="431"/>
        <item x="548"/>
        <item x="407"/>
        <item x="556"/>
        <item x="506"/>
        <item x="195"/>
        <item x="592"/>
        <item x="138"/>
        <item x="624"/>
        <item x="426"/>
        <item x="567"/>
        <item x="242"/>
        <item x="376"/>
        <item x="537"/>
        <item x="40"/>
        <item x="448"/>
        <item x="302"/>
        <item x="396"/>
        <item x="49"/>
        <item x="272"/>
        <item x="192"/>
        <item x="583"/>
        <item x="223"/>
        <item x="142"/>
        <item x="521"/>
        <item x="497"/>
        <item x="187"/>
        <item x="357"/>
        <item x="382"/>
        <item x="117"/>
        <item x="236"/>
        <item x="622"/>
        <item x="55"/>
        <item x="199"/>
        <item x="264"/>
        <item x="1"/>
        <item x="375"/>
        <item x="588"/>
        <item x="613"/>
        <item x="306"/>
        <item x="619"/>
        <item x="424"/>
        <item x="423"/>
        <item x="385"/>
        <item x="203"/>
        <item x="539"/>
        <item x="80"/>
        <item x="362"/>
        <item x="392"/>
        <item x="126"/>
        <item x="9"/>
        <item x="346"/>
        <item x="47"/>
        <item x="512"/>
        <item x="319"/>
        <item x="383"/>
        <item x="528"/>
        <item x="465"/>
        <item x="276"/>
        <item x="175"/>
        <item x="165"/>
        <item x="422"/>
        <item x="63"/>
        <item x="140"/>
        <item x="58"/>
        <item x="237"/>
        <item t="default"/>
      </items>
    </pivotField>
    <pivotField compact="0" numFmtId="44" showAll="0">
      <items count="633">
        <item x="1"/>
        <item x="385"/>
        <item x="626"/>
        <item x="265"/>
        <item x="11"/>
        <item x="560"/>
        <item x="132"/>
        <item x="134"/>
        <item x="423"/>
        <item x="289"/>
        <item x="497"/>
        <item x="58"/>
        <item x="501"/>
        <item x="187"/>
        <item x="65"/>
        <item x="125"/>
        <item x="192"/>
        <item x="407"/>
        <item x="150"/>
        <item x="244"/>
        <item x="259"/>
        <item x="73"/>
        <item x="72"/>
        <item x="388"/>
        <item x="590"/>
        <item x="229"/>
        <item x="416"/>
        <item x="152"/>
        <item x="477"/>
        <item x="492"/>
        <item x="98"/>
        <item x="361"/>
        <item x="2"/>
        <item x="196"/>
        <item x="52"/>
        <item x="617"/>
        <item x="363"/>
        <item x="622"/>
        <item x="404"/>
        <item x="601"/>
        <item x="605"/>
        <item x="105"/>
        <item x="397"/>
        <item x="14"/>
        <item x="146"/>
        <item x="131"/>
        <item x="384"/>
        <item x="540"/>
        <item x="338"/>
        <item x="193"/>
        <item x="321"/>
        <item x="66"/>
        <item x="432"/>
        <item x="27"/>
        <item x="449"/>
        <item x="427"/>
        <item x="543"/>
        <item x="167"/>
        <item x="224"/>
        <item x="55"/>
        <item x="303"/>
        <item x="373"/>
        <item x="457"/>
        <item x="166"/>
        <item x="81"/>
        <item x="122"/>
        <item x="114"/>
        <item x="101"/>
        <item x="94"/>
        <item x="408"/>
        <item x="593"/>
        <item x="116"/>
        <item x="3"/>
        <item x="252"/>
        <item x="268"/>
        <item x="434"/>
        <item x="411"/>
        <item x="323"/>
        <item x="299"/>
        <item x="333"/>
        <item x="238"/>
        <item x="201"/>
        <item x="36"/>
        <item x="68"/>
        <item x="137"/>
        <item x="390"/>
        <item x="230"/>
        <item x="177"/>
        <item x="179"/>
        <item x="74"/>
        <item x="87"/>
        <item x="53"/>
        <item x="519"/>
        <item x="127"/>
        <item x="631"/>
        <item x="123"/>
        <item x="574"/>
        <item x="139"/>
        <item x="54"/>
        <item x="476"/>
        <item x="200"/>
        <item x="109"/>
        <item x="298"/>
        <item x="286"/>
        <item x="112"/>
        <item x="212"/>
        <item x="609"/>
        <item x="180"/>
        <item x="263"/>
        <item x="532"/>
        <item x="96"/>
        <item x="51"/>
        <item x="106"/>
        <item x="35"/>
        <item x="172"/>
        <item x="531"/>
        <item x="493"/>
        <item x="311"/>
        <item x="561"/>
        <item x="575"/>
        <item x="285"/>
        <item x="85"/>
        <item x="275"/>
        <item x="282"/>
        <item x="216"/>
        <item x="485"/>
        <item x="243"/>
        <item x="7"/>
        <item x="83"/>
        <item x="586"/>
        <item x="89"/>
        <item x="221"/>
        <item x="119"/>
        <item x="389"/>
        <item x="358"/>
        <item x="602"/>
        <item x="461"/>
        <item x="526"/>
        <item x="247"/>
        <item x="418"/>
        <item x="620"/>
        <item x="15"/>
        <item x="291"/>
        <item x="257"/>
        <item x="59"/>
        <item x="198"/>
        <item x="545"/>
        <item x="462"/>
        <item x="248"/>
        <item x="572"/>
        <item x="460"/>
        <item x="463"/>
        <item x="341"/>
        <item x="211"/>
        <item x="269"/>
        <item x="517"/>
        <item x="369"/>
        <item x="174"/>
        <item x="510"/>
        <item x="86"/>
        <item x="6"/>
        <item x="580"/>
        <item x="113"/>
        <item x="606"/>
        <item x="354"/>
        <item x="227"/>
        <item x="26"/>
        <item x="307"/>
        <item x="169"/>
        <item x="490"/>
        <item x="155"/>
        <item x="402"/>
        <item x="124"/>
        <item x="190"/>
        <item x="582"/>
        <item x="412"/>
        <item x="439"/>
        <item x="447"/>
        <item x="464"/>
        <item x="383"/>
        <item x="608"/>
        <item x="39"/>
        <item x="350"/>
        <item x="612"/>
        <item x="488"/>
        <item x="511"/>
        <item x="530"/>
        <item x="297"/>
        <item x="108"/>
        <item x="314"/>
        <item x="318"/>
        <item x="551"/>
        <item x="232"/>
        <item x="194"/>
        <item x="445"/>
        <item x="305"/>
        <item x="162"/>
        <item x="618"/>
        <item x="16"/>
        <item x="4"/>
        <item x="217"/>
        <item x="520"/>
        <item x="317"/>
        <item x="347"/>
        <item x="393"/>
        <item x="133"/>
        <item x="189"/>
        <item x="239"/>
        <item x="75"/>
        <item x="536"/>
        <item x="327"/>
        <item x="326"/>
        <item x="417"/>
        <item x="513"/>
        <item x="234"/>
        <item x="621"/>
        <item x="370"/>
        <item x="10"/>
        <item x="340"/>
        <item x="364"/>
        <item x="381"/>
        <item x="504"/>
        <item x="128"/>
        <item x="136"/>
        <item x="571"/>
        <item x="584"/>
        <item x="186"/>
        <item x="401"/>
        <item x="466"/>
        <item x="483"/>
        <item x="235"/>
        <item x="598"/>
        <item x="330"/>
        <item x="240"/>
        <item x="564"/>
        <item x="391"/>
        <item x="30"/>
        <item x="168"/>
        <item x="215"/>
        <item x="245"/>
        <item x="270"/>
        <item x="218"/>
        <item x="610"/>
        <item x="578"/>
        <item x="566"/>
        <item x="79"/>
        <item x="296"/>
        <item x="351"/>
        <item x="343"/>
        <item x="185"/>
        <item x="410"/>
        <item x="161"/>
        <item x="576"/>
        <item x="206"/>
        <item x="597"/>
        <item x="508"/>
        <item x="12"/>
        <item x="246"/>
        <item x="344"/>
        <item x="570"/>
        <item x="170"/>
        <item x="591"/>
        <item x="294"/>
        <item x="599"/>
        <item x="258"/>
        <item x="380"/>
        <item x="554"/>
        <item x="271"/>
        <item x="308"/>
        <item x="5"/>
        <item x="419"/>
        <item x="579"/>
        <item x="325"/>
        <item x="486"/>
        <item x="395"/>
        <item x="57"/>
        <item x="623"/>
        <item x="28"/>
        <item x="400"/>
        <item x="222"/>
        <item x="208"/>
        <item x="249"/>
        <item x="565"/>
        <item x="233"/>
        <item x="546"/>
        <item x="524"/>
        <item x="495"/>
        <item x="154"/>
        <item x="241"/>
        <item x="0"/>
        <item x="262"/>
        <item x="481"/>
        <item x="118"/>
        <item x="328"/>
        <item x="399"/>
        <item x="334"/>
        <item x="70"/>
        <item x="596"/>
        <item x="428"/>
        <item x="549"/>
        <item x="615"/>
        <item x="365"/>
        <item x="84"/>
        <item x="627"/>
        <item x="143"/>
        <item x="604"/>
        <item x="25"/>
        <item x="316"/>
        <item x="441"/>
        <item x="527"/>
        <item x="403"/>
        <item x="46"/>
        <item x="103"/>
        <item x="421"/>
        <item x="436"/>
        <item x="82"/>
        <item x="332"/>
        <item x="184"/>
        <item x="503"/>
        <item x="277"/>
        <item x="494"/>
        <item x="231"/>
        <item x="44"/>
        <item x="142"/>
        <item x="443"/>
        <item x="437"/>
        <item x="377"/>
        <item x="525"/>
        <item x="304"/>
        <item x="183"/>
        <item x="214"/>
        <item x="71"/>
        <item x="331"/>
        <item x="50"/>
        <item x="284"/>
        <item x="518"/>
        <item x="78"/>
        <item x="473"/>
        <item x="41"/>
        <item x="406"/>
        <item x="387"/>
        <item x="90"/>
        <item x="420"/>
        <item x="371"/>
        <item x="151"/>
        <item x="378"/>
        <item x="581"/>
        <item x="438"/>
        <item x="254"/>
        <item x="22"/>
        <item x="491"/>
        <item x="141"/>
        <item x="38"/>
        <item x="92"/>
        <item x="426"/>
        <item x="489"/>
        <item x="147"/>
        <item x="509"/>
        <item x="32"/>
        <item x="386"/>
        <item x="515"/>
        <item x="315"/>
        <item x="182"/>
        <item x="99"/>
        <item x="178"/>
        <item x="156"/>
        <item x="458"/>
        <item x="301"/>
        <item x="435"/>
        <item x="197"/>
        <item x="553"/>
        <item x="558"/>
        <item x="279"/>
        <item x="312"/>
        <item x="283"/>
        <item x="594"/>
        <item x="309"/>
        <item x="293"/>
        <item x="191"/>
        <item x="62"/>
        <item x="479"/>
        <item x="453"/>
        <item x="130"/>
        <item x="467"/>
        <item x="512"/>
        <item x="228"/>
        <item x="563"/>
        <item x="164"/>
        <item x="69"/>
        <item x="498"/>
        <item x="516"/>
        <item x="171"/>
        <item x="446"/>
        <item x="375"/>
        <item x="236"/>
        <item x="484"/>
        <item x="573"/>
        <item x="469"/>
        <item x="195"/>
        <item x="547"/>
        <item x="533"/>
        <item x="470"/>
        <item x="281"/>
        <item x="104"/>
        <item x="522"/>
        <item x="43"/>
        <item x="274"/>
        <item x="559"/>
        <item x="587"/>
        <item x="148"/>
        <item x="502"/>
        <item x="158"/>
        <item x="67"/>
        <item x="405"/>
        <item x="455"/>
        <item x="382"/>
        <item x="250"/>
        <item x="49"/>
        <item x="209"/>
        <item x="450"/>
        <item x="256"/>
        <item x="163"/>
        <item x="589"/>
        <item x="251"/>
        <item x="272"/>
        <item x="37"/>
        <item x="552"/>
        <item x="88"/>
        <item x="616"/>
        <item x="433"/>
        <item x="359"/>
        <item x="345"/>
        <item x="31"/>
        <item x="619"/>
        <item x="548"/>
        <item x="630"/>
        <item x="91"/>
        <item x="349"/>
        <item x="577"/>
        <item x="430"/>
        <item x="64"/>
        <item x="535"/>
        <item x="145"/>
        <item x="264"/>
        <item x="398"/>
        <item x="319"/>
        <item x="409"/>
        <item x="33"/>
        <item x="8"/>
        <item x="220"/>
        <item x="160"/>
        <item x="425"/>
        <item x="242"/>
        <item x="614"/>
        <item x="176"/>
        <item x="335"/>
        <item x="507"/>
        <item x="292"/>
        <item x="368"/>
        <item x="267"/>
        <item x="280"/>
        <item x="585"/>
        <item x="472"/>
        <item x="102"/>
        <item x="261"/>
        <item x="544"/>
        <item x="468"/>
        <item x="413"/>
        <item x="456"/>
        <item x="459"/>
        <item x="273"/>
        <item x="499"/>
        <item x="611"/>
        <item x="595"/>
        <item x="210"/>
        <item x="306"/>
        <item x="474"/>
        <item x="352"/>
        <item x="523"/>
        <item x="392"/>
        <item x="129"/>
        <item x="506"/>
        <item x="339"/>
        <item x="542"/>
        <item x="138"/>
        <item x="300"/>
        <item x="366"/>
        <item x="21"/>
        <item x="45"/>
        <item x="188"/>
        <item x="355"/>
        <item x="415"/>
        <item x="394"/>
        <item x="260"/>
        <item x="144"/>
        <item x="29"/>
        <item x="290"/>
        <item x="63"/>
        <item x="500"/>
        <item x="440"/>
        <item x="444"/>
        <item x="202"/>
        <item x="111"/>
        <item x="107"/>
        <item x="23"/>
        <item x="61"/>
        <item x="367"/>
        <item x="353"/>
        <item x="60"/>
        <item x="562"/>
        <item x="287"/>
        <item x="93"/>
        <item x="157"/>
        <item x="225"/>
        <item x="541"/>
        <item x="451"/>
        <item x="295"/>
        <item x="454"/>
        <item x="42"/>
        <item x="342"/>
        <item x="213"/>
        <item x="538"/>
        <item x="121"/>
        <item x="528"/>
        <item x="203"/>
        <item x="302"/>
        <item x="583"/>
        <item x="13"/>
        <item x="475"/>
        <item x="97"/>
        <item x="159"/>
        <item x="348"/>
        <item x="360"/>
        <item x="219"/>
        <item x="288"/>
        <item x="568"/>
        <item x="320"/>
        <item x="173"/>
        <item x="329"/>
        <item x="253"/>
        <item x="115"/>
        <item x="110"/>
        <item x="452"/>
        <item x="226"/>
        <item x="205"/>
        <item x="374"/>
        <item x="135"/>
        <item x="20"/>
        <item x="204"/>
        <item x="40"/>
        <item x="24"/>
        <item x="487"/>
        <item x="625"/>
        <item x="310"/>
        <item x="336"/>
        <item x="255"/>
        <item x="77"/>
        <item x="550"/>
        <item x="34"/>
        <item x="628"/>
        <item x="153"/>
        <item x="278"/>
        <item x="324"/>
        <item x="207"/>
        <item x="48"/>
        <item x="496"/>
        <item x="600"/>
        <item x="337"/>
        <item x="372"/>
        <item x="17"/>
        <item x="607"/>
        <item x="442"/>
        <item x="376"/>
        <item x="482"/>
        <item x="56"/>
        <item x="567"/>
        <item x="76"/>
        <item x="505"/>
        <item x="569"/>
        <item x="357"/>
        <item x="514"/>
        <item x="313"/>
        <item x="414"/>
        <item x="266"/>
        <item x="448"/>
        <item x="555"/>
        <item x="379"/>
        <item x="471"/>
        <item x="429"/>
        <item x="181"/>
        <item x="18"/>
        <item x="149"/>
        <item x="534"/>
        <item x="529"/>
        <item x="9"/>
        <item x="19"/>
        <item x="478"/>
        <item x="603"/>
        <item x="556"/>
        <item x="480"/>
        <item x="120"/>
        <item x="629"/>
        <item x="322"/>
        <item x="356"/>
        <item x="424"/>
        <item x="199"/>
        <item x="140"/>
        <item x="624"/>
        <item x="80"/>
        <item x="95"/>
        <item x="537"/>
        <item x="126"/>
        <item x="592"/>
        <item x="276"/>
        <item x="557"/>
        <item x="396"/>
        <item x="539"/>
        <item x="465"/>
        <item x="165"/>
        <item x="100"/>
        <item x="431"/>
        <item x="117"/>
        <item x="588"/>
        <item x="521"/>
        <item x="346"/>
        <item x="223"/>
        <item x="175"/>
        <item x="362"/>
        <item x="422"/>
        <item x="613"/>
        <item x="237"/>
        <item x="47"/>
        <item t="default"/>
      </items>
    </pivotField>
    <pivotField compact="0" numFmtId="44" showAll="0">
      <items count="633">
        <item x="1"/>
        <item x="385"/>
        <item x="11"/>
        <item x="626"/>
        <item x="132"/>
        <item x="265"/>
        <item x="289"/>
        <item x="501"/>
        <item x="560"/>
        <item x="134"/>
        <item x="150"/>
        <item x="125"/>
        <item x="259"/>
        <item x="152"/>
        <item x="477"/>
        <item x="361"/>
        <item x="65"/>
        <item x="146"/>
        <item x="98"/>
        <item x="338"/>
        <item x="540"/>
        <item x="73"/>
        <item x="432"/>
        <item x="116"/>
        <item x="229"/>
        <item x="52"/>
        <item x="131"/>
        <item x="114"/>
        <item x="323"/>
        <item x="177"/>
        <item x="298"/>
        <item x="631"/>
        <item x="193"/>
        <item x="112"/>
        <item x="180"/>
        <item x="286"/>
        <item x="54"/>
        <item x="230"/>
        <item x="96"/>
        <item x="172"/>
        <item x="493"/>
        <item x="109"/>
        <item x="519"/>
        <item x="532"/>
        <item x="127"/>
        <item x="263"/>
        <item x="106"/>
        <item x="27"/>
        <item x="492"/>
        <item x="244"/>
        <item x="531"/>
        <item x="434"/>
        <item x="575"/>
        <item x="590"/>
        <item x="51"/>
        <item x="476"/>
        <item x="586"/>
        <item x="282"/>
        <item x="83"/>
        <item x="389"/>
        <item x="311"/>
        <item x="119"/>
        <item x="89"/>
        <item x="7"/>
        <item x="87"/>
        <item x="243"/>
        <item x="247"/>
        <item x="221"/>
        <item x="139"/>
        <item x="418"/>
        <item x="605"/>
        <item x="461"/>
        <item x="602"/>
        <item x="373"/>
        <item x="620"/>
        <item x="601"/>
        <item x="572"/>
        <item x="291"/>
        <item x="543"/>
        <item x="609"/>
        <item x="53"/>
        <item x="404"/>
        <item x="14"/>
        <item x="517"/>
        <item x="341"/>
        <item x="354"/>
        <item x="460"/>
        <item x="526"/>
        <item x="416"/>
        <item x="211"/>
        <item x="408"/>
        <item x="463"/>
        <item x="490"/>
        <item x="257"/>
        <item x="363"/>
        <item x="321"/>
        <item x="174"/>
        <item x="26"/>
        <item x="113"/>
        <item x="582"/>
        <item x="3"/>
        <item x="94"/>
        <item x="179"/>
        <item x="124"/>
        <item x="412"/>
        <item x="169"/>
        <item x="108"/>
        <item x="464"/>
        <item x="593"/>
        <item x="285"/>
        <item x="305"/>
        <item x="551"/>
        <item x="201"/>
        <item x="6"/>
        <item x="137"/>
        <item x="445"/>
        <item x="101"/>
        <item x="248"/>
        <item x="333"/>
        <item x="358"/>
        <item x="388"/>
        <item x="439"/>
        <item x="608"/>
        <item x="462"/>
        <item x="217"/>
        <item x="347"/>
        <item x="307"/>
        <item x="318"/>
        <item x="232"/>
        <item x="59"/>
        <item x="297"/>
        <item x="303"/>
        <item x="326"/>
        <item x="39"/>
        <item x="268"/>
        <item x="411"/>
        <item x="621"/>
        <item x="457"/>
        <item x="238"/>
        <item x="511"/>
        <item x="369"/>
        <item x="128"/>
        <item x="350"/>
        <item x="488"/>
        <item x="466"/>
        <item x="330"/>
        <item x="485"/>
        <item x="391"/>
        <item x="133"/>
        <item x="194"/>
        <item x="35"/>
        <item x="74"/>
        <item x="212"/>
        <item x="561"/>
        <item x="245"/>
        <item x="239"/>
        <item x="327"/>
        <item x="227"/>
        <item x="584"/>
        <item x="314"/>
        <item x="370"/>
        <item x="597"/>
        <item x="15"/>
        <item x="68"/>
        <item x="598"/>
        <item x="344"/>
        <item x="216"/>
        <item x="571"/>
        <item x="570"/>
        <item x="240"/>
        <item x="186"/>
        <item x="2"/>
        <item x="513"/>
        <item x="296"/>
        <item x="508"/>
        <item x="580"/>
        <item x="483"/>
        <item x="275"/>
        <item x="407"/>
        <item x="449"/>
        <item x="269"/>
        <item x="79"/>
        <item x="198"/>
        <item x="447"/>
        <item x="497"/>
        <item x="5"/>
        <item x="258"/>
        <item x="12"/>
        <item x="28"/>
        <item x="105"/>
        <item x="410"/>
        <item x="579"/>
        <item x="75"/>
        <item x="161"/>
        <item x="384"/>
        <item x="520"/>
        <item x="565"/>
        <item x="123"/>
        <item x="222"/>
        <item x="57"/>
        <item x="155"/>
        <item x="510"/>
        <item x="218"/>
        <item x="72"/>
        <item x="168"/>
        <item x="308"/>
        <item x="486"/>
        <item x="578"/>
        <item x="162"/>
        <item x="536"/>
        <item x="495"/>
        <item x="546"/>
        <item x="599"/>
        <item x="167"/>
        <item x="417"/>
        <item x="270"/>
        <item x="206"/>
        <item x="612"/>
        <item x="233"/>
        <item x="481"/>
        <item x="530"/>
        <item x="189"/>
        <item x="0"/>
        <item x="192"/>
        <item x="299"/>
        <item x="545"/>
        <item x="423"/>
        <item x="334"/>
        <item x="617"/>
        <item x="66"/>
        <item x="166"/>
        <item x="271"/>
        <item x="118"/>
        <item x="627"/>
        <item x="524"/>
        <item x="187"/>
        <item x="224"/>
        <item x="604"/>
        <item x="403"/>
        <item x="136"/>
        <item x="82"/>
        <item x="397"/>
        <item x="85"/>
        <item x="436"/>
        <item x="504"/>
        <item x="30"/>
        <item x="4"/>
        <item x="103"/>
        <item x="122"/>
        <item x="564"/>
        <item x="574"/>
        <item x="294"/>
        <item x="610"/>
        <item x="231"/>
        <item x="277"/>
        <item x="200"/>
        <item x="343"/>
        <item x="443"/>
        <item x="185"/>
        <item x="262"/>
        <item x="304"/>
        <item x="46"/>
        <item x="419"/>
        <item x="196"/>
        <item x="596"/>
        <item x="606"/>
        <item x="390"/>
        <item x="325"/>
        <item x="86"/>
        <item x="393"/>
        <item x="71"/>
        <item x="364"/>
        <item x="25"/>
        <item x="81"/>
        <item x="252"/>
        <item x="437"/>
        <item x="246"/>
        <item x="381"/>
        <item x="581"/>
        <item x="241"/>
        <item x="623"/>
        <item x="332"/>
        <item x="576"/>
        <item x="316"/>
        <item x="380"/>
        <item x="378"/>
        <item x="591"/>
        <item x="254"/>
        <item x="214"/>
        <item x="503"/>
        <item x="525"/>
        <item x="491"/>
        <item x="328"/>
        <item x="143"/>
        <item x="234"/>
        <item x="70"/>
        <item x="154"/>
        <item x="183"/>
        <item x="615"/>
        <item x="249"/>
        <item x="473"/>
        <item x="421"/>
        <item x="36"/>
        <item x="331"/>
        <item x="549"/>
        <item x="178"/>
        <item x="90"/>
        <item x="156"/>
        <item x="402"/>
        <item x="182"/>
        <item x="141"/>
        <item x="458"/>
        <item x="215"/>
        <item x="509"/>
        <item x="317"/>
        <item x="527"/>
        <item x="518"/>
        <item x="10"/>
        <item x="293"/>
        <item x="399"/>
        <item x="315"/>
        <item x="41"/>
        <item x="395"/>
        <item x="130"/>
        <item x="489"/>
        <item x="441"/>
        <item x="594"/>
        <item x="494"/>
        <item x="32"/>
        <item x="428"/>
        <item x="386"/>
        <item x="279"/>
        <item x="351"/>
        <item x="92"/>
        <item x="235"/>
        <item x="401"/>
        <item x="191"/>
        <item x="170"/>
        <item x="554"/>
        <item x="190"/>
        <item x="22"/>
        <item x="301"/>
        <item x="78"/>
        <item x="563"/>
        <item x="208"/>
        <item x="566"/>
        <item x="498"/>
        <item x="515"/>
        <item x="69"/>
        <item x="309"/>
        <item x="558"/>
        <item x="171"/>
        <item x="197"/>
        <item x="62"/>
        <item x="312"/>
        <item x="446"/>
        <item x="400"/>
        <item x="283"/>
        <item x="147"/>
        <item x="377"/>
        <item x="622"/>
        <item x="453"/>
        <item x="420"/>
        <item x="164"/>
        <item x="284"/>
        <item x="470"/>
        <item x="427"/>
        <item x="38"/>
        <item x="43"/>
        <item x="158"/>
        <item x="502"/>
        <item x="44"/>
        <item x="533"/>
        <item x="274"/>
        <item x="467"/>
        <item x="371"/>
        <item x="104"/>
        <item x="618"/>
        <item x="616"/>
        <item x="84"/>
        <item x="250"/>
        <item x="559"/>
        <item x="16"/>
        <item x="365"/>
        <item x="589"/>
        <item x="163"/>
        <item x="55"/>
        <item x="37"/>
        <item x="450"/>
        <item x="50"/>
        <item x="88"/>
        <item x="405"/>
        <item x="228"/>
        <item x="387"/>
        <item x="67"/>
        <item x="547"/>
        <item x="349"/>
        <item x="469"/>
        <item x="148"/>
        <item x="433"/>
        <item x="455"/>
        <item x="630"/>
        <item x="430"/>
        <item x="345"/>
        <item x="151"/>
        <item x="553"/>
        <item x="145"/>
        <item x="577"/>
        <item x="406"/>
        <item x="398"/>
        <item x="359"/>
        <item x="33"/>
        <item x="573"/>
        <item x="535"/>
        <item x="220"/>
        <item x="251"/>
        <item x="209"/>
        <item x="184"/>
        <item x="438"/>
        <item x="281"/>
        <item x="8"/>
        <item x="368"/>
        <item x="479"/>
        <item x="516"/>
        <item x="102"/>
        <item x="425"/>
        <item x="256"/>
        <item x="552"/>
        <item x="484"/>
        <item x="544"/>
        <item x="176"/>
        <item x="507"/>
        <item x="335"/>
        <item x="472"/>
        <item x="91"/>
        <item x="522"/>
        <item x="595"/>
        <item x="413"/>
        <item x="435"/>
        <item x="267"/>
        <item x="614"/>
        <item x="280"/>
        <item x="499"/>
        <item x="261"/>
        <item x="523"/>
        <item x="587"/>
        <item x="142"/>
        <item x="129"/>
        <item x="611"/>
        <item x="426"/>
        <item x="210"/>
        <item x="160"/>
        <item x="409"/>
        <item x="474"/>
        <item x="456"/>
        <item x="31"/>
        <item x="585"/>
        <item x="64"/>
        <item x="292"/>
        <item x="99"/>
        <item x="195"/>
        <item x="415"/>
        <item x="366"/>
        <item x="21"/>
        <item x="290"/>
        <item x="394"/>
        <item x="459"/>
        <item x="468"/>
        <item x="29"/>
        <item x="367"/>
        <item x="58"/>
        <item x="500"/>
        <item x="23"/>
        <item x="440"/>
        <item x="383"/>
        <item x="548"/>
        <item x="260"/>
        <item x="287"/>
        <item x="355"/>
        <item x="444"/>
        <item x="541"/>
        <item x="93"/>
        <item x="352"/>
        <item x="49"/>
        <item x="236"/>
        <item x="451"/>
        <item x="272"/>
        <item x="295"/>
        <item x="300"/>
        <item x="375"/>
        <item x="273"/>
        <item x="342"/>
        <item x="107"/>
        <item x="225"/>
        <item x="538"/>
        <item x="144"/>
        <item x="382"/>
        <item x="202"/>
        <item x="242"/>
        <item x="454"/>
        <item x="157"/>
        <item x="188"/>
        <item x="121"/>
        <item x="542"/>
        <item x="13"/>
        <item x="213"/>
        <item x="61"/>
        <item x="320"/>
        <item x="111"/>
        <item x="264"/>
        <item x="45"/>
        <item x="619"/>
        <item x="506"/>
        <item x="452"/>
        <item x="568"/>
        <item x="339"/>
        <item x="115"/>
        <item x="138"/>
        <item x="475"/>
        <item x="253"/>
        <item x="20"/>
        <item x="348"/>
        <item x="288"/>
        <item x="562"/>
        <item x="60"/>
        <item x="512"/>
        <item x="24"/>
        <item x="353"/>
        <item x="204"/>
        <item x="205"/>
        <item x="329"/>
        <item x="159"/>
        <item x="110"/>
        <item x="255"/>
        <item x="135"/>
        <item x="306"/>
        <item x="226"/>
        <item x="173"/>
        <item x="487"/>
        <item x="336"/>
        <item x="97"/>
        <item x="34"/>
        <item x="324"/>
        <item x="219"/>
        <item x="550"/>
        <item x="360"/>
        <item x="310"/>
        <item x="340"/>
        <item x="207"/>
        <item x="319"/>
        <item x="153"/>
        <item x="625"/>
        <item x="374"/>
        <item x="302"/>
        <item x="77"/>
        <item x="496"/>
        <item x="583"/>
        <item x="628"/>
        <item x="607"/>
        <item x="372"/>
        <item x="278"/>
        <item x="42"/>
        <item x="600"/>
        <item x="56"/>
        <item x="48"/>
        <item x="442"/>
        <item x="40"/>
        <item x="17"/>
        <item x="203"/>
        <item x="505"/>
        <item x="414"/>
        <item x="337"/>
        <item x="514"/>
        <item x="569"/>
        <item x="482"/>
        <item x="76"/>
        <item x="379"/>
        <item x="555"/>
        <item x="529"/>
        <item x="471"/>
        <item x="266"/>
        <item x="313"/>
        <item x="528"/>
        <item x="376"/>
        <item x="18"/>
        <item x="567"/>
        <item x="429"/>
        <item x="181"/>
        <item x="19"/>
        <item x="448"/>
        <item x="149"/>
        <item x="534"/>
        <item x="603"/>
        <item x="478"/>
        <item x="357"/>
        <item x="120"/>
        <item x="480"/>
        <item x="322"/>
        <item x="629"/>
        <item x="556"/>
        <item x="356"/>
        <item x="392"/>
        <item x="63"/>
        <item x="95"/>
        <item x="9"/>
        <item x="624"/>
        <item x="537"/>
        <item x="199"/>
        <item x="424"/>
        <item x="592"/>
        <item x="557"/>
        <item x="80"/>
        <item x="126"/>
        <item x="396"/>
        <item x="100"/>
        <item x="539"/>
        <item x="431"/>
        <item x="140"/>
        <item x="276"/>
        <item x="117"/>
        <item x="521"/>
        <item x="588"/>
        <item x="465"/>
        <item x="165"/>
        <item x="223"/>
        <item x="346"/>
        <item x="362"/>
        <item x="175"/>
        <item x="613"/>
        <item x="422"/>
        <item x="47"/>
        <item x="237"/>
        <item t="default"/>
      </items>
    </pivotField>
    <pivotField compact="0" showAll="0">
      <items count="633">
        <item x="1"/>
        <item x="132"/>
        <item x="11"/>
        <item x="116"/>
        <item x="501"/>
        <item x="626"/>
        <item x="385"/>
        <item x="265"/>
        <item x="152"/>
        <item x="177"/>
        <item x="289"/>
        <item x="477"/>
        <item x="150"/>
        <item x="298"/>
        <item x="560"/>
        <item x="259"/>
        <item x="134"/>
        <item x="338"/>
        <item x="146"/>
        <item x="125"/>
        <item x="323"/>
        <item x="361"/>
        <item x="540"/>
        <item x="432"/>
        <item x="98"/>
        <item x="114"/>
        <item x="65"/>
        <item x="112"/>
        <item x="131"/>
        <item x="52"/>
        <item x="73"/>
        <item x="229"/>
        <item x="631"/>
        <item x="193"/>
        <item x="244"/>
        <item x="590"/>
        <item x="492"/>
        <item x="230"/>
        <item x="27"/>
        <item x="286"/>
        <item x="605"/>
        <item x="363"/>
        <item x="601"/>
        <item x="416"/>
        <item x="404"/>
        <item x="54"/>
        <item x="14"/>
        <item x="388"/>
        <item x="497"/>
        <item x="434"/>
        <item x="423"/>
        <item x="407"/>
        <item x="373"/>
        <item x="543"/>
        <item x="321"/>
        <item x="187"/>
        <item x="180"/>
        <item x="192"/>
        <item x="72"/>
        <item x="2"/>
        <item x="105"/>
        <item x="519"/>
        <item x="127"/>
        <item x="408"/>
        <item x="617"/>
        <item x="384"/>
        <item x="94"/>
        <item x="303"/>
        <item x="196"/>
        <item x="397"/>
        <item x="3"/>
        <item x="593"/>
        <item x="449"/>
        <item x="457"/>
        <item x="101"/>
        <item x="87"/>
        <item x="66"/>
        <item x="58"/>
        <item x="167"/>
        <item x="109"/>
        <item x="201"/>
        <item x="622"/>
        <item x="268"/>
        <item x="411"/>
        <item x="427"/>
        <item x="333"/>
        <item x="224"/>
        <item x="53"/>
        <item x="137"/>
        <item x="139"/>
        <item x="166"/>
        <item x="238"/>
        <item x="476"/>
        <item x="122"/>
        <item x="81"/>
        <item x="179"/>
        <item x="74"/>
        <item x="252"/>
        <item x="68"/>
        <item x="55"/>
        <item x="299"/>
        <item x="36"/>
        <item x="390"/>
        <item x="123"/>
        <item x="574"/>
        <item x="263"/>
        <item x="609"/>
        <item x="200"/>
        <item x="532"/>
        <item x="212"/>
        <item x="96"/>
        <item x="35"/>
        <item x="85"/>
        <item x="561"/>
        <item x="275"/>
        <item x="383"/>
        <item x="216"/>
        <item x="485"/>
        <item x="285"/>
        <item x="51"/>
        <item x="545"/>
        <item x="106"/>
        <item x="190"/>
        <item x="402"/>
        <item x="86"/>
        <item x="16"/>
        <item x="618"/>
        <item x="15"/>
        <item x="606"/>
        <item x="198"/>
        <item x="531"/>
        <item x="358"/>
        <item x="510"/>
        <item x="269"/>
        <item x="317"/>
        <item x="155"/>
        <item x="311"/>
        <item x="340"/>
        <item x="401"/>
        <item x="235"/>
        <item x="59"/>
        <item x="10"/>
        <item x="580"/>
        <item x="234"/>
        <item x="612"/>
        <item x="566"/>
        <item x="512"/>
        <item x="530"/>
        <item x="462"/>
        <item x="215"/>
        <item x="4"/>
        <item x="393"/>
        <item x="351"/>
        <item x="381"/>
        <item x="364"/>
        <item x="142"/>
        <item x="227"/>
        <item x="248"/>
        <item x="369"/>
        <item x="184"/>
        <item x="526"/>
        <item x="400"/>
        <item x="170"/>
        <item x="504"/>
        <item x="365"/>
        <item x="554"/>
        <item x="162"/>
        <item x="84"/>
        <item x="426"/>
        <item x="189"/>
        <item x="375"/>
        <item x="319"/>
        <item x="447"/>
        <item x="136"/>
        <item x="208"/>
        <item x="236"/>
        <item x="576"/>
        <item x="63"/>
        <item x="564"/>
        <item x="257"/>
        <item x="520"/>
        <item x="395"/>
        <item x="30"/>
        <item x="536"/>
        <item x="610"/>
        <item x="417"/>
        <item x="435"/>
        <item x="382"/>
        <item x="438"/>
        <item x="406"/>
        <item x="185"/>
        <item x="591"/>
        <item x="619"/>
        <item x="99"/>
        <item x="75"/>
        <item x="307"/>
        <item x="195"/>
        <item x="151"/>
        <item x="264"/>
        <item x="380"/>
        <item x="49"/>
        <item x="314"/>
        <item x="246"/>
        <item x="272"/>
        <item x="44"/>
        <item x="343"/>
        <item x="282"/>
        <item x="387"/>
        <item x="392"/>
        <item x="249"/>
        <item x="575"/>
        <item x="350"/>
        <item x="428"/>
        <item x="399"/>
        <item x="6"/>
        <item x="623"/>
        <item x="306"/>
        <item x="479"/>
        <item x="528"/>
        <item x="270"/>
        <item x="548"/>
        <item x="221"/>
        <item x="488"/>
        <item x="325"/>
        <item x="377"/>
        <item x="168"/>
        <item x="553"/>
        <item x="419"/>
        <item x="294"/>
        <item x="39"/>
        <item x="371"/>
        <item x="242"/>
        <item x="516"/>
        <item x="154"/>
        <item x="284"/>
        <item x="587"/>
        <item x="441"/>
        <item x="463"/>
        <item x="602"/>
        <item x="578"/>
        <item x="50"/>
        <item x="218"/>
        <item x="484"/>
        <item x="513"/>
        <item x="549"/>
        <item x="243"/>
        <item x="70"/>
        <item x="511"/>
        <item x="460"/>
        <item x="522"/>
        <item x="211"/>
        <item x="194"/>
        <item x="31"/>
        <item x="527"/>
        <item x="206"/>
        <item x="420"/>
        <item x="241"/>
        <item x="64"/>
        <item x="439"/>
        <item x="203"/>
        <item x="615"/>
        <item x="483"/>
        <item x="38"/>
        <item x="506"/>
        <item x="461"/>
        <item x="7"/>
        <item x="494"/>
        <item x="138"/>
        <item x="573"/>
        <item x="169"/>
        <item x="174"/>
        <item x="297"/>
        <item x="186"/>
        <item x="113"/>
        <item x="143"/>
        <item x="140"/>
        <item x="608"/>
        <item x="273"/>
        <item x="271"/>
        <item x="571"/>
        <item x="620"/>
        <item x="228"/>
        <item x="421"/>
        <item x="147"/>
        <item x="161"/>
        <item x="409"/>
        <item x="291"/>
        <item x="370"/>
        <item x="542"/>
        <item x="239"/>
        <item x="89"/>
        <item x="262"/>
        <item x="45"/>
        <item x="598"/>
        <item x="353"/>
        <item x="583"/>
        <item x="316"/>
        <item x="172"/>
        <item x="327"/>
        <item x="302"/>
        <item x="410"/>
        <item x="60"/>
        <item x="318"/>
        <item x="133"/>
        <item x="596"/>
        <item x="468"/>
        <item x="240"/>
        <item x="25"/>
        <item x="469"/>
        <item x="256"/>
        <item x="599"/>
        <item x="467"/>
        <item x="79"/>
        <item x="124"/>
        <item x="562"/>
        <item x="232"/>
        <item x="41"/>
        <item x="352"/>
        <item x="119"/>
        <item x="292"/>
        <item x="552"/>
        <item x="78"/>
        <item x="160"/>
        <item x="9"/>
        <item x="91"/>
        <item x="459"/>
        <item x="209"/>
        <item x="276"/>
        <item x="584"/>
        <item x="40"/>
        <item x="412"/>
        <item x="26"/>
        <item x="111"/>
        <item x="547"/>
        <item x="22"/>
        <item x="12"/>
        <item x="585"/>
        <item x="339"/>
        <item x="188"/>
        <item x="518"/>
        <item x="83"/>
        <item x="251"/>
        <item x="524"/>
        <item x="503"/>
        <item x="418"/>
        <item x="360"/>
        <item x="97"/>
        <item x="515"/>
        <item x="357"/>
        <item x="296"/>
        <item x="308"/>
        <item x="300"/>
        <item x="283"/>
        <item x="42"/>
        <item x="197"/>
        <item x="61"/>
        <item x="183"/>
        <item x="465"/>
        <item x="453"/>
        <item x="165"/>
        <item x="341"/>
        <item x="148"/>
        <item x="92"/>
        <item x="144"/>
        <item x="331"/>
        <item x="582"/>
        <item x="312"/>
        <item x="525"/>
        <item x="455"/>
        <item x="126"/>
        <item x="456"/>
        <item x="376"/>
        <item x="164"/>
        <item x="328"/>
        <item x="46"/>
        <item x="486"/>
        <item x="614"/>
        <item x="67"/>
        <item x="424"/>
        <item x="489"/>
        <item x="464"/>
        <item x="567"/>
        <item x="332"/>
        <item x="448"/>
        <item x="558"/>
        <item x="80"/>
        <item x="32"/>
        <item x="202"/>
        <item x="62"/>
        <item x="490"/>
        <item x="473"/>
        <item x="386"/>
        <item x="173"/>
        <item x="337"/>
        <item x="237"/>
        <item x="247"/>
        <item x="355"/>
        <item x="281"/>
        <item x="214"/>
        <item x="301"/>
        <item x="233"/>
        <item x="199"/>
        <item x="559"/>
        <item x="118"/>
        <item x="260"/>
        <item x="405"/>
        <item x="359"/>
        <item x="159"/>
        <item x="90"/>
        <item x="175"/>
        <item x="57"/>
        <item x="48"/>
        <item x="508"/>
        <item x="437"/>
        <item x="625"/>
        <item x="267"/>
        <item x="107"/>
        <item x="226"/>
        <item x="258"/>
        <item x="535"/>
        <item x="374"/>
        <item x="261"/>
        <item x="278"/>
        <item x="77"/>
        <item x="309"/>
        <item x="104"/>
        <item x="533"/>
        <item x="280"/>
        <item x="474"/>
        <item x="313"/>
        <item x="219"/>
        <item x="628"/>
        <item x="315"/>
        <item x="556"/>
        <item x="475"/>
        <item x="157"/>
        <item x="335"/>
        <item x="611"/>
        <item x="17"/>
        <item x="600"/>
        <item x="539"/>
        <item x="141"/>
        <item x="348"/>
        <item x="149"/>
        <item x="345"/>
        <item x="546"/>
        <item x="181"/>
        <item x="429"/>
        <item x="210"/>
        <item x="310"/>
        <item x="509"/>
        <item x="329"/>
        <item x="577"/>
        <item x="176"/>
        <item x="534"/>
        <item x="266"/>
        <item x="444"/>
        <item x="217"/>
        <item x="422"/>
        <item x="425"/>
        <item x="103"/>
        <item x="572"/>
        <item x="579"/>
        <item x="128"/>
        <item x="213"/>
        <item x="288"/>
        <item x="110"/>
        <item x="346"/>
        <item x="222"/>
        <item x="279"/>
        <item x="21"/>
        <item x="466"/>
        <item x="5"/>
        <item x="482"/>
        <item x="537"/>
        <item x="450"/>
        <item x="250"/>
        <item x="624"/>
        <item x="366"/>
        <item x="274"/>
        <item x="347"/>
        <item x="8"/>
        <item x="454"/>
        <item x="433"/>
        <item x="495"/>
        <item x="29"/>
        <item x="517"/>
        <item x="487"/>
        <item x="394"/>
        <item x="550"/>
        <item x="326"/>
        <item x="586"/>
        <item x="507"/>
        <item x="440"/>
        <item x="163"/>
        <item x="478"/>
        <item x="604"/>
        <item x="413"/>
        <item x="245"/>
        <item x="499"/>
        <item x="135"/>
        <item x="0"/>
        <item x="551"/>
        <item x="389"/>
        <item x="500"/>
        <item x="445"/>
        <item x="372"/>
        <item x="76"/>
        <item x="446"/>
        <item x="589"/>
        <item x="592"/>
        <item x="191"/>
        <item x="430"/>
        <item x="121"/>
        <item x="277"/>
        <item x="630"/>
        <item x="496"/>
        <item x="472"/>
        <item x="37"/>
        <item x="18"/>
        <item x="23"/>
        <item x="336"/>
        <item x="568"/>
        <item x="481"/>
        <item x="253"/>
        <item x="621"/>
        <item x="153"/>
        <item x="225"/>
        <item x="436"/>
        <item x="43"/>
        <item x="182"/>
        <item x="588"/>
        <item x="396"/>
        <item x="470"/>
        <item x="398"/>
        <item x="565"/>
        <item x="205"/>
        <item x="502"/>
        <item x="71"/>
        <item x="334"/>
        <item x="594"/>
        <item x="108"/>
        <item x="69"/>
        <item x="471"/>
        <item x="570"/>
        <item x="354"/>
        <item x="356"/>
        <item x="569"/>
        <item x="290"/>
        <item x="117"/>
        <item x="19"/>
        <item x="415"/>
        <item x="145"/>
        <item x="603"/>
        <item x="33"/>
        <item x="627"/>
        <item x="88"/>
        <item x="493"/>
        <item x="443"/>
        <item x="349"/>
        <item x="480"/>
        <item x="28"/>
        <item x="115"/>
        <item x="458"/>
        <item x="597"/>
        <item x="82"/>
        <item x="220"/>
        <item x="287"/>
        <item x="523"/>
        <item x="403"/>
        <item x="204"/>
        <item x="629"/>
        <item x="330"/>
        <item x="442"/>
        <item x="362"/>
        <item x="231"/>
        <item x="171"/>
        <item x="563"/>
        <item x="93"/>
        <item x="557"/>
        <item x="207"/>
        <item x="34"/>
        <item x="514"/>
        <item x="158"/>
        <item x="498"/>
        <item x="304"/>
        <item x="120"/>
        <item x="295"/>
        <item x="505"/>
        <item x="368"/>
        <item x="344"/>
        <item x="129"/>
        <item x="521"/>
        <item x="555"/>
        <item x="322"/>
        <item x="378"/>
        <item x="24"/>
        <item x="544"/>
        <item x="452"/>
        <item x="156"/>
        <item x="391"/>
        <item x="595"/>
        <item x="379"/>
        <item x="367"/>
        <item x="607"/>
        <item x="95"/>
        <item x="178"/>
        <item x="541"/>
        <item x="538"/>
        <item x="13"/>
        <item x="491"/>
        <item x="451"/>
        <item x="342"/>
        <item x="102"/>
        <item x="254"/>
        <item x="320"/>
        <item x="20"/>
        <item x="414"/>
        <item x="616"/>
        <item x="431"/>
        <item x="130"/>
        <item x="223"/>
        <item x="56"/>
        <item x="324"/>
        <item x="293"/>
        <item x="305"/>
        <item x="581"/>
        <item x="613"/>
        <item x="529"/>
        <item x="255"/>
        <item x="100"/>
        <item x="47"/>
        <item t="default"/>
      </items>
    </pivotField>
    <pivotField axis="axisRow" compact="0" defaultSubtotal="0" showAll="0">
      <items count="5">
        <item x="0"/>
        <item x="1"/>
        <item x="2"/>
        <item x="3"/>
        <item x="4"/>
      </items>
    </pivotField>
  </pivotFields>
  <rowFields count="3">
    <field x="10"/>
    <field x="33"/>
    <field x="1"/>
  </rowFields>
  <rowItems count="368">
    <i>
      <x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1"/>
    </i>
    <i r="1">
      <x v="3"/>
    </i>
    <i r="2">
      <x v="1"/>
    </i>
    <i r="2">
      <x v="2"/>
    </i>
    <i r="2">
      <x v="3"/>
    </i>
    <i r="2">
      <x v="4"/>
    </i>
    <i r="2">
      <x v="5"/>
    </i>
    <i r="2">
      <x v="7"/>
    </i>
    <i r="2">
      <x v="8"/>
    </i>
    <i r="2">
      <x v="9"/>
    </i>
    <i>
      <x v="1"/>
    </i>
    <i r="1">
      <x v="1"/>
    </i>
    <i r="2">
      <x v="1"/>
    </i>
    <i r="2">
      <x v="2"/>
    </i>
    <i r="2">
      <x v="3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2"/>
    </i>
    <i r="1">
      <x v="2"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1"/>
    </i>
    <i r="2">
      <x v="12"/>
    </i>
    <i r="1">
      <x v="3"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>
      <x v="2"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9"/>
    </i>
    <i r="2">
      <x v="10"/>
    </i>
    <i r="2">
      <x v="12"/>
    </i>
    <i r="1">
      <x v="2"/>
    </i>
    <i r="2">
      <x v="2"/>
    </i>
    <i r="2">
      <x v="3"/>
    </i>
    <i r="2">
      <x v="4"/>
    </i>
    <i r="2">
      <x v="6"/>
    </i>
    <i r="2">
      <x v="7"/>
    </i>
    <i r="2">
      <x v="9"/>
    </i>
    <i r="2">
      <x v="10"/>
    </i>
    <i r="2">
      <x v="11"/>
    </i>
    <i r="2">
      <x v="12"/>
    </i>
    <i r="1">
      <x v="3"/>
    </i>
    <i r="2">
      <x v="1"/>
    </i>
    <i r="2">
      <x v="3"/>
    </i>
    <i r="2">
      <x v="5"/>
    </i>
    <i r="2">
      <x v="6"/>
    </i>
    <i r="2">
      <x v="7"/>
    </i>
    <i r="2">
      <x v="8"/>
    </i>
    <i>
      <x v="3"/>
    </i>
    <i r="1">
      <x v="1"/>
    </i>
    <i r="2">
      <x v="1"/>
    </i>
    <i r="2">
      <x v="2"/>
    </i>
    <i r="2">
      <x v="4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</i>
    <i r="2">
      <x v="1"/>
    </i>
    <i r="2">
      <x v="2"/>
    </i>
    <i r="2">
      <x v="3"/>
    </i>
    <i r="2">
      <x v="4"/>
    </i>
    <i r="2">
      <x v="5"/>
    </i>
    <i r="2">
      <x v="7"/>
    </i>
    <i r="2">
      <x v="8"/>
    </i>
    <i r="2">
      <x v="10"/>
    </i>
    <i r="2">
      <x v="11"/>
    </i>
    <i r="2">
      <x v="12"/>
    </i>
    <i r="1">
      <x v="3"/>
    </i>
    <i r="2">
      <x v="1"/>
    </i>
    <i r="2">
      <x v="2"/>
    </i>
    <i r="2">
      <x v="4"/>
    </i>
    <i r="2">
      <x v="5"/>
    </i>
    <i r="2">
      <x v="6"/>
    </i>
    <i r="2">
      <x v="8"/>
    </i>
    <i>
      <x v="4"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1"/>
    </i>
    <i r="2">
      <x v="12"/>
    </i>
    <i r="1">
      <x v="2"/>
    </i>
    <i r="2"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11"/>
    </i>
    <i r="2">
      <x v="12"/>
    </i>
    <i r="1">
      <x v="3"/>
    </i>
    <i r="2">
      <x v="2"/>
    </i>
    <i r="2">
      <x v="3"/>
    </i>
    <i r="2">
      <x v="4"/>
    </i>
    <i r="2">
      <x v="5"/>
    </i>
    <i r="2">
      <x v="6"/>
    </i>
    <i r="2">
      <x v="8"/>
    </i>
    <i>
      <x v="5"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2"/>
    </i>
    <i r="2">
      <x v="1"/>
    </i>
    <i r="2">
      <x v="2"/>
    </i>
    <i r="2">
      <x v="3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"/>
    </i>
    <i r="2">
      <x v="2"/>
    </i>
    <i r="2">
      <x v="3"/>
    </i>
    <i r="2">
      <x v="4"/>
    </i>
    <i r="2">
      <x v="5"/>
    </i>
    <i r="2">
      <x v="6"/>
    </i>
    <i r="2">
      <x v="8"/>
    </i>
    <i r="2">
      <x v="9"/>
    </i>
    <i>
      <x v="6"/>
    </i>
    <i r="1">
      <x v="1"/>
    </i>
    <i r="2">
      <x v="3"/>
    </i>
    <i r="2">
      <x v="4"/>
    </i>
    <i r="2">
      <x v="5"/>
    </i>
    <i r="2">
      <x v="6"/>
    </i>
    <i r="2">
      <x v="7"/>
    </i>
    <i r="2">
      <x v="9"/>
    </i>
    <i r="2">
      <x v="10"/>
    </i>
    <i r="2">
      <x v="11"/>
    </i>
    <i r="2">
      <x v="12"/>
    </i>
    <i r="1">
      <x v="2"/>
    </i>
    <i r="2">
      <x v="1"/>
    </i>
    <i r="2">
      <x v="2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2"/>
    </i>
    <i r="1">
      <x v="3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7"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2"/>
    </i>
    <i r="1">
      <x v="2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1">
      <x v="3"/>
    </i>
    <i r="2">
      <x v="1"/>
    </i>
    <i r="2">
      <x v="2"/>
    </i>
    <i r="2">
      <x v="3"/>
    </i>
    <i r="2">
      <x v="4"/>
    </i>
    <i r="2">
      <x v="5"/>
    </i>
    <i r="2">
      <x v="7"/>
    </i>
    <i r="2">
      <x v="8"/>
    </i>
    <i r="2">
      <x v="9"/>
    </i>
    <i>
      <x v="8"/>
    </i>
    <i r="1">
      <x v="1"/>
    </i>
    <i r="2">
      <x v="1"/>
    </i>
    <i r="2">
      <x v="2"/>
    </i>
    <i r="2">
      <x v="4"/>
    </i>
    <i r="2">
      <x v="5"/>
    </i>
    <i r="2">
      <x v="6"/>
    </i>
    <i r="2">
      <x v="7"/>
    </i>
    <i r="2">
      <x v="8"/>
    </i>
    <i r="2">
      <x v="10"/>
    </i>
    <i r="2">
      <x v="12"/>
    </i>
    <i r="1">
      <x v="2"/>
    </i>
    <i r="2">
      <x v="3"/>
    </i>
    <i r="2">
      <x v="4"/>
    </i>
    <i r="2">
      <x v="5"/>
    </i>
    <i r="2">
      <x v="6"/>
    </i>
    <i r="2">
      <x v="9"/>
    </i>
    <i r="2">
      <x v="10"/>
    </i>
    <i r="2">
      <x v="12"/>
    </i>
    <i r="1">
      <x v="3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>
      <x v="9"/>
    </i>
    <i r="1">
      <x v="1"/>
    </i>
    <i r="2">
      <x v="1"/>
    </i>
    <i r="2">
      <x v="2"/>
    </i>
    <i r="2">
      <x v="3"/>
    </i>
    <i r="2">
      <x v="5"/>
    </i>
    <i r="2">
      <x v="7"/>
    </i>
    <i r="2">
      <x v="8"/>
    </i>
    <i r="2">
      <x v="10"/>
    </i>
    <i r="2">
      <x v="11"/>
    </i>
    <i r="2">
      <x v="12"/>
    </i>
    <i r="1">
      <x v="2"/>
    </i>
    <i r="2">
      <x v="1"/>
    </i>
    <i r="2">
      <x v="3"/>
    </i>
    <i r="2">
      <x v="4"/>
    </i>
    <i r="2">
      <x v="5"/>
    </i>
    <i r="2">
      <x v="6"/>
    </i>
    <i r="2">
      <x v="8"/>
    </i>
    <i r="2">
      <x v="9"/>
    </i>
    <i r="2">
      <x v="10"/>
    </i>
    <i r="1">
      <x v="3"/>
    </i>
    <i r="2">
      <x v="1"/>
    </i>
    <i r="2">
      <x v="3"/>
    </i>
    <i r="2">
      <x v="4"/>
    </i>
    <i r="2">
      <x v="5"/>
    </i>
    <i r="2">
      <x v="6"/>
    </i>
    <i r="2">
      <x v="7"/>
    </i>
    <i r="2">
      <x v="9"/>
    </i>
    <i>
      <x v="10"/>
    </i>
    <i r="1">
      <x v="1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0"/>
    </i>
    <i r="2">
      <x v="11"/>
    </i>
    <i r="1">
      <x v="2"/>
    </i>
    <i r="2">
      <x v="1"/>
    </i>
    <i r="2">
      <x v="3"/>
    </i>
    <i r="2">
      <x v="4"/>
    </i>
    <i r="2">
      <x v="5"/>
    </i>
    <i r="2">
      <x v="6"/>
    </i>
    <i r="2">
      <x v="8"/>
    </i>
    <i r="2">
      <x v="9"/>
    </i>
    <i r="2">
      <x v="10"/>
    </i>
    <i r="2">
      <x v="11"/>
    </i>
    <i r="2">
      <x v="12"/>
    </i>
    <i r="1">
      <x v="3"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>
      <x v="11"/>
    </i>
    <i r="1">
      <x v="1"/>
    </i>
    <i r="2">
      <x v="1"/>
    </i>
    <i r="2">
      <x v="2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1">
      <x v="2"/>
    </i>
    <i r="2">
      <x v="1"/>
    </i>
    <i r="2">
      <x v="2"/>
    </i>
    <i r="2">
      <x v="3"/>
    </i>
    <i r="2">
      <x v="5"/>
    </i>
    <i r="2">
      <x v="7"/>
    </i>
    <i r="2">
      <x v="8"/>
    </i>
    <i r="2">
      <x v="9"/>
    </i>
    <i r="2">
      <x v="10"/>
    </i>
    <i r="2">
      <x v="12"/>
    </i>
    <i r="1">
      <x v="3"/>
    </i>
    <i r="2">
      <x v="1"/>
    </i>
    <i r="2">
      <x v="2"/>
    </i>
    <i r="2">
      <x v="4"/>
    </i>
    <i r="2">
      <x v="5"/>
    </i>
    <i r="2">
      <x v="8"/>
    </i>
    <i t="grand">
      <x/>
    </i>
  </rowItems>
  <colItems count="1">
    <i/>
  </colItems>
  <dataFields count="1">
    <dataField name="Sum of GrossRevenue" fld="27" baseField="0" baseItem="0"/>
  </dataFields>
  <formats count="1">
    <format dxfId="0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9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A3:C641" firstHeaderRow="1" firstDataRow="1" firstDataCol="2"/>
  <pivotFields count="34">
    <pivotField compact="0" showAll="0">
      <items count="632">
        <item x="605"/>
        <item x="449"/>
        <item x="7"/>
        <item x="518"/>
        <item x="573"/>
        <item x="46"/>
        <item x="367"/>
        <item x="201"/>
        <item x="551"/>
        <item x="324"/>
        <item x="438"/>
        <item x="166"/>
        <item x="80"/>
        <item x="361"/>
        <item x="328"/>
        <item x="300"/>
        <item x="453"/>
        <item x="577"/>
        <item x="193"/>
        <item x="122"/>
        <item x="332"/>
        <item x="439"/>
        <item x="457"/>
        <item x="148"/>
        <item x="224"/>
        <item x="190"/>
        <item x="347"/>
        <item x="278"/>
        <item x="350"/>
        <item x="535"/>
        <item x="54"/>
        <item x="65"/>
        <item x="163"/>
        <item x="470"/>
        <item x="580"/>
        <item x="625"/>
        <item x="106"/>
        <item x="269"/>
        <item x="256"/>
        <item x="89"/>
        <item x="339"/>
        <item x="24"/>
        <item x="220"/>
        <item x="281"/>
        <item x="250"/>
        <item x="376"/>
        <item x="540"/>
        <item x="172"/>
        <item x="225"/>
        <item x="78"/>
        <item x="49"/>
        <item x="603"/>
        <item x="226"/>
        <item x="168"/>
        <item x="45"/>
        <item x="144"/>
        <item x="183"/>
        <item x="574"/>
        <item x="81"/>
        <item x="512"/>
        <item x="562"/>
        <item x="315"/>
        <item x="391"/>
        <item x="288"/>
        <item x="272"/>
        <item x="2"/>
        <item x="92"/>
        <item x="292"/>
        <item x="434"/>
        <item x="585"/>
        <item x="199"/>
        <item x="74"/>
        <item x="363"/>
        <item x="204"/>
        <item x="185"/>
        <item x="497"/>
        <item x="52"/>
        <item x="99"/>
        <item x="118"/>
        <item x="132"/>
        <item x="215"/>
        <item x="495"/>
        <item x="171"/>
        <item x="613"/>
        <item x="543"/>
        <item x="629"/>
        <item x="520"/>
        <item x="547"/>
        <item x="255"/>
        <item x="351"/>
        <item x="64"/>
        <item x="546"/>
        <item x="151"/>
        <item x="223"/>
        <item x="615"/>
        <item x="239"/>
        <item x="260"/>
        <item x="129"/>
        <item x="532"/>
        <item x="326"/>
        <item x="459"/>
        <item x="371"/>
        <item x="66"/>
        <item x="626"/>
        <item x="604"/>
        <item x="624"/>
        <item x="31"/>
        <item x="515"/>
        <item x="477"/>
        <item x="344"/>
        <item x="499"/>
        <item x="197"/>
        <item x="121"/>
        <item x="445"/>
        <item x="455"/>
        <item x="202"/>
        <item x="474"/>
        <item x="301"/>
        <item x="382"/>
        <item x="152"/>
        <item x="485"/>
        <item x="296"/>
        <item x="124"/>
        <item x="229"/>
        <item x="478"/>
        <item x="284"/>
        <item x="137"/>
        <item x="216"/>
        <item x="387"/>
        <item x="591"/>
        <item x="316"/>
        <item x="537"/>
        <item x="419"/>
        <item x="261"/>
        <item x="266"/>
        <item x="259"/>
        <item x="528"/>
        <item x="39"/>
        <item x="213"/>
        <item x="431"/>
        <item x="337"/>
        <item x="176"/>
        <item x="609"/>
        <item x="291"/>
        <item x="408"/>
        <item x="384"/>
        <item x="596"/>
        <item x="526"/>
        <item x="198"/>
        <item x="460"/>
        <item x="221"/>
        <item x="576"/>
        <item x="279"/>
        <item x="75"/>
        <item x="5"/>
        <item x="589"/>
        <item x="466"/>
        <item x="412"/>
        <item x="349"/>
        <item x="501"/>
        <item x="243"/>
        <item x="68"/>
        <item x="436"/>
        <item x="619"/>
        <item x="340"/>
        <item x="444"/>
        <item x="450"/>
        <item x="476"/>
        <item x="437"/>
        <item x="69"/>
        <item x="539"/>
        <item x="369"/>
        <item x="4"/>
        <item x="338"/>
        <item x="145"/>
        <item x="187"/>
        <item x="318"/>
        <item x="388"/>
        <item x="85"/>
        <item x="154"/>
        <item x="441"/>
        <item x="160"/>
        <item x="404"/>
        <item x="370"/>
        <item x="581"/>
        <item x="35"/>
        <item x="507"/>
        <item x="483"/>
        <item x="135"/>
        <item x="21"/>
        <item x="570"/>
        <item x="95"/>
        <item x="115"/>
        <item x="456"/>
        <item x="125"/>
        <item x="308"/>
        <item x="165"/>
        <item x="623"/>
        <item x="258"/>
        <item x="321"/>
        <item x="311"/>
        <item x="28"/>
        <item x="346"/>
        <item x="140"/>
        <item x="142"/>
        <item x="509"/>
        <item x="205"/>
        <item x="627"/>
        <item x="192"/>
        <item x="393"/>
        <item x="469"/>
        <item x="411"/>
        <item x="15"/>
        <item x="331"/>
        <item x="233"/>
        <item x="228"/>
        <item x="555"/>
        <item x="542"/>
        <item x="628"/>
        <item x="237"/>
        <item x="267"/>
        <item x="538"/>
        <item x="114"/>
        <item x="414"/>
        <item x="178"/>
        <item x="396"/>
        <item x="479"/>
        <item x="336"/>
        <item x="164"/>
        <item x="155"/>
        <item x="549"/>
        <item x="325"/>
        <item x="105"/>
        <item x="134"/>
        <item x="309"/>
        <item x="109"/>
        <item x="34"/>
        <item x="401"/>
        <item x="30"/>
        <item x="79"/>
        <item x="214"/>
        <item x="153"/>
        <item x="458"/>
        <item x="548"/>
        <item x="16"/>
        <item x="322"/>
        <item x="523"/>
        <item x="297"/>
        <item x="564"/>
        <item x="480"/>
        <item x="10"/>
        <item x="147"/>
        <item x="191"/>
        <item x="25"/>
        <item x="162"/>
        <item x="251"/>
        <item x="111"/>
        <item x="353"/>
        <item x="139"/>
        <item x="181"/>
        <item x="586"/>
        <item x="489"/>
        <item x="63"/>
        <item x="560"/>
        <item x="392"/>
        <item x="454"/>
        <item x="51"/>
        <item x="607"/>
        <item x="0"/>
        <item x="287"/>
        <item x="234"/>
        <item x="107"/>
        <item x="70"/>
        <item x="57"/>
        <item x="41"/>
        <item x="252"/>
        <item x="390"/>
        <item x="504"/>
        <item x="247"/>
        <item x="167"/>
        <item x="561"/>
        <item x="610"/>
        <item x="334"/>
        <item x="341"/>
        <item x="6"/>
        <item x="612"/>
        <item x="362"/>
        <item x="67"/>
        <item x="253"/>
        <item x="536"/>
        <item x="572"/>
        <item x="461"/>
        <item x="161"/>
        <item x="1"/>
        <item x="524"/>
        <item x="283"/>
        <item x="486"/>
        <item x="410"/>
        <item x="429"/>
        <item x="484"/>
        <item x="143"/>
        <item x="44"/>
        <item x="405"/>
        <item x="383"/>
        <item x="517"/>
        <item x="310"/>
        <item x="545"/>
        <item x="231"/>
        <item x="313"/>
        <item x="494"/>
        <item x="568"/>
        <item x="149"/>
        <item x="594"/>
        <item x="194"/>
        <item x="440"/>
        <item x="76"/>
        <item x="77"/>
        <item x="413"/>
        <item x="50"/>
        <item x="521"/>
        <item x="423"/>
        <item x="117"/>
        <item x="103"/>
        <item x="578"/>
        <item x="274"/>
        <item x="23"/>
        <item x="265"/>
        <item x="323"/>
        <item x="188"/>
        <item x="464"/>
        <item x="443"/>
        <item x="356"/>
        <item x="424"/>
        <item x="492"/>
        <item x="386"/>
        <item x="529"/>
        <item x="554"/>
        <item x="409"/>
        <item x="245"/>
        <item x="47"/>
        <item x="600"/>
        <item x="157"/>
        <item x="558"/>
        <item x="448"/>
        <item x="500"/>
        <item x="232"/>
        <item x="335"/>
        <item x="587"/>
        <item x="493"/>
        <item x="277"/>
        <item x="433"/>
        <item x="126"/>
        <item x="598"/>
        <item x="123"/>
        <item x="8"/>
        <item x="582"/>
        <item x="86"/>
        <item x="38"/>
        <item x="88"/>
        <item x="128"/>
        <item x="170"/>
        <item x="400"/>
        <item x="541"/>
        <item x="33"/>
        <item x="40"/>
        <item x="97"/>
        <item x="184"/>
        <item x="475"/>
        <item x="342"/>
        <item x="472"/>
        <item x="430"/>
        <item x="415"/>
        <item x="249"/>
        <item x="195"/>
        <item x="402"/>
        <item x="209"/>
        <item x="557"/>
        <item x="207"/>
        <item x="583"/>
        <item x="373"/>
        <item x="36"/>
        <item x="359"/>
        <item x="527"/>
        <item x="320"/>
        <item x="217"/>
        <item x="496"/>
        <item x="506"/>
        <item x="611"/>
        <item x="442"/>
        <item x="271"/>
        <item x="418"/>
        <item x="618"/>
        <item x="189"/>
        <item x="156"/>
        <item x="567"/>
        <item x="104"/>
        <item x="508"/>
        <item x="218"/>
        <item x="138"/>
        <item x="465"/>
        <item x="26"/>
        <item x="295"/>
        <item x="490"/>
        <item x="108"/>
        <item x="20"/>
        <item x="73"/>
        <item x="235"/>
        <item x="427"/>
        <item x="621"/>
        <item x="365"/>
        <item x="319"/>
        <item x="522"/>
        <item x="273"/>
        <item x="136"/>
        <item x="432"/>
        <item x="608"/>
        <item x="101"/>
        <item x="451"/>
        <item x="244"/>
        <item x="27"/>
        <item x="254"/>
        <item x="286"/>
        <item x="242"/>
        <item x="374"/>
        <item x="559"/>
        <item x="303"/>
        <item x="268"/>
        <item x="447"/>
        <item x="13"/>
        <item x="358"/>
        <item x="519"/>
        <item x="343"/>
        <item x="238"/>
        <item x="345"/>
        <item x="141"/>
        <item x="60"/>
        <item x="599"/>
        <item x="110"/>
        <item x="352"/>
        <item x="112"/>
        <item x="354"/>
        <item x="312"/>
        <item x="616"/>
        <item x="72"/>
        <item x="169"/>
        <item x="592"/>
        <item x="275"/>
        <item x="177"/>
        <item x="510"/>
        <item x="357"/>
        <item x="511"/>
        <item x="48"/>
        <item x="196"/>
        <item x="174"/>
        <item x="435"/>
        <item x="398"/>
        <item x="487"/>
        <item x="565"/>
        <item x="211"/>
        <item x="426"/>
        <item x="93"/>
        <item x="42"/>
        <item x="200"/>
        <item x="82"/>
        <item x="364"/>
        <item x="236"/>
        <item x="513"/>
        <item x="304"/>
        <item x="206"/>
        <item x="534"/>
        <item x="617"/>
        <item x="579"/>
        <item x="3"/>
        <item x="569"/>
        <item x="571"/>
        <item x="120"/>
        <item x="257"/>
        <item x="375"/>
        <item x="601"/>
        <item x="299"/>
        <item x="379"/>
        <item x="417"/>
        <item x="314"/>
        <item x="17"/>
        <item x="146"/>
        <item x="150"/>
        <item x="584"/>
        <item x="248"/>
        <item x="482"/>
        <item x="488"/>
        <item x="606"/>
        <item x="96"/>
        <item x="372"/>
        <item x="420"/>
        <item x="302"/>
        <item x="588"/>
        <item x="575"/>
        <item x="227"/>
        <item x="462"/>
        <item x="368"/>
        <item x="533"/>
        <item x="333"/>
        <item x="100"/>
        <item x="84"/>
        <item x="502"/>
        <item x="553"/>
        <item x="552"/>
        <item x="133"/>
        <item x="306"/>
        <item x="294"/>
        <item x="416"/>
        <item x="307"/>
        <item x="481"/>
        <item x="452"/>
        <item x="159"/>
        <item x="550"/>
        <item x="263"/>
        <item x="525"/>
        <item x="446"/>
        <item x="505"/>
        <item x="32"/>
        <item x="348"/>
        <item x="270"/>
        <item x="389"/>
        <item x="394"/>
        <item x="293"/>
        <item x="12"/>
        <item x="83"/>
        <item x="463"/>
        <item x="131"/>
        <item x="240"/>
        <item x="407"/>
        <item x="11"/>
        <item x="62"/>
        <item x="91"/>
        <item x="614"/>
        <item x="127"/>
        <item x="285"/>
        <item x="98"/>
        <item x="186"/>
        <item x="29"/>
        <item x="212"/>
        <item x="53"/>
        <item x="22"/>
        <item x="210"/>
        <item x="397"/>
        <item x="360"/>
        <item x="399"/>
        <item x="366"/>
        <item x="90"/>
        <item x="208"/>
        <item x="514"/>
        <item x="377"/>
        <item x="58"/>
        <item x="71"/>
        <item x="241"/>
        <item x="113"/>
        <item x="622"/>
        <item x="130"/>
        <item x="421"/>
        <item x="179"/>
        <item x="329"/>
        <item x="563"/>
        <item x="102"/>
        <item x="180"/>
        <item x="428"/>
        <item x="395"/>
        <item x="276"/>
        <item x="222"/>
        <item x="503"/>
        <item x="473"/>
        <item x="597"/>
        <item x="280"/>
        <item x="116"/>
        <item x="173"/>
        <item x="491"/>
        <item x="595"/>
        <item x="37"/>
        <item x="94"/>
        <item x="630"/>
        <item x="330"/>
        <item x="19"/>
        <item x="602"/>
        <item x="290"/>
        <item x="230"/>
        <item x="219"/>
        <item x="59"/>
        <item x="55"/>
        <item x="158"/>
        <item x="531"/>
        <item x="327"/>
        <item x="61"/>
        <item x="471"/>
        <item x="381"/>
        <item x="467"/>
        <item x="425"/>
        <item x="43"/>
        <item x="380"/>
        <item x="498"/>
        <item x="516"/>
        <item x="422"/>
        <item x="14"/>
        <item x="18"/>
        <item x="175"/>
        <item x="593"/>
        <item x="317"/>
        <item x="87"/>
        <item x="385"/>
        <item x="556"/>
        <item x="406"/>
        <item x="264"/>
        <item x="182"/>
        <item x="620"/>
        <item x="262"/>
        <item x="403"/>
        <item x="378"/>
        <item x="289"/>
        <item x="530"/>
        <item x="566"/>
        <item x="56"/>
        <item x="298"/>
        <item x="305"/>
        <item x="246"/>
        <item x="468"/>
        <item x="355"/>
        <item x="119"/>
        <item x="544"/>
        <item x="203"/>
        <item x="282"/>
        <item x="590"/>
        <item x="9"/>
        <item t="default"/>
      </items>
    </pivotField>
    <pivotField compact="0" numFmtId="181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3">
        <item x="4"/>
        <item x="2"/>
        <item x="0"/>
        <item x="7"/>
        <item x="5"/>
        <item x="9"/>
        <item x="8"/>
        <item x="11"/>
        <item x="6"/>
        <item x="1"/>
        <item x="10"/>
        <item x="3"/>
        <item t="default"/>
      </items>
    </pivotField>
    <pivotField compact="0" showAll="0">
      <items count="469">
        <item x="5"/>
        <item x="455"/>
        <item x="271"/>
        <item x="415"/>
        <item x="181"/>
        <item x="7"/>
        <item x="371"/>
        <item x="184"/>
        <item x="119"/>
        <item x="424"/>
        <item x="122"/>
        <item x="171"/>
        <item x="180"/>
        <item x="312"/>
        <item x="23"/>
        <item x="77"/>
        <item x="426"/>
        <item x="62"/>
        <item x="152"/>
        <item x="147"/>
        <item x="361"/>
        <item x="29"/>
        <item x="159"/>
        <item x="452"/>
        <item x="2"/>
        <item x="107"/>
        <item x="432"/>
        <item x="226"/>
        <item x="336"/>
        <item x="206"/>
        <item x="315"/>
        <item x="211"/>
        <item x="342"/>
        <item x="64"/>
        <item x="278"/>
        <item x="150"/>
        <item x="33"/>
        <item x="50"/>
        <item x="451"/>
        <item x="163"/>
        <item x="89"/>
        <item x="458"/>
        <item x="125"/>
        <item x="290"/>
        <item x="27"/>
        <item x="387"/>
        <item x="153"/>
        <item x="43"/>
        <item x="67"/>
        <item x="460"/>
        <item x="15"/>
        <item x="441"/>
        <item x="410"/>
        <item x="129"/>
        <item x="449"/>
        <item x="177"/>
        <item x="275"/>
        <item x="239"/>
        <item x="406"/>
        <item x="20"/>
        <item x="382"/>
        <item x="362"/>
        <item x="72"/>
        <item x="207"/>
        <item x="373"/>
        <item x="234"/>
        <item x="328"/>
        <item x="408"/>
        <item x="446"/>
        <item x="308"/>
        <item x="109"/>
        <item x="280"/>
        <item x="367"/>
        <item x="75"/>
        <item x="251"/>
        <item x="37"/>
        <item x="264"/>
        <item x="169"/>
        <item x="44"/>
        <item x="87"/>
        <item x="85"/>
        <item x="306"/>
        <item x="186"/>
        <item x="140"/>
        <item x="133"/>
        <item x="422"/>
        <item x="425"/>
        <item x="376"/>
        <item x="47"/>
        <item x="289"/>
        <item x="386"/>
        <item x="256"/>
        <item x="172"/>
        <item x="370"/>
        <item x="245"/>
        <item x="288"/>
        <item x="131"/>
        <item x="203"/>
        <item x="443"/>
        <item x="242"/>
        <item x="235"/>
        <item x="174"/>
        <item x="389"/>
        <item x="115"/>
        <item x="183"/>
        <item x="419"/>
        <item x="66"/>
        <item x="114"/>
        <item x="260"/>
        <item x="417"/>
        <item x="343"/>
        <item x="200"/>
        <item x="161"/>
        <item x="345"/>
        <item x="52"/>
        <item x="429"/>
        <item x="137"/>
        <item x="459"/>
        <item x="73"/>
        <item x="216"/>
        <item x="364"/>
        <item x="158"/>
        <item x="199"/>
        <item x="323"/>
        <item x="204"/>
        <item x="231"/>
        <item x="155"/>
        <item x="327"/>
        <item x="233"/>
        <item x="348"/>
        <item x="176"/>
        <item x="358"/>
        <item x="259"/>
        <item x="282"/>
        <item x="391"/>
        <item x="324"/>
        <item x="250"/>
        <item x="143"/>
        <item x="193"/>
        <item x="276"/>
        <item x="285"/>
        <item x="112"/>
        <item x="106"/>
        <item x="214"/>
        <item x="134"/>
        <item x="294"/>
        <item x="297"/>
        <item x="63"/>
        <item x="374"/>
        <item x="4"/>
        <item x="141"/>
        <item x="340"/>
        <item x="380"/>
        <item x="202"/>
        <item x="195"/>
        <item x="295"/>
        <item x="81"/>
        <item x="240"/>
        <item x="311"/>
        <item x="423"/>
        <item x="113"/>
        <item x="360"/>
        <item x="300"/>
        <item x="279"/>
        <item x="435"/>
        <item x="241"/>
        <item x="39"/>
        <item x="182"/>
        <item x="94"/>
        <item x="347"/>
        <item x="303"/>
        <item x="13"/>
        <item x="84"/>
        <item x="436"/>
        <item x="247"/>
        <item x="10"/>
        <item x="145"/>
        <item x="162"/>
        <item x="383"/>
        <item x="437"/>
        <item x="179"/>
        <item x="128"/>
        <item x="221"/>
        <item x="292"/>
        <item x="142"/>
        <item x="351"/>
        <item x="439"/>
        <item x="354"/>
        <item x="352"/>
        <item x="194"/>
        <item x="397"/>
        <item x="263"/>
        <item x="314"/>
        <item x="428"/>
        <item x="220"/>
        <item x="34"/>
        <item x="307"/>
        <item x="58"/>
        <item x="0"/>
        <item x="450"/>
        <item x="227"/>
        <item x="246"/>
        <item x="68"/>
        <item x="363"/>
        <item x="265"/>
        <item x="248"/>
        <item x="215"/>
        <item x="244"/>
        <item x="149"/>
        <item x="136"/>
        <item x="403"/>
        <item x="82"/>
        <item x="286"/>
        <item x="70"/>
        <item x="413"/>
        <item x="31"/>
        <item x="36"/>
        <item x="395"/>
        <item x="412"/>
        <item x="400"/>
        <item x="230"/>
        <item x="372"/>
        <item x="8"/>
        <item x="375"/>
        <item x="322"/>
        <item x="385"/>
        <item x="393"/>
        <item x="45"/>
        <item x="313"/>
        <item x="22"/>
        <item x="173"/>
        <item x="42"/>
        <item x="98"/>
        <item x="65"/>
        <item x="154"/>
        <item x="398"/>
        <item x="91"/>
        <item x="118"/>
        <item x="101"/>
        <item x="368"/>
        <item x="151"/>
        <item x="416"/>
        <item x="344"/>
        <item x="116"/>
        <item x="274"/>
        <item x="102"/>
        <item x="103"/>
        <item x="369"/>
        <item x="132"/>
        <item x="249"/>
        <item x="269"/>
        <item x="304"/>
        <item x="463"/>
        <item x="104"/>
        <item x="24"/>
        <item x="411"/>
        <item x="287"/>
        <item x="293"/>
        <item x="157"/>
        <item x="320"/>
        <item x="26"/>
        <item x="334"/>
        <item x="19"/>
        <item x="465"/>
        <item x="228"/>
        <item x="453"/>
        <item x="447"/>
        <item x="399"/>
        <item x="144"/>
        <item x="298"/>
        <item x="326"/>
        <item x="175"/>
        <item x="99"/>
        <item x="421"/>
        <item x="456"/>
        <item x="353"/>
        <item x="396"/>
        <item x="365"/>
        <item x="32"/>
        <item x="38"/>
        <item x="74"/>
        <item x="341"/>
        <item x="434"/>
        <item x="225"/>
        <item x="209"/>
        <item x="210"/>
        <item x="331"/>
        <item x="255"/>
        <item x="191"/>
        <item x="187"/>
        <item x="212"/>
        <item x="97"/>
        <item x="197"/>
        <item x="178"/>
        <item x="138"/>
        <item x="366"/>
        <item x="189"/>
        <item x="166"/>
        <item x="88"/>
        <item x="238"/>
        <item x="156"/>
        <item x="407"/>
        <item x="196"/>
        <item x="464"/>
        <item x="46"/>
        <item x="100"/>
        <item x="49"/>
        <item x="462"/>
        <item x="168"/>
        <item x="1"/>
        <item x="404"/>
        <item x="40"/>
        <item x="229"/>
        <item x="291"/>
        <item x="148"/>
        <item x="356"/>
        <item x="61"/>
        <item x="273"/>
        <item x="333"/>
        <item x="48"/>
        <item x="299"/>
        <item x="223"/>
        <item x="444"/>
        <item x="405"/>
        <item x="392"/>
        <item x="127"/>
        <item x="76"/>
        <item x="379"/>
        <item x="302"/>
        <item x="461"/>
        <item x="25"/>
        <item x="219"/>
        <item x="96"/>
        <item x="430"/>
        <item x="390"/>
        <item x="16"/>
        <item x="330"/>
        <item x="126"/>
        <item x="71"/>
        <item x="55"/>
        <item x="337"/>
        <item x="124"/>
        <item x="130"/>
        <item x="359"/>
        <item x="6"/>
        <item x="357"/>
        <item x="272"/>
        <item x="11"/>
        <item x="409"/>
        <item x="316"/>
        <item x="123"/>
        <item x="420"/>
        <item x="283"/>
        <item x="170"/>
        <item x="105"/>
        <item x="335"/>
        <item x="51"/>
        <item x="266"/>
        <item x="93"/>
        <item x="192"/>
        <item x="318"/>
        <item x="167"/>
        <item x="185"/>
        <item x="317"/>
        <item x="414"/>
        <item x="54"/>
        <item x="120"/>
        <item x="146"/>
        <item x="433"/>
        <item x="454"/>
        <item x="243"/>
        <item x="338"/>
        <item x="349"/>
        <item x="467"/>
        <item x="121"/>
        <item x="12"/>
        <item x="339"/>
        <item x="402"/>
        <item x="418"/>
        <item x="252"/>
        <item x="310"/>
        <item x="309"/>
        <item x="381"/>
        <item x="401"/>
        <item x="80"/>
        <item x="3"/>
        <item x="258"/>
        <item x="95"/>
        <item x="277"/>
        <item x="254"/>
        <item x="53"/>
        <item x="28"/>
        <item x="69"/>
        <item x="377"/>
        <item x="261"/>
        <item x="332"/>
        <item x="440"/>
        <item x="160"/>
        <item x="139"/>
        <item x="448"/>
        <item x="222"/>
        <item x="79"/>
        <item x="208"/>
        <item x="60"/>
        <item x="86"/>
        <item x="57"/>
        <item x="355"/>
        <item x="267"/>
        <item x="321"/>
        <item x="78"/>
        <item x="394"/>
        <item x="217"/>
        <item x="253"/>
        <item x="270"/>
        <item x="281"/>
        <item x="9"/>
        <item x="329"/>
        <item x="41"/>
        <item x="262"/>
        <item x="108"/>
        <item x="346"/>
        <item x="56"/>
        <item x="21"/>
        <item x="325"/>
        <item x="296"/>
        <item x="111"/>
        <item x="236"/>
        <item x="268"/>
        <item x="35"/>
        <item x="305"/>
        <item x="438"/>
        <item x="232"/>
        <item x="350"/>
        <item x="110"/>
        <item x="445"/>
        <item x="190"/>
        <item x="201"/>
        <item x="213"/>
        <item x="466"/>
        <item x="18"/>
        <item x="188"/>
        <item x="92"/>
        <item x="319"/>
        <item x="30"/>
        <item x="378"/>
        <item x="90"/>
        <item x="218"/>
        <item x="442"/>
        <item x="117"/>
        <item x="431"/>
        <item x="83"/>
        <item x="205"/>
        <item x="457"/>
        <item x="384"/>
        <item x="301"/>
        <item x="427"/>
        <item x="164"/>
        <item x="198"/>
        <item x="257"/>
        <item x="388"/>
        <item x="14"/>
        <item x="237"/>
        <item x="17"/>
        <item x="59"/>
        <item x="135"/>
        <item x="224"/>
        <item x="284"/>
        <item x="165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numFmtId="181" showAll="0">
      <items count="470">
        <item x="5"/>
        <item x="7"/>
        <item x="185"/>
        <item x="199"/>
        <item x="411"/>
        <item x="270"/>
        <item x="125"/>
        <item x="128"/>
        <item x="187"/>
        <item x="441"/>
        <item x="78"/>
        <item x="24"/>
        <item x="419"/>
        <item x="183"/>
        <item x="62"/>
        <item x="279"/>
        <item x="174"/>
        <item x="152"/>
        <item x="111"/>
        <item x="422"/>
        <item x="297"/>
        <item x="162"/>
        <item x="157"/>
        <item x="384"/>
        <item x="96"/>
        <item x="223"/>
        <item x="2"/>
        <item x="155"/>
        <item x="214"/>
        <item x="211"/>
        <item x="314"/>
        <item x="50"/>
        <item x="339"/>
        <item x="310"/>
        <item x="64"/>
        <item x="290"/>
        <item x="132"/>
        <item x="277"/>
        <item x="166"/>
        <item x="130"/>
        <item x="357"/>
        <item x="400"/>
        <item x="15"/>
        <item x="453"/>
        <item x="450"/>
        <item x="437"/>
        <item x="92"/>
        <item x="189"/>
        <item x="43"/>
        <item x="430"/>
        <item x="235"/>
        <item x="206"/>
        <item x="67"/>
        <item x="184"/>
        <item x="28"/>
        <item x="295"/>
        <item x="72"/>
        <item x="370"/>
        <item x="426"/>
        <item x="379"/>
        <item x="383"/>
        <item x="180"/>
        <item x="408"/>
        <item x="21"/>
        <item x="281"/>
        <item x="435"/>
        <item x="359"/>
        <item x="103"/>
        <item x="403"/>
        <item x="212"/>
        <item x="374"/>
        <item x="76"/>
        <item x="282"/>
        <item x="114"/>
        <item x="326"/>
        <item x="367"/>
        <item x="271"/>
        <item x="90"/>
        <item x="37"/>
        <item x="305"/>
        <item x="440"/>
        <item x="87"/>
        <item x="44"/>
        <item x="393"/>
        <item x="260"/>
        <item x="420"/>
        <item x="416"/>
        <item x="438"/>
        <item x="418"/>
        <item x="138"/>
        <item x="467"/>
        <item x="373"/>
        <item x="172"/>
        <item x="264"/>
        <item x="145"/>
        <item x="175"/>
        <item x="47"/>
        <item x="464"/>
        <item x="208"/>
        <item x="254"/>
        <item x="241"/>
        <item x="238"/>
        <item x="386"/>
        <item x="289"/>
        <item x="177"/>
        <item x="170"/>
        <item x="230"/>
        <item x="136"/>
        <item x="466"/>
        <item x="52"/>
        <item x="286"/>
        <item x="120"/>
        <item x="121"/>
        <item x="66"/>
        <item x="204"/>
        <item x="165"/>
        <item x="79"/>
        <item x="340"/>
        <item x="460"/>
        <item x="142"/>
        <item x="380"/>
        <item x="413"/>
        <item x="258"/>
        <item x="360"/>
        <item x="203"/>
        <item x="322"/>
        <item x="227"/>
        <item x="73"/>
        <item x="308"/>
        <item x="161"/>
        <item x="456"/>
        <item x="229"/>
        <item x="355"/>
        <item x="353"/>
        <item x="159"/>
        <item x="325"/>
        <item x="395"/>
        <item x="209"/>
        <item x="406"/>
        <item x="263"/>
        <item x="147"/>
        <item x="323"/>
        <item x="257"/>
        <item x="179"/>
        <item x="247"/>
        <item x="284"/>
        <item x="388"/>
        <item x="196"/>
        <item x="139"/>
        <item x="275"/>
        <item x="110"/>
        <item x="287"/>
        <item x="217"/>
        <item x="371"/>
        <item x="369"/>
        <item x="117"/>
        <item x="298"/>
        <item x="293"/>
        <item x="336"/>
        <item x="207"/>
        <item x="83"/>
        <item x="63"/>
        <item x="4"/>
        <item x="236"/>
        <item x="436"/>
        <item x="309"/>
        <item x="296"/>
        <item x="358"/>
        <item x="429"/>
        <item x="362"/>
        <item x="198"/>
        <item x="385"/>
        <item x="465"/>
        <item x="118"/>
        <item x="98"/>
        <item x="237"/>
        <item x="86"/>
        <item x="243"/>
        <item x="186"/>
        <item x="253"/>
        <item x="454"/>
        <item x="39"/>
        <item x="303"/>
        <item x="431"/>
        <item x="250"/>
        <item x="414"/>
        <item x="10"/>
        <item x="344"/>
        <item x="13"/>
        <item x="134"/>
        <item x="176"/>
        <item x="433"/>
        <item x="149"/>
        <item x="381"/>
        <item x="391"/>
        <item x="182"/>
        <item x="146"/>
        <item x="348"/>
        <item x="351"/>
        <item x="280"/>
        <item x="259"/>
        <item x="312"/>
        <item x="68"/>
        <item x="447"/>
        <item x="402"/>
        <item x="34"/>
        <item x="221"/>
        <item x="427"/>
        <item x="197"/>
        <item x="375"/>
        <item x="261"/>
        <item x="0"/>
        <item x="154"/>
        <item x="58"/>
        <item x="244"/>
        <item x="242"/>
        <item x="240"/>
        <item x="288"/>
        <item x="301"/>
        <item x="141"/>
        <item x="84"/>
        <item x="410"/>
        <item x="36"/>
        <item x="70"/>
        <item x="32"/>
        <item x="409"/>
        <item x="321"/>
        <item x="365"/>
        <item x="372"/>
        <item x="226"/>
        <item x="338"/>
        <item x="428"/>
        <item x="23"/>
        <item x="390"/>
        <item x="94"/>
        <item x="102"/>
        <item x="45"/>
        <item x="8"/>
        <item x="42"/>
        <item x="163"/>
        <item x="65"/>
        <item x="105"/>
        <item x="421"/>
        <item x="107"/>
        <item x="124"/>
        <item x="158"/>
        <item x="307"/>
        <item x="156"/>
        <item x="392"/>
        <item x="278"/>
        <item x="266"/>
        <item x="443"/>
        <item x="412"/>
        <item x="273"/>
        <item x="304"/>
        <item x="122"/>
        <item x="75"/>
        <item x="455"/>
        <item x="246"/>
        <item x="137"/>
        <item x="106"/>
        <item x="364"/>
        <item x="292"/>
        <item x="25"/>
        <item x="160"/>
        <item x="27"/>
        <item x="446"/>
        <item x="20"/>
        <item x="108"/>
        <item x="224"/>
        <item x="294"/>
        <item x="423"/>
        <item x="319"/>
        <item x="332"/>
        <item x="442"/>
        <item x="331"/>
        <item x="148"/>
        <item x="299"/>
        <item x="33"/>
        <item x="462"/>
        <item x="417"/>
        <item x="448"/>
        <item x="178"/>
        <item x="104"/>
        <item x="337"/>
        <item x="252"/>
        <item x="213"/>
        <item x="350"/>
        <item x="394"/>
        <item x="150"/>
        <item x="38"/>
        <item x="74"/>
        <item x="425"/>
        <item x="181"/>
        <item x="215"/>
        <item x="361"/>
        <item x="330"/>
        <item x="101"/>
        <item x="191"/>
        <item x="234"/>
        <item x="168"/>
        <item x="201"/>
        <item x="143"/>
        <item x="1"/>
        <item x="193"/>
        <item x="459"/>
        <item x="399"/>
        <item x="171"/>
        <item x="91"/>
        <item x="291"/>
        <item x="272"/>
        <item x="49"/>
        <item x="432"/>
        <item x="46"/>
        <item x="200"/>
        <item x="352"/>
        <item x="40"/>
        <item x="61"/>
        <item x="225"/>
        <item x="401"/>
        <item x="48"/>
        <item x="153"/>
        <item x="300"/>
        <item x="389"/>
        <item x="119"/>
        <item x="302"/>
        <item x="387"/>
        <item x="341"/>
        <item x="220"/>
        <item x="133"/>
        <item x="55"/>
        <item x="354"/>
        <item x="71"/>
        <item x="77"/>
        <item x="452"/>
        <item x="129"/>
        <item x="100"/>
        <item x="368"/>
        <item x="26"/>
        <item x="113"/>
        <item x="404"/>
        <item x="16"/>
        <item x="135"/>
        <item x="131"/>
        <item x="356"/>
        <item x="6"/>
        <item x="30"/>
        <item x="457"/>
        <item x="315"/>
        <item x="262"/>
        <item x="11"/>
        <item x="109"/>
        <item x="333"/>
        <item x="269"/>
        <item x="195"/>
        <item x="173"/>
        <item x="190"/>
        <item x="97"/>
        <item x="51"/>
        <item x="316"/>
        <item x="188"/>
        <item x="444"/>
        <item x="126"/>
        <item x="54"/>
        <item x="169"/>
        <item x="239"/>
        <item x="468"/>
        <item x="335"/>
        <item x="345"/>
        <item x="334"/>
        <item x="127"/>
        <item x="397"/>
        <item x="268"/>
        <item x="398"/>
        <item x="248"/>
        <item x="12"/>
        <item x="3"/>
        <item x="99"/>
        <item x="256"/>
        <item x="343"/>
        <item x="306"/>
        <item x="311"/>
        <item x="29"/>
        <item x="267"/>
        <item x="251"/>
        <item x="434"/>
        <item x="82"/>
        <item x="376"/>
        <item x="81"/>
        <item x="232"/>
        <item x="276"/>
        <item x="363"/>
        <item x="53"/>
        <item x="222"/>
        <item x="461"/>
        <item x="164"/>
        <item x="69"/>
        <item x="415"/>
        <item x="57"/>
        <item x="88"/>
        <item x="144"/>
        <item x="283"/>
        <item x="449"/>
        <item x="19"/>
        <item x="80"/>
        <item x="60"/>
        <item x="320"/>
        <item x="218"/>
        <item x="249"/>
        <item x="407"/>
        <item x="378"/>
        <item x="274"/>
        <item x="327"/>
        <item x="9"/>
        <item x="112"/>
        <item x="342"/>
        <item x="56"/>
        <item x="41"/>
        <item x="451"/>
        <item x="366"/>
        <item x="89"/>
        <item x="231"/>
        <item x="22"/>
        <item x="324"/>
        <item x="228"/>
        <item x="346"/>
        <item x="265"/>
        <item x="35"/>
        <item x="313"/>
        <item x="116"/>
        <item x="245"/>
        <item x="458"/>
        <item x="205"/>
        <item x="115"/>
        <item x="216"/>
        <item x="463"/>
        <item x="439"/>
        <item x="194"/>
        <item x="18"/>
        <item x="31"/>
        <item x="192"/>
        <item x="219"/>
        <item x="123"/>
        <item x="377"/>
        <item x="93"/>
        <item x="318"/>
        <item x="95"/>
        <item x="85"/>
        <item x="151"/>
        <item x="424"/>
        <item x="255"/>
        <item x="405"/>
        <item x="210"/>
        <item x="382"/>
        <item x="349"/>
        <item x="317"/>
        <item x="233"/>
        <item x="59"/>
        <item x="328"/>
        <item x="17"/>
        <item x="167"/>
        <item x="445"/>
        <item x="329"/>
        <item x="202"/>
        <item x="347"/>
        <item x="285"/>
        <item x="140"/>
        <item x="14"/>
        <item x="396"/>
        <item t="default"/>
      </items>
    </pivotField>
    <pivotField compact="0" numFmtId="181" showAll="0">
      <items count="473">
        <item x="5"/>
        <item x="185"/>
        <item x="7"/>
        <item x="412"/>
        <item x="199"/>
        <item x="123"/>
        <item x="126"/>
        <item x="187"/>
        <item x="443"/>
        <item x="78"/>
        <item x="24"/>
        <item x="420"/>
        <item x="183"/>
        <item x="62"/>
        <item x="174"/>
        <item x="152"/>
        <item x="109"/>
        <item x="424"/>
        <item x="276"/>
        <item x="294"/>
        <item x="162"/>
        <item x="157"/>
        <item x="381"/>
        <item x="95"/>
        <item x="222"/>
        <item x="2"/>
        <item x="155"/>
        <item x="214"/>
        <item x="211"/>
        <item x="311"/>
        <item x="50"/>
        <item x="335"/>
        <item x="307"/>
        <item x="64"/>
        <item x="130"/>
        <item x="273"/>
        <item x="166"/>
        <item x="128"/>
        <item x="382"/>
        <item x="287"/>
        <item x="34"/>
        <item x="457"/>
        <item x="454"/>
        <item x="440"/>
        <item x="91"/>
        <item x="189"/>
        <item x="15"/>
        <item x="433"/>
        <item x="206"/>
        <item x="67"/>
        <item x="184"/>
        <item x="28"/>
        <item x="292"/>
        <item x="133"/>
        <item x="366"/>
        <item x="428"/>
        <item x="376"/>
        <item x="380"/>
        <item x="180"/>
        <item x="72"/>
        <item x="21"/>
        <item x="278"/>
        <item x="438"/>
        <item x="354"/>
        <item x="102"/>
        <item x="403"/>
        <item x="212"/>
        <item x="370"/>
        <item x="76"/>
        <item x="279"/>
        <item x="112"/>
        <item x="322"/>
        <item x="363"/>
        <item x="246"/>
        <item x="38"/>
        <item x="302"/>
        <item x="89"/>
        <item x="86"/>
        <item x="44"/>
        <item x="392"/>
        <item x="258"/>
        <item x="421"/>
        <item x="417"/>
        <item x="441"/>
        <item x="419"/>
        <item x="137"/>
        <item x="470"/>
        <item x="369"/>
        <item x="172"/>
        <item x="262"/>
        <item x="144"/>
        <item x="360"/>
        <item x="175"/>
        <item x="47"/>
        <item x="208"/>
        <item x="252"/>
        <item x="239"/>
        <item x="236"/>
        <item x="385"/>
        <item x="286"/>
        <item x="177"/>
        <item x="170"/>
        <item x="229"/>
        <item x="135"/>
        <item x="469"/>
        <item x="52"/>
        <item x="283"/>
        <item x="118"/>
        <item x="119"/>
        <item x="66"/>
        <item x="204"/>
        <item x="165"/>
        <item x="79"/>
        <item x="336"/>
        <item x="464"/>
        <item x="141"/>
        <item x="377"/>
        <item x="414"/>
        <item x="256"/>
        <item x="355"/>
        <item x="203"/>
        <item x="318"/>
        <item x="226"/>
        <item x="73"/>
        <item x="305"/>
        <item x="161"/>
        <item x="460"/>
        <item x="228"/>
        <item x="351"/>
        <item x="349"/>
        <item x="159"/>
        <item x="321"/>
        <item x="394"/>
        <item x="209"/>
        <item x="406"/>
        <item x="261"/>
        <item x="147"/>
        <item x="319"/>
        <item x="255"/>
        <item x="179"/>
        <item x="245"/>
        <item x="281"/>
        <item x="387"/>
        <item x="196"/>
        <item x="271"/>
        <item x="108"/>
        <item x="284"/>
        <item x="138"/>
        <item x="367"/>
        <item x="365"/>
        <item x="115"/>
        <item x="145"/>
        <item x="295"/>
        <item x="290"/>
        <item x="332"/>
        <item x="207"/>
        <item x="82"/>
        <item x="63"/>
        <item x="4"/>
        <item x="234"/>
        <item x="439"/>
        <item x="306"/>
        <item x="293"/>
        <item x="353"/>
        <item x="275"/>
        <item x="432"/>
        <item x="357"/>
        <item x="198"/>
        <item x="383"/>
        <item x="468"/>
        <item x="116"/>
        <item x="97"/>
        <item x="235"/>
        <item x="85"/>
        <item x="241"/>
        <item x="186"/>
        <item x="251"/>
        <item x="458"/>
        <item x="40"/>
        <item x="300"/>
        <item x="434"/>
        <item x="248"/>
        <item x="415"/>
        <item x="10"/>
        <item x="340"/>
        <item x="13"/>
        <item x="132"/>
        <item x="176"/>
        <item x="436"/>
        <item x="149"/>
        <item x="378"/>
        <item x="182"/>
        <item x="146"/>
        <item x="344"/>
        <item x="390"/>
        <item x="347"/>
        <item x="277"/>
        <item x="257"/>
        <item x="309"/>
        <item x="68"/>
        <item x="451"/>
        <item x="402"/>
        <item x="35"/>
        <item x="220"/>
        <item x="430"/>
        <item x="197"/>
        <item x="371"/>
        <item x="259"/>
        <item x="0"/>
        <item x="154"/>
        <item x="58"/>
        <item x="242"/>
        <item x="240"/>
        <item x="238"/>
        <item x="285"/>
        <item x="298"/>
        <item x="140"/>
        <item x="83"/>
        <item x="411"/>
        <item x="396"/>
        <item x="37"/>
        <item x="70"/>
        <item x="32"/>
        <item x="410"/>
        <item x="317"/>
        <item x="361"/>
        <item x="368"/>
        <item x="225"/>
        <item x="334"/>
        <item x="431"/>
        <item x="23"/>
        <item x="389"/>
        <item x="408"/>
        <item x="101"/>
        <item x="45"/>
        <item x="8"/>
        <item x="43"/>
        <item x="163"/>
        <item x="93"/>
        <item x="65"/>
        <item x="104"/>
        <item x="422"/>
        <item x="105"/>
        <item x="122"/>
        <item x="158"/>
        <item x="304"/>
        <item x="156"/>
        <item x="391"/>
        <item x="274"/>
        <item x="264"/>
        <item x="445"/>
        <item x="413"/>
        <item x="269"/>
        <item x="301"/>
        <item x="120"/>
        <item x="374"/>
        <item x="459"/>
        <item x="244"/>
        <item x="136"/>
        <item x="75"/>
        <item x="359"/>
        <item x="409"/>
        <item x="25"/>
        <item x="160"/>
        <item x="27"/>
        <item x="289"/>
        <item x="448"/>
        <item x="106"/>
        <item x="223"/>
        <item x="20"/>
        <item x="291"/>
        <item x="425"/>
        <item x="316"/>
        <item x="328"/>
        <item x="444"/>
        <item x="327"/>
        <item x="148"/>
        <item x="296"/>
        <item x="466"/>
        <item x="450"/>
        <item x="418"/>
        <item x="33"/>
        <item x="452"/>
        <item x="178"/>
        <item x="103"/>
        <item x="333"/>
        <item x="250"/>
        <item x="213"/>
        <item x="346"/>
        <item x="393"/>
        <item x="150"/>
        <item x="39"/>
        <item x="74"/>
        <item x="427"/>
        <item x="181"/>
        <item x="215"/>
        <item x="356"/>
        <item x="326"/>
        <item x="100"/>
        <item x="191"/>
        <item x="233"/>
        <item x="168"/>
        <item x="201"/>
        <item x="142"/>
        <item x="193"/>
        <item x="463"/>
        <item x="400"/>
        <item x="171"/>
        <item x="1"/>
        <item x="90"/>
        <item x="288"/>
        <item x="268"/>
        <item x="49"/>
        <item x="435"/>
        <item x="46"/>
        <item x="200"/>
        <item x="348"/>
        <item x="41"/>
        <item x="61"/>
        <item x="224"/>
        <item x="401"/>
        <item x="48"/>
        <item x="153"/>
        <item x="297"/>
        <item x="388"/>
        <item x="117"/>
        <item x="299"/>
        <item x="386"/>
        <item x="337"/>
        <item x="219"/>
        <item x="131"/>
        <item x="55"/>
        <item x="350"/>
        <item x="71"/>
        <item x="77"/>
        <item x="456"/>
        <item x="127"/>
        <item x="99"/>
        <item x="364"/>
        <item x="26"/>
        <item x="111"/>
        <item x="404"/>
        <item x="16"/>
        <item x="134"/>
        <item x="129"/>
        <item x="352"/>
        <item x="6"/>
        <item x="30"/>
        <item x="461"/>
        <item x="312"/>
        <item x="260"/>
        <item x="11"/>
        <item x="107"/>
        <item x="329"/>
        <item x="267"/>
        <item x="195"/>
        <item x="173"/>
        <item x="190"/>
        <item x="96"/>
        <item x="51"/>
        <item x="313"/>
        <item x="449"/>
        <item x="188"/>
        <item x="446"/>
        <item x="124"/>
        <item x="54"/>
        <item x="169"/>
        <item x="237"/>
        <item x="471"/>
        <item x="331"/>
        <item x="341"/>
        <item x="330"/>
        <item x="125"/>
        <item x="397"/>
        <item x="266"/>
        <item x="398"/>
        <item x="247"/>
        <item x="12"/>
        <item x="3"/>
        <item x="98"/>
        <item x="254"/>
        <item x="339"/>
        <item x="303"/>
        <item x="308"/>
        <item x="29"/>
        <item x="265"/>
        <item x="249"/>
        <item x="437"/>
        <item x="81"/>
        <item x="372"/>
        <item x="231"/>
        <item x="272"/>
        <item x="358"/>
        <item x="53"/>
        <item x="221"/>
        <item x="465"/>
        <item x="164"/>
        <item x="69"/>
        <item x="416"/>
        <item x="57"/>
        <item x="87"/>
        <item x="143"/>
        <item x="399"/>
        <item x="453"/>
        <item x="384"/>
        <item x="429"/>
        <item x="80"/>
        <item x="60"/>
        <item x="280"/>
        <item x="217"/>
        <item x="19"/>
        <item x="407"/>
        <item x="375"/>
        <item x="270"/>
        <item x="323"/>
        <item x="9"/>
        <item x="110"/>
        <item x="338"/>
        <item x="56"/>
        <item x="42"/>
        <item x="455"/>
        <item x="362"/>
        <item x="88"/>
        <item x="230"/>
        <item x="22"/>
        <item x="320"/>
        <item x="227"/>
        <item x="342"/>
        <item x="263"/>
        <item x="36"/>
        <item x="310"/>
        <item x="114"/>
        <item x="243"/>
        <item x="462"/>
        <item x="205"/>
        <item x="113"/>
        <item x="216"/>
        <item x="467"/>
        <item x="442"/>
        <item x="194"/>
        <item x="18"/>
        <item x="31"/>
        <item x="192"/>
        <item x="218"/>
        <item x="121"/>
        <item x="373"/>
        <item x="92"/>
        <item x="315"/>
        <item x="94"/>
        <item x="84"/>
        <item x="151"/>
        <item x="426"/>
        <item x="423"/>
        <item x="405"/>
        <item x="210"/>
        <item x="379"/>
        <item x="253"/>
        <item x="345"/>
        <item x="314"/>
        <item x="232"/>
        <item x="59"/>
        <item x="324"/>
        <item x="17"/>
        <item x="167"/>
        <item x="447"/>
        <item x="325"/>
        <item x="202"/>
        <item x="343"/>
        <item x="282"/>
        <item x="139"/>
        <item x="14"/>
        <item x="395"/>
        <item t="default"/>
      </items>
    </pivotField>
    <pivotField compact="0" numFmtId="1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compact="0" showAll="0">
      <items count="4">
        <item m="1" x="2"/>
        <item x="0"/>
        <item x="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compact="0" showAll="0">
      <items count="41">
        <item x="7"/>
        <item x="36"/>
        <item x="38"/>
        <item x="6"/>
        <item x="9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4"/>
        <item x="28"/>
        <item x="1"/>
        <item x="30"/>
        <item x="24"/>
        <item x="8"/>
        <item x="23"/>
        <item x="14"/>
        <item x="27"/>
        <item x="5"/>
        <item x="35"/>
        <item x="26"/>
        <item t="default"/>
      </items>
    </pivotField>
    <pivotField compact="0" showAll="0">
      <items count="7">
        <item x="3"/>
        <item x="0"/>
        <item x="1"/>
        <item x="5"/>
        <item x="2"/>
        <item x="4"/>
        <item t="default"/>
      </items>
    </pivotField>
    <pivotField compact="0" showAll="0">
      <items count="7">
        <item x="4"/>
        <item x="3"/>
        <item x="2"/>
        <item x="5"/>
        <item x="1"/>
        <item x="0"/>
        <item t="default"/>
      </items>
    </pivotField>
    <pivotField compact="0" showAll="0">
      <items count="17">
        <item x="8"/>
        <item x="5"/>
        <item x="0"/>
        <item x="14"/>
        <item x="6"/>
        <item x="9"/>
        <item x="3"/>
        <item x="10"/>
        <item x="2"/>
        <item x="1"/>
        <item x="11"/>
        <item x="4"/>
        <item x="12"/>
        <item x="13"/>
        <item x="7"/>
        <item x="15"/>
        <item t="default"/>
      </items>
    </pivotField>
    <pivotField axis="axisRow"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axis="axisRow" compact="0" sortType="descending" showAll="0">
      <items count="631">
        <item x="139"/>
        <item x="621"/>
        <item x="333"/>
        <item x="415"/>
        <item x="340"/>
        <item x="394"/>
        <item x="441"/>
        <item x="293"/>
        <item x="491"/>
        <item x="587"/>
        <item x="207"/>
        <item x="14"/>
        <item x="478"/>
        <item x="58"/>
        <item x="261"/>
        <item x="59"/>
        <item x="325"/>
        <item x="103"/>
        <item x="170"/>
        <item x="70"/>
        <item x="497"/>
        <item x="416"/>
        <item x="312"/>
        <item x="319"/>
        <item x="489"/>
        <item x="332"/>
        <item x="355"/>
        <item x="516"/>
        <item x="185"/>
        <item x="545"/>
        <item x="221"/>
        <item x="259"/>
        <item x="450"/>
        <item x="521"/>
        <item x="576"/>
        <item x="270"/>
        <item x="22"/>
        <item x="158"/>
        <item x="131"/>
        <item x="154"/>
        <item x="290"/>
        <item x="76"/>
        <item x="113"/>
        <item x="569"/>
        <item x="187"/>
        <item x="618"/>
        <item x="588"/>
        <item x="227"/>
        <item x="552"/>
        <item x="551"/>
        <item x="97"/>
        <item x="460"/>
        <item x="214"/>
        <item x="352"/>
        <item x="299"/>
        <item x="57"/>
        <item x="288"/>
        <item x="50"/>
        <item x="147"/>
        <item x="437"/>
        <item x="346"/>
        <item x="180"/>
        <item x="358"/>
        <item x="142"/>
        <item x="493"/>
        <item x="557"/>
        <item x="465"/>
        <item x="604"/>
        <item x="360"/>
        <item x="592"/>
        <item x="10"/>
        <item x="277"/>
        <item x="18"/>
        <item x="338"/>
        <item x="541"/>
        <item x="292"/>
        <item x="454"/>
        <item x="25"/>
        <item x="209"/>
        <item x="93"/>
        <item x="66"/>
        <item x="77"/>
        <item x="554"/>
        <item x="536"/>
        <item x="306"/>
        <item x="182"/>
        <item x="408"/>
        <item x="109"/>
        <item x="75"/>
        <item x="169"/>
        <item x="513"/>
        <item x="471"/>
        <item x="579"/>
        <item x="607"/>
        <item x="624"/>
        <item x="34"/>
        <item x="172"/>
        <item x="627"/>
        <item x="401"/>
        <item x="126"/>
        <item x="391"/>
        <item x="124"/>
        <item x="484"/>
        <item x="523"/>
        <item x="377"/>
        <item x="24"/>
        <item x="87"/>
        <item x="82"/>
        <item x="324"/>
        <item x="510"/>
        <item x="367"/>
        <item x="458"/>
        <item x="12"/>
        <item x="136"/>
        <item x="9"/>
        <item x="294"/>
        <item x="157"/>
        <item x="464"/>
        <item x="210"/>
        <item x="315"/>
        <item x="467"/>
        <item x="85"/>
        <item x="161"/>
        <item x="260"/>
        <item x="348"/>
        <item x="256"/>
        <item x="573"/>
        <item x="220"/>
        <item x="617"/>
        <item x="594"/>
        <item x="326"/>
        <item x="74"/>
        <item x="171"/>
        <item x="589"/>
        <item x="490"/>
        <item x="518"/>
        <item x="463"/>
        <item x="78"/>
        <item x="519"/>
        <item x="564"/>
        <item x="44"/>
        <item x="127"/>
        <item x="125"/>
        <item x="110"/>
        <item x="568"/>
        <item x="504"/>
        <item x="459"/>
        <item x="451"/>
        <item x="397"/>
        <item x="30"/>
        <item x="230"/>
        <item x="61"/>
        <item x="365"/>
        <item x="222"/>
        <item x="206"/>
        <item x="69"/>
        <item x="250"/>
        <item x="36"/>
        <item x="60"/>
        <item x="105"/>
        <item x="511"/>
        <item x="101"/>
        <item x="86"/>
        <item x="234"/>
        <item x="0"/>
        <item x="37"/>
        <item x="393"/>
        <item x="436"/>
        <item x="403"/>
        <item x="289"/>
        <item x="476"/>
        <item x="237"/>
        <item x="585"/>
        <item x="177"/>
        <item x="300"/>
        <item x="267"/>
        <item x="559"/>
        <item x="323"/>
        <item x="475"/>
        <item x="477"/>
        <item x="533"/>
        <item x="166"/>
        <item x="145"/>
        <item x="295"/>
        <item x="15"/>
        <item x="527"/>
        <item x="445"/>
        <item x="582"/>
        <item x="539"/>
        <item x="349"/>
        <item x="119"/>
        <item x="279"/>
        <item x="246"/>
        <item x="384"/>
        <item x="239"/>
        <item x="370"/>
        <item x="629"/>
        <item x="481"/>
        <item x="146"/>
        <item x="19"/>
        <item x="64"/>
        <item x="264"/>
        <item x="507"/>
        <item x="571"/>
        <item x="345"/>
        <item x="99"/>
        <item x="53"/>
        <item x="362"/>
        <item x="514"/>
        <item x="581"/>
        <item x="71"/>
        <item x="309"/>
        <item x="304"/>
        <item x="542"/>
        <item x="242"/>
        <item x="457"/>
        <item x="603"/>
        <item x="23"/>
        <item x="255"/>
        <item x="508"/>
        <item x="104"/>
        <item x="190"/>
        <item x="563"/>
        <item x="387"/>
        <item x="251"/>
        <item x="151"/>
        <item x="520"/>
        <item x="593"/>
        <item x="368"/>
        <item x="56"/>
        <item x="409"/>
        <item x="275"/>
        <item x="173"/>
        <item x="102"/>
        <item x="388"/>
        <item x="534"/>
        <item x="565"/>
        <item x="425"/>
        <item x="52"/>
        <item x="192"/>
        <item x="407"/>
        <item x="117"/>
        <item x="396"/>
        <item x="424"/>
        <item x="72"/>
        <item x="5"/>
        <item x="598"/>
        <item x="430"/>
        <item x="421"/>
        <item x="283"/>
        <item x="329"/>
        <item x="386"/>
        <item x="111"/>
        <item x="224"/>
        <item x="132"/>
        <item x="20"/>
        <item x="402"/>
        <item x="284"/>
        <item x="33"/>
        <item x="339"/>
        <item x="566"/>
        <item x="314"/>
        <item x="271"/>
        <item x="591"/>
        <item x="216"/>
        <item x="186"/>
        <item x="205"/>
        <item x="96"/>
        <item x="404"/>
        <item x="167"/>
        <item x="140"/>
        <item x="68"/>
        <item x="472"/>
        <item x="509"/>
        <item x="217"/>
        <item x="115"/>
        <item x="247"/>
        <item x="597"/>
        <item x="89"/>
        <item x="328"/>
        <item x="249"/>
        <item x="135"/>
        <item x="273"/>
        <item x="427"/>
        <item x="83"/>
        <item x="398"/>
        <item x="121"/>
        <item x="625"/>
        <item x="418"/>
        <item x="615"/>
        <item x="189"/>
        <item x="351"/>
        <item x="549"/>
        <item x="297"/>
        <item x="51"/>
        <item x="252"/>
        <item x="372"/>
        <item x="432"/>
        <item x="499"/>
        <item x="55"/>
        <item x="204"/>
        <item x="456"/>
        <item x="130"/>
        <item x="63"/>
        <item x="233"/>
        <item x="178"/>
        <item x="305"/>
        <item x="447"/>
        <item x="280"/>
        <item x="298"/>
        <item x="183"/>
        <item x="363"/>
        <item x="389"/>
        <item x="561"/>
        <item x="572"/>
        <item x="522"/>
        <item x="547"/>
        <item x="310"/>
        <item x="195"/>
        <item x="165"/>
        <item x="67"/>
        <item x="453"/>
        <item x="8"/>
        <item x="175"/>
        <item x="556"/>
        <item x="446"/>
        <item x="580"/>
        <item x="191"/>
        <item x="168"/>
        <item x="383"/>
        <item x="258"/>
        <item x="211"/>
        <item x="188"/>
        <item x="79"/>
        <item x="610"/>
        <item x="544"/>
        <item x="6"/>
        <item x="272"/>
        <item x="540"/>
        <item x="431"/>
        <item x="184"/>
        <item x="494"/>
        <item x="254"/>
        <item x="88"/>
        <item x="118"/>
        <item x="531"/>
        <item x="163"/>
        <item x="498"/>
        <item x="318"/>
        <item x="395"/>
        <item x="266"/>
        <item x="160"/>
        <item x="40"/>
        <item x="496"/>
        <item x="311"/>
        <item x="495"/>
        <item x="590"/>
        <item x="380"/>
        <item x="41"/>
        <item x="223"/>
        <item x="226"/>
        <item x="302"/>
        <item x="98"/>
        <item x="341"/>
        <item x="73"/>
        <item x="479"/>
        <item x="90"/>
        <item x="45"/>
        <item x="47"/>
        <item x="144"/>
        <item x="257"/>
        <item x="623"/>
        <item x="438"/>
        <item x="562"/>
        <item x="248"/>
        <item x="483"/>
        <item x="577"/>
        <item x="114"/>
        <item x="21"/>
        <item x="399"/>
        <item x="198"/>
        <item x="376"/>
        <item x="575"/>
        <item x="506"/>
        <item x="307"/>
        <item x="574"/>
        <item x="382"/>
        <item x="357"/>
        <item x="317"/>
        <item x="129"/>
        <item x="517"/>
        <item x="112"/>
        <item x="548"/>
        <item x="321"/>
        <item x="620"/>
        <item x="622"/>
        <item x="80"/>
        <item x="322"/>
        <item x="543"/>
        <item x="48"/>
        <item x="462"/>
        <item x="612"/>
        <item x="379"/>
        <item x="276"/>
        <item x="194"/>
        <item x="611"/>
        <item x="466"/>
        <item x="203"/>
        <item x="600"/>
        <item x="503"/>
        <item x="120"/>
        <item x="108"/>
        <item x="535"/>
        <item x="413"/>
        <item x="84"/>
        <item x="550"/>
        <item x="215"/>
        <item x="378"/>
        <item x="155"/>
        <item x="32"/>
        <item x="433"/>
        <item x="502"/>
        <item x="281"/>
        <item x="123"/>
        <item x="619"/>
        <item x="156"/>
        <item x="538"/>
        <item x="614"/>
        <item x="353"/>
        <item x="331"/>
        <item x="262"/>
        <item x="567"/>
        <item x="529"/>
        <item x="344"/>
        <item x="2"/>
        <item x="29"/>
        <item x="435"/>
        <item x="287"/>
        <item x="54"/>
        <item x="420"/>
        <item x="17"/>
        <item x="282"/>
        <item x="347"/>
        <item x="213"/>
        <item x="343"/>
        <item x="28"/>
        <item x="560"/>
        <item x="512"/>
        <item x="202"/>
        <item x="371"/>
        <item x="327"/>
        <item x="107"/>
        <item x="448"/>
        <item x="238"/>
        <item x="482"/>
        <item x="231"/>
        <item x="422"/>
        <item x="133"/>
        <item x="530"/>
        <item x="268"/>
        <item x="426"/>
        <item x="200"/>
        <item x="392"/>
        <item x="91"/>
        <item x="241"/>
        <item x="286"/>
        <item x="263"/>
        <item x="334"/>
        <item x="412"/>
        <item x="440"/>
        <item x="128"/>
        <item x="570"/>
        <item x="3"/>
        <item x="583"/>
        <item x="149"/>
        <item x="65"/>
        <item x="626"/>
        <item x="245"/>
        <item x="31"/>
        <item x="375"/>
        <item x="197"/>
        <item x="303"/>
        <item x="584"/>
        <item x="361"/>
        <item x="162"/>
        <item x="452"/>
        <item x="428"/>
        <item x="406"/>
        <item x="485"/>
        <item x="553"/>
        <item x="316"/>
        <item x="330"/>
        <item x="488"/>
        <item x="455"/>
        <item x="285"/>
        <item x="278"/>
        <item x="27"/>
        <item x="366"/>
        <item x="94"/>
        <item x="11"/>
        <item x="244"/>
        <item x="225"/>
        <item x="605"/>
        <item x="181"/>
        <item x="578"/>
        <item x="336"/>
        <item x="492"/>
        <item x="122"/>
        <item x="374"/>
        <item x="137"/>
        <item x="141"/>
        <item x="532"/>
        <item x="62"/>
        <item x="100"/>
        <item x="419"/>
        <item x="411"/>
        <item x="505"/>
        <item x="236"/>
        <item x="434"/>
        <item x="106"/>
        <item x="500"/>
        <item x="628"/>
        <item x="159"/>
        <item x="320"/>
        <item x="473"/>
        <item x="586"/>
        <item x="196"/>
        <item x="501"/>
        <item x="335"/>
        <item x="232"/>
        <item x="390"/>
        <item x="474"/>
        <item x="265"/>
        <item x="486"/>
        <item x="49"/>
        <item x="526"/>
        <item x="537"/>
        <item x="410"/>
        <item x="515"/>
        <item x="525"/>
        <item x="439"/>
        <item x="228"/>
        <item x="313"/>
        <item x="449"/>
        <item x="555"/>
        <item x="429"/>
        <item x="46"/>
        <item x="524"/>
        <item x="219"/>
        <item x="253"/>
        <item x="308"/>
        <item x="212"/>
        <item x="42"/>
        <item x="468"/>
        <item x="364"/>
        <item x="369"/>
        <item x="174"/>
        <item x="480"/>
        <item x="164"/>
        <item x="26"/>
        <item x="148"/>
        <item x="143"/>
        <item x="35"/>
        <item x="528"/>
        <item x="595"/>
        <item x="134"/>
        <item x="442"/>
        <item x="342"/>
        <item x="609"/>
        <item x="138"/>
        <item x="193"/>
        <item x="240"/>
        <item x="602"/>
        <item x="176"/>
        <item x="613"/>
        <item x="337"/>
        <item x="243"/>
        <item x="606"/>
        <item x="400"/>
        <item x="218"/>
        <item x="616"/>
        <item x="487"/>
        <item x="417"/>
        <item x="381"/>
        <item x="208"/>
        <item x="601"/>
        <item x="150"/>
        <item x="7"/>
        <item x="423"/>
        <item x="116"/>
        <item x="92"/>
        <item x="301"/>
        <item x="39"/>
        <item x="558"/>
        <item x="359"/>
        <item x="269"/>
        <item x="16"/>
        <item x="461"/>
        <item x="199"/>
        <item x="229"/>
        <item x="470"/>
        <item x="153"/>
        <item x="38"/>
        <item x="350"/>
        <item x="235"/>
        <item x="296"/>
        <item x="444"/>
        <item x="4"/>
        <item x="179"/>
        <item x="152"/>
        <item x="13"/>
        <item x="201"/>
        <item x="373"/>
        <item x="274"/>
        <item x="291"/>
        <item x="385"/>
        <item x="95"/>
        <item x="608"/>
        <item x="1"/>
        <item x="405"/>
        <item x="469"/>
        <item x="356"/>
        <item x="443"/>
        <item x="546"/>
        <item x="81"/>
        <item x="43"/>
        <item x="599"/>
        <item x="596"/>
        <item x="354"/>
        <item x="41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44" showAll="0">
      <items count="633">
        <item x="493"/>
        <item x="112"/>
        <item x="180"/>
        <item x="298"/>
        <item x="172"/>
        <item x="286"/>
        <item x="106"/>
        <item x="247"/>
        <item x="389"/>
        <item x="83"/>
        <item x="572"/>
        <item x="96"/>
        <item x="7"/>
        <item x="341"/>
        <item x="177"/>
        <item x="461"/>
        <item x="127"/>
        <item x="582"/>
        <item x="481"/>
        <item x="54"/>
        <item x="311"/>
        <item x="631"/>
        <item x="230"/>
        <item x="354"/>
        <item x="89"/>
        <item x="119"/>
        <item x="532"/>
        <item x="586"/>
        <item x="245"/>
        <item x="139"/>
        <item x="517"/>
        <item x="291"/>
        <item x="243"/>
        <item x="51"/>
        <item x="116"/>
        <item x="347"/>
        <item x="323"/>
        <item x="418"/>
        <item x="575"/>
        <item x="108"/>
        <item x="551"/>
        <item x="305"/>
        <item x="443"/>
        <item x="211"/>
        <item x="526"/>
        <item x="282"/>
        <item x="263"/>
        <item x="330"/>
        <item x="344"/>
        <item x="103"/>
        <item x="609"/>
        <item x="488"/>
        <item x="463"/>
        <item x="531"/>
        <item x="26"/>
        <item x="308"/>
        <item x="436"/>
        <item x="163"/>
        <item x="206"/>
        <item x="570"/>
        <item x="460"/>
        <item x="113"/>
        <item x="608"/>
        <item x="221"/>
        <item x="217"/>
        <item x="318"/>
        <item x="128"/>
        <item x="239"/>
        <item x="579"/>
        <item x="599"/>
        <item x="621"/>
        <item x="82"/>
        <item x="458"/>
        <item x="577"/>
        <item x="124"/>
        <item x="35"/>
        <item x="174"/>
        <item x="434"/>
        <item x="490"/>
        <item x="447"/>
        <item x="233"/>
        <item x="232"/>
        <item x="53"/>
        <item x="28"/>
        <item x="293"/>
        <item x="476"/>
        <item x="178"/>
        <item x="511"/>
        <item x="627"/>
        <item x="508"/>
        <item x="391"/>
        <item x="215"/>
        <item x="304"/>
        <item x="270"/>
        <item x="222"/>
        <item x="466"/>
        <item x="445"/>
        <item x="296"/>
        <item x="194"/>
        <item x="620"/>
        <item x="369"/>
        <item x="485"/>
        <item x="3"/>
        <item x="71"/>
        <item x="464"/>
        <item x="145"/>
        <item x="0"/>
        <item x="274"/>
        <item x="486"/>
        <item x="373"/>
        <item x="316"/>
        <item x="109"/>
        <item x="491"/>
        <item x="597"/>
        <item x="160"/>
        <item x="137"/>
        <item x="133"/>
        <item x="350"/>
        <item x="456"/>
        <item x="326"/>
        <item x="101"/>
        <item x="39"/>
        <item x="258"/>
        <item x="5"/>
        <item x="254"/>
        <item x="594"/>
        <item x="386"/>
        <item x="428"/>
        <item x="271"/>
        <item x="519"/>
        <item x="166"/>
        <item x="12"/>
        <item x="297"/>
        <item x="46"/>
        <item x="118"/>
        <item x="169"/>
        <item x="57"/>
        <item x="483"/>
        <item x="439"/>
        <item x="179"/>
        <item x="495"/>
        <item x="114"/>
        <item x="78"/>
        <item x="148"/>
        <item x="380"/>
        <item x="315"/>
        <item x="441"/>
        <item x="307"/>
        <item x="328"/>
        <item x="432"/>
        <item x="277"/>
        <item x="240"/>
        <item x="219"/>
        <item x="214"/>
        <item x="580"/>
        <item x="616"/>
        <item x="218"/>
        <item x="231"/>
        <item x="505"/>
        <item x="453"/>
        <item x="525"/>
        <item x="309"/>
        <item x="321"/>
        <item x="604"/>
        <item x="93"/>
        <item x="129"/>
        <item x="130"/>
        <item x="602"/>
        <item x="331"/>
        <item x="470"/>
        <item x="378"/>
        <item x="155"/>
        <item x="546"/>
        <item x="573"/>
        <item x="561"/>
        <item x="191"/>
        <item x="544"/>
        <item x="250"/>
        <item x="494"/>
        <item x="410"/>
        <item x="312"/>
        <item x="477"/>
        <item x="500"/>
        <item x="408"/>
        <item x="536"/>
        <item x="334"/>
        <item x="251"/>
        <item x="43"/>
        <item x="433"/>
        <item x="540"/>
        <item x="370"/>
        <item x="201"/>
        <item x="68"/>
        <item x="30"/>
        <item x="64"/>
        <item x="403"/>
        <item x="141"/>
        <item x="419"/>
        <item x="338"/>
        <item x="498"/>
        <item x="523"/>
        <item x="197"/>
        <item x="257"/>
        <item x="290"/>
        <item x="88"/>
        <item x="565"/>
        <item x="268"/>
        <item x="91"/>
        <item x="52"/>
        <item x="361"/>
        <item x="98"/>
        <item x="110"/>
        <item x="479"/>
        <item x="285"/>
        <item x="131"/>
        <item x="444"/>
        <item x="144"/>
        <item x="262"/>
        <item x="6"/>
        <item x="564"/>
        <item x="220"/>
        <item x="202"/>
        <item x="299"/>
        <item x="186"/>
        <item x="314"/>
        <item x="430"/>
        <item x="87"/>
        <item x="62"/>
        <item x="474"/>
        <item x="364"/>
        <item x="437"/>
        <item x="538"/>
        <item x="417"/>
        <item x="623"/>
        <item x="339"/>
        <item x="510"/>
        <item x="283"/>
        <item x="337"/>
        <item x="446"/>
        <item x="515"/>
        <item x="584"/>
        <item x="13"/>
        <item x="10"/>
        <item x="33"/>
        <item x="336"/>
        <item x="472"/>
        <item x="252"/>
        <item x="516"/>
        <item x="301"/>
        <item x="395"/>
        <item x="325"/>
        <item x="156"/>
        <item x="355"/>
        <item x="499"/>
        <item x="340"/>
        <item x="4"/>
        <item x="469"/>
        <item x="411"/>
        <item x="591"/>
        <item x="359"/>
        <item x="255"/>
        <item x="571"/>
        <item x="563"/>
        <item x="67"/>
        <item x="44"/>
        <item x="533"/>
        <item x="147"/>
        <item x="605"/>
        <item x="475"/>
        <item x="90"/>
        <item x="412"/>
        <item x="576"/>
        <item x="238"/>
        <item x="134"/>
        <item x="549"/>
        <item x="558"/>
        <item x="36"/>
        <item x="457"/>
        <item x="611"/>
        <item x="259"/>
        <item x="73"/>
        <item x="585"/>
        <item x="269"/>
        <item x="372"/>
        <item x="617"/>
        <item x="535"/>
        <item x="553"/>
        <item x="22"/>
        <item x="185"/>
        <item x="462"/>
        <item x="568"/>
        <item x="522"/>
        <item x="578"/>
        <item x="595"/>
        <item x="29"/>
        <item x="15"/>
        <item x="37"/>
        <item x="150"/>
        <item x="182"/>
        <item x="358"/>
        <item x="502"/>
        <item x="435"/>
        <item x="14"/>
        <item x="598"/>
        <item x="471"/>
        <item x="294"/>
        <item x="590"/>
        <item x="183"/>
        <item x="192"/>
        <item x="288"/>
        <item x="253"/>
        <item x="120"/>
        <item x="170"/>
        <item x="560"/>
        <item x="248"/>
        <item x="92"/>
        <item x="513"/>
        <item x="342"/>
        <item x="628"/>
        <item x="630"/>
        <item x="161"/>
        <item x="454"/>
        <item x="158"/>
        <item x="619"/>
        <item x="143"/>
        <item x="75"/>
        <item x="45"/>
        <item x="200"/>
        <item x="381"/>
        <item x="362"/>
        <item x="473"/>
        <item x="379"/>
        <item x="313"/>
        <item x="171"/>
        <item x="401"/>
        <item x="416"/>
        <item x="55"/>
        <item x="574"/>
        <item x="27"/>
        <item x="559"/>
        <item x="48"/>
        <item x="581"/>
        <item x="438"/>
        <item x="102"/>
        <item x="300"/>
        <item x="38"/>
        <item x="154"/>
        <item x="451"/>
        <item x="319"/>
        <item x="351"/>
        <item x="548"/>
        <item x="69"/>
        <item x="557"/>
        <item x="203"/>
        <item x="16"/>
        <item x="146"/>
        <item x="303"/>
        <item x="327"/>
        <item x="449"/>
        <item x="492"/>
        <item x="157"/>
        <item x="452"/>
        <item x="509"/>
        <item x="168"/>
        <item x="11"/>
        <item x="70"/>
        <item x="74"/>
        <item x="241"/>
        <item x="164"/>
        <item x="153"/>
        <item x="618"/>
        <item x="518"/>
        <item x="506"/>
        <item x="348"/>
        <item x="228"/>
        <item x="367"/>
        <item x="429"/>
        <item x="530"/>
        <item x="132"/>
        <item x="384"/>
        <item x="612"/>
        <item x="176"/>
        <item x="543"/>
        <item x="450"/>
        <item x="24"/>
        <item x="125"/>
        <item x="360"/>
        <item x="279"/>
        <item x="352"/>
        <item x="404"/>
        <item x="440"/>
        <item x="349"/>
        <item x="600"/>
        <item x="193"/>
        <item x="346"/>
        <item x="320"/>
        <item x="375"/>
        <item x="190"/>
        <item x="504"/>
        <item x="151"/>
        <item x="487"/>
        <item x="94"/>
        <item x="324"/>
        <item x="244"/>
        <item x="19"/>
        <item x="592"/>
        <item x="204"/>
        <item x="317"/>
        <item x="284"/>
        <item x="388"/>
        <item x="402"/>
        <item x="624"/>
        <item x="184"/>
        <item x="162"/>
        <item x="40"/>
        <item x="229"/>
        <item x="272"/>
        <item x="589"/>
        <item x="363"/>
        <item x="207"/>
        <item x="425"/>
        <item x="550"/>
        <item x="478"/>
        <item x="365"/>
        <item x="59"/>
        <item x="524"/>
        <item x="520"/>
        <item x="126"/>
        <item x="287"/>
        <item x="18"/>
        <item x="629"/>
        <item x="189"/>
        <item x="225"/>
        <item x="66"/>
        <item x="332"/>
        <item x="273"/>
        <item x="527"/>
        <item x="1"/>
        <item x="95"/>
        <item x="216"/>
        <item x="135"/>
        <item x="224"/>
        <item x="210"/>
        <item x="280"/>
        <item x="152"/>
        <item x="610"/>
        <item x="420"/>
        <item x="281"/>
        <item x="266"/>
        <item x="77"/>
        <item x="377"/>
        <item x="400"/>
        <item x="260"/>
        <item x="79"/>
        <item x="405"/>
        <item x="392"/>
        <item x="181"/>
        <item x="503"/>
        <item x="497"/>
        <item x="596"/>
        <item x="393"/>
        <item x="107"/>
        <item x="539"/>
        <item x="382"/>
        <item x="292"/>
        <item x="198"/>
        <item x="603"/>
        <item x="383"/>
        <item x="455"/>
        <item x="534"/>
        <item x="427"/>
        <item x="56"/>
        <item x="105"/>
        <item x="385"/>
        <item x="554"/>
        <item x="387"/>
        <item x="212"/>
        <item x="567"/>
        <item x="552"/>
        <item x="468"/>
        <item x="278"/>
        <item x="399"/>
        <item x="60"/>
        <item x="357"/>
        <item x="205"/>
        <item x="81"/>
        <item x="333"/>
        <item x="85"/>
        <item x="111"/>
        <item x="555"/>
        <item x="562"/>
        <item x="413"/>
        <item x="223"/>
        <item x="99"/>
        <item x="431"/>
        <item x="397"/>
        <item x="356"/>
        <item x="138"/>
        <item x="209"/>
        <item x="421"/>
        <item x="448"/>
        <item x="41"/>
        <item x="265"/>
        <item x="528"/>
        <item x="606"/>
        <item x="249"/>
        <item x="371"/>
        <item x="480"/>
        <item x="159"/>
        <item x="58"/>
        <item x="17"/>
        <item x="242"/>
        <item x="97"/>
        <item x="376"/>
        <item x="343"/>
        <item x="501"/>
        <item x="587"/>
        <item x="353"/>
        <item x="566"/>
        <item x="63"/>
        <item x="165"/>
        <item x="235"/>
        <item x="227"/>
        <item x="31"/>
        <item x="208"/>
        <item x="593"/>
        <item x="100"/>
        <item x="414"/>
        <item x="541"/>
        <item x="142"/>
        <item x="187"/>
        <item x="173"/>
        <item x="459"/>
        <item x="302"/>
        <item x="267"/>
        <item x="426"/>
        <item x="289"/>
        <item x="23"/>
        <item x="368"/>
        <item x="521"/>
        <item x="482"/>
        <item x="415"/>
        <item x="335"/>
        <item x="537"/>
        <item x="496"/>
        <item x="366"/>
        <item x="8"/>
        <item x="394"/>
        <item x="149"/>
        <item x="121"/>
        <item x="547"/>
        <item x="322"/>
        <item x="65"/>
        <item x="49"/>
        <item x="545"/>
        <item x="484"/>
        <item x="234"/>
        <item x="398"/>
        <item x="422"/>
        <item x="615"/>
        <item x="199"/>
        <item x="613"/>
        <item x="21"/>
        <item x="9"/>
        <item x="507"/>
        <item x="188"/>
        <item x="465"/>
        <item x="601"/>
        <item x="276"/>
        <item x="236"/>
        <item x="622"/>
        <item x="626"/>
        <item x="625"/>
        <item x="246"/>
        <item x="226"/>
        <item x="406"/>
        <item x="442"/>
        <item x="295"/>
        <item x="123"/>
        <item x="237"/>
        <item x="86"/>
        <item x="588"/>
        <item x="583"/>
        <item x="542"/>
        <item x="329"/>
        <item x="72"/>
        <item x="195"/>
        <item x="512"/>
        <item x="117"/>
        <item x="76"/>
        <item x="122"/>
        <item x="42"/>
        <item x="396"/>
        <item x="529"/>
        <item x="310"/>
        <item x="104"/>
        <item x="196"/>
        <item x="569"/>
        <item x="467"/>
        <item x="80"/>
        <item x="275"/>
        <item x="136"/>
        <item x="175"/>
        <item x="409"/>
        <item x="614"/>
        <item x="47"/>
        <item x="84"/>
        <item x="514"/>
        <item x="34"/>
        <item x="407"/>
        <item x="556"/>
        <item x="213"/>
        <item x="306"/>
        <item x="50"/>
        <item x="264"/>
        <item x="2"/>
        <item x="32"/>
        <item x="140"/>
        <item x="607"/>
        <item x="489"/>
        <item x="61"/>
        <item x="256"/>
        <item x="261"/>
        <item x="115"/>
        <item x="424"/>
        <item x="167"/>
        <item x="374"/>
        <item x="390"/>
        <item x="423"/>
        <item x="25"/>
        <item x="20"/>
        <item x="345"/>
        <item t="default"/>
      </items>
    </pivotField>
    <pivotField compact="0" numFmtId="44" showAll="0">
      <items count="631">
        <item x="615"/>
        <item x="2"/>
        <item x="58"/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numFmtId="44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numFmtId="184" showAll="0">
      <items count="229">
        <item x="5"/>
        <item x="140"/>
        <item x="10"/>
        <item x="20"/>
        <item x="99"/>
        <item x="19"/>
        <item x="84"/>
        <item x="170"/>
        <item x="212"/>
        <item x="108"/>
        <item x="205"/>
        <item x="113"/>
        <item x="106"/>
        <item x="118"/>
        <item x="109"/>
        <item x="179"/>
        <item x="134"/>
        <item x="71"/>
        <item x="8"/>
        <item x="195"/>
        <item x="76"/>
        <item x="42"/>
        <item x="32"/>
        <item x="16"/>
        <item x="188"/>
        <item x="208"/>
        <item x="174"/>
        <item x="89"/>
        <item x="221"/>
        <item x="107"/>
        <item x="215"/>
        <item x="58"/>
        <item x="216"/>
        <item x="54"/>
        <item x="130"/>
        <item x="114"/>
        <item x="223"/>
        <item x="133"/>
        <item x="121"/>
        <item x="92"/>
        <item x="193"/>
        <item x="163"/>
        <item x="227"/>
        <item x="96"/>
        <item x="201"/>
        <item x="176"/>
        <item x="72"/>
        <item x="143"/>
        <item x="55"/>
        <item x="90"/>
        <item x="68"/>
        <item x="88"/>
        <item x="3"/>
        <item x="93"/>
        <item x="13"/>
        <item x="43"/>
        <item x="171"/>
        <item x="202"/>
        <item x="117"/>
        <item x="164"/>
        <item x="226"/>
        <item x="104"/>
        <item x="200"/>
        <item x="26"/>
        <item x="147"/>
        <item x="24"/>
        <item x="167"/>
        <item x="25"/>
        <item x="168"/>
        <item x="119"/>
        <item x="77"/>
        <item x="142"/>
        <item x="12"/>
        <item x="148"/>
        <item x="73"/>
        <item x="224"/>
        <item x="199"/>
        <item x="74"/>
        <item x="165"/>
        <item x="27"/>
        <item x="4"/>
        <item x="172"/>
        <item x="67"/>
        <item x="52"/>
        <item x="192"/>
        <item x="105"/>
        <item x="86"/>
        <item x="14"/>
        <item x="46"/>
        <item x="95"/>
        <item x="0"/>
        <item x="139"/>
        <item x="60"/>
        <item x="158"/>
        <item x="144"/>
        <item x="85"/>
        <item x="45"/>
        <item x="18"/>
        <item x="173"/>
        <item x="153"/>
        <item x="82"/>
        <item x="213"/>
        <item x="22"/>
        <item x="38"/>
        <item x="110"/>
        <item x="137"/>
        <item x="31"/>
        <item x="49"/>
        <item x="2"/>
        <item x="191"/>
        <item x="112"/>
        <item x="61"/>
        <item x="157"/>
        <item x="29"/>
        <item x="81"/>
        <item x="159"/>
        <item x="23"/>
        <item x="78"/>
        <item x="169"/>
        <item x="56"/>
        <item x="17"/>
        <item x="41"/>
        <item x="180"/>
        <item x="34"/>
        <item x="6"/>
        <item x="135"/>
        <item x="9"/>
        <item x="209"/>
        <item x="102"/>
        <item x="136"/>
        <item x="125"/>
        <item x="69"/>
        <item x="131"/>
        <item x="161"/>
        <item x="87"/>
        <item x="181"/>
        <item x="129"/>
        <item x="75"/>
        <item x="64"/>
        <item x="196"/>
        <item x="156"/>
        <item x="211"/>
        <item x="150"/>
        <item x="21"/>
        <item x="36"/>
        <item x="189"/>
        <item x="225"/>
        <item x="145"/>
        <item x="122"/>
        <item x="155"/>
        <item x="30"/>
        <item x="166"/>
        <item x="120"/>
        <item x="94"/>
        <item x="79"/>
        <item x="111"/>
        <item x="35"/>
        <item x="15"/>
        <item x="50"/>
        <item x="57"/>
        <item x="63"/>
        <item x="37"/>
        <item x="70"/>
        <item x="51"/>
        <item x="197"/>
        <item x="98"/>
        <item x="7"/>
        <item x="124"/>
        <item x="115"/>
        <item x="47"/>
        <item x="138"/>
        <item x="91"/>
        <item x="53"/>
        <item x="44"/>
        <item x="162"/>
        <item x="222"/>
        <item x="219"/>
        <item x="182"/>
        <item x="126"/>
        <item x="123"/>
        <item x="207"/>
        <item x="66"/>
        <item x="154"/>
        <item x="203"/>
        <item x="218"/>
        <item x="97"/>
        <item x="217"/>
        <item x="152"/>
        <item x="204"/>
        <item x="83"/>
        <item x="214"/>
        <item x="127"/>
        <item x="146"/>
        <item x="128"/>
        <item x="1"/>
        <item x="149"/>
        <item x="177"/>
        <item x="183"/>
        <item x="65"/>
        <item x="28"/>
        <item x="103"/>
        <item x="220"/>
        <item x="11"/>
        <item x="116"/>
        <item x="48"/>
        <item x="194"/>
        <item x="62"/>
        <item x="132"/>
        <item x="101"/>
        <item x="187"/>
        <item x="151"/>
        <item x="100"/>
        <item x="141"/>
        <item x="178"/>
        <item x="190"/>
        <item x="80"/>
        <item x="186"/>
        <item x="39"/>
        <item x="210"/>
        <item x="40"/>
        <item x="184"/>
        <item x="206"/>
        <item x="160"/>
        <item x="33"/>
        <item x="59"/>
        <item x="175"/>
        <item x="198"/>
        <item x="18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04">
        <item x="5"/>
        <item x="130"/>
        <item x="10"/>
        <item x="20"/>
        <item x="93"/>
        <item x="19"/>
        <item x="78"/>
        <item x="157"/>
        <item x="188"/>
        <item x="100"/>
        <item x="183"/>
        <item x="105"/>
        <item x="98"/>
        <item x="109"/>
        <item x="101"/>
        <item x="164"/>
        <item x="124"/>
        <item x="66"/>
        <item x="8"/>
        <item x="174"/>
        <item x="71"/>
        <item x="40"/>
        <item x="32"/>
        <item x="16"/>
        <item x="169"/>
        <item x="185"/>
        <item x="161"/>
        <item x="83"/>
        <item x="196"/>
        <item x="99"/>
        <item x="190"/>
        <item x="55"/>
        <item x="191"/>
        <item x="51"/>
        <item x="121"/>
        <item x="106"/>
        <item x="198"/>
        <item x="123"/>
        <item x="112"/>
        <item x="86"/>
        <item x="173"/>
        <item x="150"/>
        <item x="202"/>
        <item x="90"/>
        <item x="179"/>
        <item x="162"/>
        <item x="67"/>
        <item x="132"/>
        <item x="52"/>
        <item x="84"/>
        <item x="63"/>
        <item x="82"/>
        <item x="3"/>
        <item x="87"/>
        <item x="13"/>
        <item x="41"/>
        <item x="158"/>
        <item x="180"/>
        <item x="108"/>
        <item x="151"/>
        <item x="201"/>
        <item x="96"/>
        <item x="178"/>
        <item x="26"/>
        <item x="136"/>
        <item x="24"/>
        <item x="154"/>
        <item x="25"/>
        <item x="155"/>
        <item x="110"/>
        <item x="72"/>
        <item x="131"/>
        <item x="12"/>
        <item x="137"/>
        <item x="68"/>
        <item x="199"/>
        <item x="177"/>
        <item x="69"/>
        <item x="152"/>
        <item x="27"/>
        <item x="4"/>
        <item x="159"/>
        <item x="62"/>
        <item x="49"/>
        <item x="172"/>
        <item x="97"/>
        <item x="80"/>
        <item x="14"/>
        <item x="44"/>
        <item x="89"/>
        <item x="0"/>
        <item x="129"/>
        <item x="56"/>
        <item x="146"/>
        <item x="133"/>
        <item x="79"/>
        <item x="43"/>
        <item x="18"/>
        <item x="160"/>
        <item x="141"/>
        <item x="76"/>
        <item x="189"/>
        <item x="22"/>
        <item x="38"/>
        <item x="102"/>
        <item x="127"/>
        <item x="31"/>
        <item x="46"/>
        <item x="2"/>
        <item x="171"/>
        <item x="104"/>
        <item x="57"/>
        <item x="145"/>
        <item x="29"/>
        <item x="75"/>
        <item x="147"/>
        <item x="23"/>
        <item x="73"/>
        <item x="156"/>
        <item x="53"/>
        <item x="17"/>
        <item x="39"/>
        <item x="165"/>
        <item x="34"/>
        <item x="6"/>
        <item x="125"/>
        <item x="9"/>
        <item x="186"/>
        <item x="94"/>
        <item x="126"/>
        <item x="116"/>
        <item x="64"/>
        <item x="122"/>
        <item x="148"/>
        <item x="81"/>
        <item x="166"/>
        <item x="120"/>
        <item x="70"/>
        <item x="59"/>
        <item x="175"/>
        <item x="144"/>
        <item x="187"/>
        <item x="139"/>
        <item x="21"/>
        <item x="36"/>
        <item x="170"/>
        <item x="200"/>
        <item x="134"/>
        <item x="113"/>
        <item x="143"/>
        <item x="30"/>
        <item x="153"/>
        <item x="111"/>
        <item x="88"/>
        <item x="74"/>
        <item x="103"/>
        <item x="35"/>
        <item x="15"/>
        <item x="47"/>
        <item x="54"/>
        <item x="58"/>
        <item x="37"/>
        <item x="65"/>
        <item x="48"/>
        <item x="176"/>
        <item x="92"/>
        <item x="7"/>
        <item x="115"/>
        <item x="107"/>
        <item x="45"/>
        <item x="128"/>
        <item x="85"/>
        <item x="50"/>
        <item x="42"/>
        <item x="149"/>
        <item x="197"/>
        <item x="194"/>
        <item x="167"/>
        <item x="117"/>
        <item x="114"/>
        <item x="184"/>
        <item x="61"/>
        <item x="142"/>
        <item x="181"/>
        <item x="193"/>
        <item x="91"/>
        <item x="192"/>
        <item x="140"/>
        <item x="182"/>
        <item x="77"/>
        <item x="33"/>
        <item x="118"/>
        <item x="135"/>
        <item x="119"/>
        <item x="1"/>
        <item x="138"/>
        <item x="163"/>
        <item x="168"/>
        <item x="60"/>
        <item x="28"/>
        <item x="95"/>
        <item x="195"/>
        <item x="11"/>
        <item t="default"/>
      </items>
    </pivotField>
    <pivotField compact="0" numFmtId="183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dataField="1"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51"/>
        <item x="247"/>
        <item x="531"/>
        <item x="89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41"/>
        <item x="354"/>
        <item x="139"/>
        <item x="114"/>
        <item x="490"/>
        <item x="305"/>
        <item x="87"/>
        <item x="108"/>
        <item x="460"/>
        <item x="26"/>
        <item x="211"/>
        <item x="582"/>
        <item x="464"/>
        <item x="551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137"/>
        <item x="258"/>
        <item x="193"/>
        <item x="598"/>
        <item x="131"/>
        <item x="179"/>
        <item x="74"/>
        <item x="240"/>
        <item x="222"/>
        <item x="369"/>
        <item x="59"/>
        <item x="571"/>
        <item x="201"/>
        <item x="408"/>
        <item x="495"/>
        <item x="543"/>
        <item x="481"/>
        <item x="57"/>
        <item x="361"/>
        <item x="546"/>
        <item x="186"/>
        <item x="334"/>
        <item x="0"/>
        <item x="79"/>
        <item x="12"/>
        <item x="314"/>
        <item x="627"/>
        <item x="483"/>
        <item x="486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447"/>
        <item x="333"/>
        <item x="161"/>
        <item x="593"/>
        <item x="118"/>
        <item x="52"/>
        <item x="231"/>
        <item x="304"/>
        <item x="443"/>
        <item x="103"/>
        <item x="599"/>
        <item x="485"/>
        <item x="277"/>
        <item x="581"/>
        <item x="328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332"/>
        <item x="271"/>
        <item x="46"/>
        <item x="580"/>
        <item x="156"/>
        <item x="270"/>
        <item x="363"/>
        <item x="437"/>
        <item x="293"/>
        <item x="520"/>
        <item x="501"/>
        <item x="229"/>
        <item x="601"/>
        <item x="321"/>
        <item x="492"/>
        <item x="259"/>
        <item x="14"/>
        <item x="458"/>
        <item x="269"/>
        <item x="182"/>
        <item x="130"/>
        <item x="216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343"/>
        <item x="590"/>
        <item x="316"/>
        <item x="510"/>
        <item x="612"/>
        <item x="530"/>
        <item x="73"/>
        <item x="419"/>
        <item x="386"/>
        <item x="489"/>
        <item x="32"/>
        <item x="241"/>
        <item x="136"/>
        <item x="446"/>
        <item x="246"/>
        <item x="30"/>
        <item x="518"/>
        <item x="325"/>
        <item x="309"/>
        <item x="301"/>
        <item x="143"/>
        <item x="421"/>
        <item x="92"/>
        <item x="564"/>
        <item x="504"/>
        <item x="610"/>
        <item x="11"/>
        <item x="158"/>
        <item x="185"/>
        <item x="470"/>
        <item x="78"/>
        <item x="289"/>
        <item x="615"/>
        <item x="558"/>
        <item x="41"/>
        <item x="70"/>
        <item x="43"/>
        <item x="623"/>
        <item x="616"/>
        <item x="545"/>
        <item x="123"/>
        <item x="515"/>
        <item x="502"/>
        <item x="416"/>
        <item x="22"/>
        <item x="549"/>
        <item x="62"/>
        <item x="4"/>
        <item x="154"/>
        <item x="312"/>
        <item x="393"/>
        <item x="197"/>
        <item x="380"/>
        <item x="527"/>
        <item x="274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105"/>
        <item x="576"/>
        <item x="65"/>
        <item x="250"/>
        <item x="163"/>
        <item x="349"/>
        <item x="244"/>
        <item x="449"/>
        <item x="104"/>
        <item x="167"/>
        <item x="450"/>
        <item x="265"/>
        <item x="441"/>
        <item x="299"/>
        <item x="364"/>
        <item x="630"/>
        <item x="381"/>
        <item x="145"/>
        <item x="430"/>
        <item x="433"/>
        <item x="399"/>
        <item x="281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170"/>
        <item x="8"/>
        <item x="455"/>
        <item x="359"/>
        <item x="148"/>
        <item x="50"/>
        <item x="595"/>
        <item x="200"/>
        <item x="38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335"/>
        <item x="469"/>
        <item x="317"/>
        <item x="351"/>
        <item x="499"/>
        <item x="228"/>
        <item x="371"/>
        <item x="402"/>
        <item x="340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427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99"/>
        <item x="204"/>
        <item x="300"/>
        <item x="144"/>
        <item x="16"/>
        <item x="324"/>
        <item x="339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329"/>
        <item x="188"/>
        <item x="219"/>
        <item x="336"/>
        <item x="207"/>
        <item x="487"/>
        <item x="607"/>
        <item x="159"/>
        <item x="273"/>
        <item x="423"/>
        <item x="153"/>
        <item x="56"/>
        <item x="550"/>
        <item x="111"/>
        <item x="622"/>
        <item x="426"/>
        <item x="226"/>
        <item x="42"/>
        <item x="542"/>
        <item x="496"/>
        <item x="310"/>
        <item x="374"/>
        <item x="195"/>
        <item x="442"/>
        <item x="414"/>
        <item x="173"/>
        <item x="55"/>
        <item x="548"/>
        <item x="142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92"/>
        <item x="357"/>
        <item x="624"/>
        <item x="512"/>
        <item x="557"/>
        <item x="537"/>
        <item x="592"/>
        <item x="100"/>
        <item x="319"/>
        <item x="199"/>
        <item x="396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247"/>
        <item x="531"/>
        <item x="89"/>
        <item x="51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54"/>
        <item x="341"/>
        <item x="114"/>
        <item x="139"/>
        <item x="490"/>
        <item x="305"/>
        <item x="87"/>
        <item x="108"/>
        <item x="460"/>
        <item x="26"/>
        <item x="211"/>
        <item x="582"/>
        <item x="551"/>
        <item x="464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258"/>
        <item x="193"/>
        <item x="598"/>
        <item x="131"/>
        <item x="179"/>
        <item x="240"/>
        <item x="222"/>
        <item x="137"/>
        <item x="369"/>
        <item x="59"/>
        <item x="571"/>
        <item x="408"/>
        <item x="495"/>
        <item x="543"/>
        <item x="481"/>
        <item x="57"/>
        <item x="361"/>
        <item x="201"/>
        <item x="546"/>
        <item x="186"/>
        <item x="334"/>
        <item x="0"/>
        <item x="79"/>
        <item x="12"/>
        <item x="314"/>
        <item x="627"/>
        <item x="483"/>
        <item x="486"/>
        <item x="74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333"/>
        <item x="161"/>
        <item x="593"/>
        <item x="118"/>
        <item x="52"/>
        <item x="231"/>
        <item x="304"/>
        <item x="443"/>
        <item x="103"/>
        <item x="599"/>
        <item x="447"/>
        <item x="485"/>
        <item x="277"/>
        <item x="581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271"/>
        <item x="46"/>
        <item x="580"/>
        <item x="156"/>
        <item x="270"/>
        <item x="328"/>
        <item x="437"/>
        <item x="293"/>
        <item x="520"/>
        <item x="501"/>
        <item x="229"/>
        <item x="601"/>
        <item x="321"/>
        <item x="332"/>
        <item x="492"/>
        <item x="259"/>
        <item x="14"/>
        <item x="458"/>
        <item x="269"/>
        <item x="182"/>
        <item x="130"/>
        <item x="216"/>
        <item x="363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590"/>
        <item x="316"/>
        <item x="510"/>
        <item x="612"/>
        <item x="530"/>
        <item x="343"/>
        <item x="73"/>
        <item x="419"/>
        <item x="386"/>
        <item x="489"/>
        <item x="32"/>
        <item x="241"/>
        <item x="136"/>
        <item x="446"/>
        <item x="30"/>
        <item x="518"/>
        <item x="325"/>
        <item x="309"/>
        <item x="301"/>
        <item x="143"/>
        <item x="421"/>
        <item x="92"/>
        <item x="564"/>
        <item x="504"/>
        <item x="246"/>
        <item x="610"/>
        <item x="11"/>
        <item x="158"/>
        <item x="185"/>
        <item x="470"/>
        <item x="289"/>
        <item x="615"/>
        <item x="558"/>
        <item x="41"/>
        <item x="70"/>
        <item x="43"/>
        <item x="623"/>
        <item x="616"/>
        <item x="545"/>
        <item x="123"/>
        <item x="78"/>
        <item x="515"/>
        <item x="502"/>
        <item x="416"/>
        <item x="22"/>
        <item x="549"/>
        <item x="62"/>
        <item x="4"/>
        <item x="154"/>
        <item x="312"/>
        <item x="197"/>
        <item x="380"/>
        <item x="527"/>
        <item x="274"/>
        <item x="393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576"/>
        <item x="65"/>
        <item x="250"/>
        <item x="163"/>
        <item x="349"/>
        <item x="244"/>
        <item x="449"/>
        <item x="104"/>
        <item x="450"/>
        <item x="265"/>
        <item x="441"/>
        <item x="299"/>
        <item x="364"/>
        <item x="630"/>
        <item x="167"/>
        <item x="381"/>
        <item x="105"/>
        <item x="145"/>
        <item x="430"/>
        <item x="433"/>
        <item x="399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281"/>
        <item x="8"/>
        <item x="455"/>
        <item x="359"/>
        <item x="148"/>
        <item x="595"/>
        <item x="200"/>
        <item x="38"/>
        <item x="170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50"/>
        <item x="335"/>
        <item x="469"/>
        <item x="317"/>
        <item x="351"/>
        <item x="499"/>
        <item x="228"/>
        <item x="371"/>
        <item x="402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427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204"/>
        <item x="300"/>
        <item x="144"/>
        <item x="16"/>
        <item x="324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99"/>
        <item x="329"/>
        <item x="188"/>
        <item x="336"/>
        <item x="207"/>
        <item x="339"/>
        <item x="487"/>
        <item x="607"/>
        <item x="159"/>
        <item x="273"/>
        <item x="219"/>
        <item x="423"/>
        <item x="153"/>
        <item x="56"/>
        <item x="550"/>
        <item x="111"/>
        <item x="340"/>
        <item x="622"/>
        <item x="426"/>
        <item x="226"/>
        <item x="542"/>
        <item x="496"/>
        <item x="310"/>
        <item x="195"/>
        <item x="442"/>
        <item x="414"/>
        <item x="173"/>
        <item x="55"/>
        <item x="548"/>
        <item x="142"/>
        <item x="374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42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57"/>
        <item x="624"/>
        <item x="512"/>
        <item x="557"/>
        <item x="537"/>
        <item x="592"/>
        <item x="100"/>
        <item x="319"/>
        <item x="199"/>
        <item x="396"/>
        <item x="392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493"/>
        <item x="172"/>
        <item x="286"/>
        <item x="298"/>
        <item x="96"/>
        <item x="586"/>
        <item x="389"/>
        <item x="54"/>
        <item x="83"/>
        <item x="247"/>
        <item x="631"/>
        <item x="119"/>
        <item x="575"/>
        <item x="89"/>
        <item x="572"/>
        <item x="418"/>
        <item x="106"/>
        <item x="177"/>
        <item x="7"/>
        <item x="517"/>
        <item x="532"/>
        <item x="282"/>
        <item x="354"/>
        <item x="263"/>
        <item x="243"/>
        <item x="51"/>
        <item x="531"/>
        <item x="109"/>
        <item x="305"/>
        <item x="461"/>
        <item x="341"/>
        <item x="221"/>
        <item x="620"/>
        <item x="291"/>
        <item x="311"/>
        <item x="108"/>
        <item x="602"/>
        <item x="230"/>
        <item x="490"/>
        <item x="551"/>
        <item x="127"/>
        <item x="519"/>
        <item x="445"/>
        <item x="323"/>
        <item x="476"/>
        <item x="464"/>
        <item x="582"/>
        <item x="391"/>
        <item x="347"/>
        <item x="26"/>
        <item x="621"/>
        <item x="217"/>
        <item x="330"/>
        <item x="326"/>
        <item x="460"/>
        <item x="116"/>
        <item x="211"/>
        <item x="412"/>
        <item x="128"/>
        <item x="124"/>
        <item x="174"/>
        <item x="466"/>
        <item x="344"/>
        <item x="463"/>
        <item x="597"/>
        <item x="245"/>
        <item x="139"/>
        <item x="113"/>
        <item x="570"/>
        <item x="169"/>
        <item x="87"/>
        <item x="28"/>
        <item x="526"/>
        <item x="232"/>
        <item x="608"/>
        <item x="318"/>
        <item x="257"/>
        <item x="609"/>
        <item x="565"/>
        <item x="439"/>
        <item x="114"/>
        <item x="5"/>
        <item x="508"/>
        <item x="579"/>
        <item x="6"/>
        <item x="297"/>
        <item x="434"/>
        <item x="481"/>
        <item x="334"/>
        <item x="222"/>
        <item x="133"/>
        <item x="495"/>
        <item x="627"/>
        <item x="403"/>
        <item x="0"/>
        <item x="258"/>
        <item x="82"/>
        <item x="584"/>
        <item x="581"/>
        <item x="546"/>
        <item x="53"/>
        <item x="327"/>
        <item x="511"/>
        <item x="296"/>
        <item x="239"/>
        <item x="231"/>
        <item x="57"/>
        <item x="436"/>
        <item x="304"/>
        <item x="39"/>
        <item x="604"/>
        <item x="254"/>
        <item x="443"/>
        <item x="370"/>
        <item x="491"/>
        <item x="194"/>
        <item x="378"/>
        <item x="307"/>
        <item x="277"/>
        <item x="240"/>
        <item x="233"/>
        <item x="598"/>
        <item x="293"/>
        <item x="486"/>
        <item x="71"/>
        <item x="178"/>
        <item x="103"/>
        <item x="248"/>
        <item x="488"/>
        <item x="156"/>
        <item x="12"/>
        <item x="130"/>
        <item x="571"/>
        <item x="79"/>
        <item x="350"/>
        <item x="118"/>
        <item x="308"/>
        <item x="186"/>
        <item x="458"/>
        <item x="462"/>
        <item x="410"/>
        <item x="182"/>
        <item x="328"/>
        <item x="432"/>
        <item x="358"/>
        <item x="483"/>
        <item x="285"/>
        <item x="513"/>
        <item x="563"/>
        <item x="161"/>
        <item x="498"/>
        <item x="369"/>
        <item x="599"/>
        <item x="594"/>
        <item x="314"/>
        <item x="171"/>
        <item x="59"/>
        <item x="524"/>
        <item x="437"/>
        <item x="332"/>
        <item x="46"/>
        <item x="69"/>
        <item x="191"/>
        <item x="141"/>
        <item x="509"/>
        <item x="338"/>
        <item x="137"/>
        <item x="179"/>
        <item x="74"/>
        <item x="214"/>
        <item x="616"/>
        <item x="279"/>
        <item x="90"/>
        <item x="447"/>
        <item x="158"/>
        <item x="540"/>
        <item x="373"/>
        <item x="315"/>
        <item x="201"/>
        <item x="227"/>
        <item x="446"/>
        <item x="473"/>
        <item x="206"/>
        <item x="218"/>
        <item x="27"/>
        <item x="470"/>
        <item x="271"/>
        <item x="525"/>
        <item x="408"/>
        <item x="578"/>
        <item x="43"/>
        <item x="146"/>
        <item x="502"/>
        <item x="168"/>
        <item x="331"/>
        <item x="183"/>
        <item x="309"/>
        <item x="503"/>
        <item x="596"/>
        <item x="543"/>
        <item x="3"/>
        <item x="88"/>
        <item x="386"/>
        <item x="75"/>
        <item x="270"/>
        <item x="262"/>
        <item x="301"/>
        <item x="32"/>
        <item x="489"/>
        <item x="349"/>
        <item x="193"/>
        <item x="485"/>
        <item x="333"/>
        <item x="25"/>
        <item x="102"/>
        <item x="274"/>
        <item x="94"/>
        <item x="37"/>
        <item x="131"/>
        <item x="589"/>
        <item x="593"/>
        <item x="145"/>
        <item x="163"/>
        <item x="520"/>
        <item x="368"/>
        <item x="558"/>
        <item x="316"/>
        <item x="92"/>
        <item x="544"/>
        <item x="33"/>
        <item x="630"/>
        <item x="220"/>
        <item x="250"/>
        <item x="518"/>
        <item x="398"/>
        <item x="152"/>
        <item x="430"/>
        <item x="35"/>
        <item x="477"/>
        <item x="580"/>
        <item x="450"/>
        <item x="62"/>
        <item x="561"/>
        <item x="536"/>
        <item x="533"/>
        <item x="595"/>
        <item x="417"/>
        <item x="15"/>
        <item x="433"/>
        <item x="101"/>
        <item x="238"/>
        <item x="212"/>
        <item x="515"/>
        <item x="104"/>
        <item x="312"/>
        <item x="294"/>
        <item x="361"/>
        <item x="78"/>
        <item x="162"/>
        <item x="269"/>
        <item x="421"/>
        <item x="197"/>
        <item x="41"/>
        <item x="411"/>
        <item x="22"/>
        <item x="241"/>
        <item x="164"/>
        <item x="143"/>
        <item x="268"/>
        <item x="343"/>
        <item x="129"/>
        <item x="345"/>
        <item x="283"/>
        <item x="189"/>
        <item x="577"/>
        <item x="419"/>
        <item x="216"/>
        <item x="453"/>
        <item x="98"/>
        <item x="523"/>
        <item x="559"/>
        <item x="281"/>
        <item x="472"/>
        <item x="8"/>
        <item x="325"/>
        <item x="405"/>
        <item x="615"/>
        <item x="507"/>
        <item x="52"/>
        <item x="198"/>
        <item x="246"/>
        <item x="70"/>
        <item x="425"/>
        <item x="155"/>
        <item x="413"/>
        <item x="367"/>
        <item x="30"/>
        <item x="530"/>
        <item x="549"/>
        <item x="275"/>
        <item x="136"/>
        <item x="612"/>
        <item x="176"/>
        <item x="457"/>
        <item x="499"/>
        <item x="359"/>
        <item x="527"/>
        <item x="623"/>
        <item x="154"/>
        <item x="535"/>
        <item x="510"/>
        <item x="451"/>
        <item x="67"/>
        <item x="564"/>
        <item x="610"/>
        <item x="541"/>
        <item x="185"/>
        <item x="494"/>
        <item x="342"/>
        <item x="68"/>
        <item x="321"/>
        <item x="303"/>
        <item x="605"/>
        <item x="504"/>
        <item x="415"/>
        <item x="335"/>
        <item x="455"/>
        <item x="538"/>
        <item x="363"/>
        <item x="601"/>
        <item x="14"/>
        <item x="290"/>
        <item x="148"/>
        <item x="380"/>
        <item x="93"/>
        <item x="295"/>
        <item x="147"/>
        <item x="287"/>
        <item x="13"/>
        <item x="249"/>
        <item x="404"/>
        <item x="492"/>
        <item x="467"/>
        <item x="210"/>
        <item x="320"/>
        <item x="280"/>
        <item x="441"/>
        <item x="4"/>
        <item x="591"/>
        <item x="611"/>
        <item x="255"/>
        <item x="267"/>
        <item x="23"/>
        <item x="393"/>
        <item x="229"/>
        <item x="261"/>
        <item x="366"/>
        <item x="394"/>
        <item x="547"/>
        <item x="545"/>
        <item x="500"/>
        <item x="20"/>
        <item x="576"/>
        <item x="29"/>
        <item x="399"/>
        <item x="21"/>
        <item x="440"/>
        <item x="225"/>
        <item x="452"/>
        <item x="474"/>
        <item x="123"/>
        <item x="428"/>
        <item x="420"/>
        <item x="324"/>
        <item x="38"/>
        <item x="469"/>
        <item x="614"/>
        <item x="24"/>
        <item x="259"/>
        <item x="364"/>
        <item x="251"/>
        <item x="50"/>
        <item x="381"/>
        <item x="121"/>
        <item x="444"/>
        <item x="115"/>
        <item x="590"/>
        <item x="209"/>
        <item x="228"/>
        <item x="204"/>
        <item x="454"/>
        <item x="150"/>
        <item x="284"/>
        <item x="377"/>
        <item x="501"/>
        <item x="395"/>
        <item x="568"/>
        <item x="56"/>
        <item x="253"/>
        <item x="170"/>
        <item x="552"/>
        <item x="34"/>
        <item x="456"/>
        <item x="73"/>
        <item x="205"/>
        <item x="213"/>
        <item x="299"/>
        <item x="85"/>
        <item x="234"/>
        <item x="91"/>
        <item x="607"/>
        <item x="256"/>
        <item x="606"/>
        <item x="125"/>
        <item x="167"/>
        <item x="371"/>
        <item x="207"/>
        <item x="449"/>
        <item x="260"/>
        <item x="157"/>
        <item x="416"/>
        <item x="86"/>
        <item x="107"/>
        <item x="208"/>
        <item x="414"/>
        <item x="355"/>
        <item x="215"/>
        <item x="105"/>
        <item x="554"/>
        <item x="529"/>
        <item x="135"/>
        <item x="573"/>
        <item x="336"/>
        <item x="288"/>
        <item x="574"/>
        <item x="10"/>
        <item x="110"/>
        <item x="153"/>
        <item x="44"/>
        <item x="348"/>
        <item x="351"/>
        <item x="442"/>
        <item x="160"/>
        <item x="200"/>
        <item x="505"/>
        <item x="132"/>
        <item x="379"/>
        <item x="329"/>
        <item x="585"/>
        <item x="487"/>
        <item x="166"/>
        <item x="475"/>
        <item x="317"/>
        <item x="202"/>
        <item x="555"/>
        <item x="496"/>
        <item x="550"/>
        <item x="400"/>
        <item x="514"/>
        <item x="219"/>
        <item x="340"/>
        <item x="292"/>
        <item x="566"/>
        <item x="553"/>
        <item x="235"/>
        <item x="401"/>
        <item x="144"/>
        <item x="244"/>
        <item x="387"/>
        <item x="402"/>
        <item x="224"/>
        <item x="390"/>
        <item x="300"/>
        <item x="459"/>
        <item x="289"/>
        <item x="372"/>
        <item x="122"/>
        <item x="310"/>
        <item x="569"/>
        <item x="65"/>
        <item x="384"/>
        <item x="409"/>
        <item x="484"/>
        <item x="159"/>
        <item x="522"/>
        <item x="66"/>
        <item x="388"/>
        <item x="339"/>
        <item x="516"/>
        <item x="2"/>
        <item x="468"/>
        <item x="226"/>
        <item x="61"/>
        <item x="374"/>
        <item x="151"/>
        <item x="471"/>
        <item x="76"/>
        <item x="252"/>
        <item x="352"/>
        <item x="11"/>
        <item x="134"/>
        <item x="322"/>
        <item x="479"/>
        <item x="120"/>
        <item x="84"/>
        <item x="628"/>
        <item x="188"/>
        <item x="600"/>
        <item x="190"/>
        <item x="625"/>
        <item x="77"/>
        <item x="81"/>
        <item x="173"/>
        <item x="365"/>
        <item x="406"/>
        <item x="18"/>
        <item x="36"/>
        <item x="19"/>
        <item x="629"/>
        <item x="482"/>
        <item x="603"/>
        <item x="480"/>
        <item x="95"/>
        <item x="42"/>
        <item x="17"/>
        <item x="587"/>
        <item x="31"/>
        <item x="64"/>
        <item x="278"/>
        <item x="560"/>
        <item x="111"/>
        <item x="617"/>
        <item x="397"/>
        <item x="265"/>
        <item x="48"/>
        <item x="438"/>
        <item x="427"/>
        <item x="266"/>
        <item x="100"/>
        <item x="99"/>
        <item x="273"/>
        <item x="356"/>
        <item x="478"/>
        <item x="542"/>
        <item x="97"/>
        <item x="429"/>
        <item x="181"/>
        <item x="313"/>
        <item x="562"/>
        <item x="360"/>
        <item x="626"/>
        <item x="534"/>
        <item x="337"/>
        <item x="45"/>
        <item x="435"/>
        <item x="149"/>
        <item x="72"/>
        <item x="184"/>
        <item x="60"/>
        <item x="557"/>
        <item x="196"/>
        <item x="618"/>
        <item x="353"/>
        <item x="16"/>
        <item x="431"/>
        <item x="548"/>
        <item x="407"/>
        <item x="556"/>
        <item x="506"/>
        <item x="195"/>
        <item x="592"/>
        <item x="138"/>
        <item x="624"/>
        <item x="426"/>
        <item x="567"/>
        <item x="242"/>
        <item x="376"/>
        <item x="537"/>
        <item x="40"/>
        <item x="448"/>
        <item x="302"/>
        <item x="396"/>
        <item x="49"/>
        <item x="272"/>
        <item x="192"/>
        <item x="583"/>
        <item x="223"/>
        <item x="142"/>
        <item x="521"/>
        <item x="497"/>
        <item x="187"/>
        <item x="357"/>
        <item x="382"/>
        <item x="117"/>
        <item x="236"/>
        <item x="622"/>
        <item x="55"/>
        <item x="199"/>
        <item x="264"/>
        <item x="1"/>
        <item x="375"/>
        <item x="588"/>
        <item x="613"/>
        <item x="306"/>
        <item x="619"/>
        <item x="424"/>
        <item x="423"/>
        <item x="385"/>
        <item x="203"/>
        <item x="539"/>
        <item x="80"/>
        <item x="362"/>
        <item x="392"/>
        <item x="126"/>
        <item x="9"/>
        <item x="346"/>
        <item x="47"/>
        <item x="512"/>
        <item x="319"/>
        <item x="383"/>
        <item x="528"/>
        <item x="465"/>
        <item x="276"/>
        <item x="175"/>
        <item x="165"/>
        <item x="422"/>
        <item x="63"/>
        <item x="140"/>
        <item x="58"/>
        <item x="237"/>
        <item t="default"/>
      </items>
    </pivotField>
    <pivotField compact="0" numFmtId="44" showAll="0">
      <items count="633">
        <item x="1"/>
        <item x="385"/>
        <item x="626"/>
        <item x="265"/>
        <item x="11"/>
        <item x="560"/>
        <item x="132"/>
        <item x="134"/>
        <item x="423"/>
        <item x="289"/>
        <item x="497"/>
        <item x="58"/>
        <item x="501"/>
        <item x="187"/>
        <item x="65"/>
        <item x="125"/>
        <item x="192"/>
        <item x="407"/>
        <item x="150"/>
        <item x="244"/>
        <item x="259"/>
        <item x="73"/>
        <item x="72"/>
        <item x="388"/>
        <item x="590"/>
        <item x="229"/>
        <item x="416"/>
        <item x="152"/>
        <item x="477"/>
        <item x="492"/>
        <item x="98"/>
        <item x="361"/>
        <item x="2"/>
        <item x="196"/>
        <item x="52"/>
        <item x="617"/>
        <item x="363"/>
        <item x="622"/>
        <item x="404"/>
        <item x="601"/>
        <item x="605"/>
        <item x="105"/>
        <item x="397"/>
        <item x="14"/>
        <item x="146"/>
        <item x="131"/>
        <item x="384"/>
        <item x="540"/>
        <item x="338"/>
        <item x="193"/>
        <item x="321"/>
        <item x="66"/>
        <item x="432"/>
        <item x="27"/>
        <item x="449"/>
        <item x="427"/>
        <item x="543"/>
        <item x="167"/>
        <item x="224"/>
        <item x="55"/>
        <item x="303"/>
        <item x="373"/>
        <item x="457"/>
        <item x="166"/>
        <item x="81"/>
        <item x="122"/>
        <item x="114"/>
        <item x="101"/>
        <item x="94"/>
        <item x="408"/>
        <item x="593"/>
        <item x="116"/>
        <item x="3"/>
        <item x="252"/>
        <item x="268"/>
        <item x="434"/>
        <item x="411"/>
        <item x="323"/>
        <item x="299"/>
        <item x="333"/>
        <item x="238"/>
        <item x="201"/>
        <item x="36"/>
        <item x="68"/>
        <item x="137"/>
        <item x="390"/>
        <item x="230"/>
        <item x="177"/>
        <item x="179"/>
        <item x="74"/>
        <item x="87"/>
        <item x="53"/>
        <item x="519"/>
        <item x="127"/>
        <item x="631"/>
        <item x="123"/>
        <item x="574"/>
        <item x="139"/>
        <item x="54"/>
        <item x="476"/>
        <item x="200"/>
        <item x="109"/>
        <item x="298"/>
        <item x="286"/>
        <item x="112"/>
        <item x="212"/>
        <item x="609"/>
        <item x="180"/>
        <item x="263"/>
        <item x="532"/>
        <item x="96"/>
        <item x="51"/>
        <item x="106"/>
        <item x="35"/>
        <item x="172"/>
        <item x="531"/>
        <item x="493"/>
        <item x="311"/>
        <item x="561"/>
        <item x="575"/>
        <item x="285"/>
        <item x="85"/>
        <item x="275"/>
        <item x="282"/>
        <item x="216"/>
        <item x="485"/>
        <item x="243"/>
        <item x="7"/>
        <item x="83"/>
        <item x="586"/>
        <item x="89"/>
        <item x="221"/>
        <item x="119"/>
        <item x="389"/>
        <item x="358"/>
        <item x="602"/>
        <item x="461"/>
        <item x="526"/>
        <item x="247"/>
        <item x="418"/>
        <item x="620"/>
        <item x="15"/>
        <item x="291"/>
        <item x="257"/>
        <item x="59"/>
        <item x="198"/>
        <item x="545"/>
        <item x="462"/>
        <item x="248"/>
        <item x="572"/>
        <item x="460"/>
        <item x="463"/>
        <item x="341"/>
        <item x="211"/>
        <item x="269"/>
        <item x="517"/>
        <item x="369"/>
        <item x="174"/>
        <item x="510"/>
        <item x="86"/>
        <item x="6"/>
        <item x="580"/>
        <item x="113"/>
        <item x="606"/>
        <item x="354"/>
        <item x="227"/>
        <item x="26"/>
        <item x="307"/>
        <item x="169"/>
        <item x="490"/>
        <item x="155"/>
        <item x="402"/>
        <item x="124"/>
        <item x="190"/>
        <item x="582"/>
        <item x="412"/>
        <item x="439"/>
        <item x="447"/>
        <item x="464"/>
        <item x="383"/>
        <item x="608"/>
        <item x="39"/>
        <item x="350"/>
        <item x="612"/>
        <item x="488"/>
        <item x="511"/>
        <item x="530"/>
        <item x="297"/>
        <item x="108"/>
        <item x="314"/>
        <item x="318"/>
        <item x="551"/>
        <item x="232"/>
        <item x="194"/>
        <item x="445"/>
        <item x="305"/>
        <item x="162"/>
        <item x="618"/>
        <item x="16"/>
        <item x="4"/>
        <item x="217"/>
        <item x="520"/>
        <item x="317"/>
        <item x="347"/>
        <item x="393"/>
        <item x="133"/>
        <item x="189"/>
        <item x="239"/>
        <item x="75"/>
        <item x="536"/>
        <item x="327"/>
        <item x="326"/>
        <item x="417"/>
        <item x="513"/>
        <item x="234"/>
        <item x="621"/>
        <item x="370"/>
        <item x="10"/>
        <item x="340"/>
        <item x="364"/>
        <item x="381"/>
        <item x="504"/>
        <item x="128"/>
        <item x="136"/>
        <item x="571"/>
        <item x="584"/>
        <item x="186"/>
        <item x="401"/>
        <item x="466"/>
        <item x="483"/>
        <item x="235"/>
        <item x="598"/>
        <item x="330"/>
        <item x="240"/>
        <item x="564"/>
        <item x="391"/>
        <item x="30"/>
        <item x="168"/>
        <item x="215"/>
        <item x="245"/>
        <item x="270"/>
        <item x="218"/>
        <item x="610"/>
        <item x="578"/>
        <item x="566"/>
        <item x="79"/>
        <item x="296"/>
        <item x="351"/>
        <item x="343"/>
        <item x="185"/>
        <item x="410"/>
        <item x="161"/>
        <item x="576"/>
        <item x="206"/>
        <item x="597"/>
        <item x="508"/>
        <item x="12"/>
        <item x="246"/>
        <item x="344"/>
        <item x="570"/>
        <item x="170"/>
        <item x="591"/>
        <item x="294"/>
        <item x="599"/>
        <item x="258"/>
        <item x="380"/>
        <item x="554"/>
        <item x="271"/>
        <item x="308"/>
        <item x="5"/>
        <item x="419"/>
        <item x="579"/>
        <item x="325"/>
        <item x="486"/>
        <item x="395"/>
        <item x="57"/>
        <item x="623"/>
        <item x="28"/>
        <item x="400"/>
        <item x="222"/>
        <item x="208"/>
        <item x="249"/>
        <item x="565"/>
        <item x="233"/>
        <item x="546"/>
        <item x="524"/>
        <item x="495"/>
        <item x="154"/>
        <item x="241"/>
        <item x="0"/>
        <item x="262"/>
        <item x="481"/>
        <item x="118"/>
        <item x="328"/>
        <item x="399"/>
        <item x="334"/>
        <item x="70"/>
        <item x="596"/>
        <item x="428"/>
        <item x="549"/>
        <item x="615"/>
        <item x="365"/>
        <item x="84"/>
        <item x="627"/>
        <item x="143"/>
        <item x="604"/>
        <item x="25"/>
        <item x="316"/>
        <item x="441"/>
        <item x="527"/>
        <item x="403"/>
        <item x="46"/>
        <item x="103"/>
        <item x="421"/>
        <item x="436"/>
        <item x="82"/>
        <item x="332"/>
        <item x="184"/>
        <item x="503"/>
        <item x="277"/>
        <item x="494"/>
        <item x="231"/>
        <item x="44"/>
        <item x="142"/>
        <item x="443"/>
        <item x="437"/>
        <item x="377"/>
        <item x="525"/>
        <item x="304"/>
        <item x="183"/>
        <item x="214"/>
        <item x="71"/>
        <item x="331"/>
        <item x="50"/>
        <item x="284"/>
        <item x="518"/>
        <item x="78"/>
        <item x="473"/>
        <item x="41"/>
        <item x="406"/>
        <item x="387"/>
        <item x="90"/>
        <item x="420"/>
        <item x="371"/>
        <item x="151"/>
        <item x="378"/>
        <item x="581"/>
        <item x="438"/>
        <item x="254"/>
        <item x="22"/>
        <item x="491"/>
        <item x="141"/>
        <item x="38"/>
        <item x="92"/>
        <item x="426"/>
        <item x="489"/>
        <item x="147"/>
        <item x="509"/>
        <item x="32"/>
        <item x="386"/>
        <item x="515"/>
        <item x="315"/>
        <item x="182"/>
        <item x="99"/>
        <item x="178"/>
        <item x="156"/>
        <item x="458"/>
        <item x="301"/>
        <item x="435"/>
        <item x="197"/>
        <item x="553"/>
        <item x="558"/>
        <item x="279"/>
        <item x="312"/>
        <item x="283"/>
        <item x="594"/>
        <item x="309"/>
        <item x="293"/>
        <item x="191"/>
        <item x="62"/>
        <item x="479"/>
        <item x="453"/>
        <item x="130"/>
        <item x="467"/>
        <item x="512"/>
        <item x="228"/>
        <item x="563"/>
        <item x="164"/>
        <item x="69"/>
        <item x="498"/>
        <item x="516"/>
        <item x="171"/>
        <item x="446"/>
        <item x="375"/>
        <item x="236"/>
        <item x="484"/>
        <item x="573"/>
        <item x="469"/>
        <item x="195"/>
        <item x="547"/>
        <item x="533"/>
        <item x="470"/>
        <item x="281"/>
        <item x="104"/>
        <item x="522"/>
        <item x="43"/>
        <item x="274"/>
        <item x="559"/>
        <item x="587"/>
        <item x="148"/>
        <item x="502"/>
        <item x="158"/>
        <item x="67"/>
        <item x="405"/>
        <item x="455"/>
        <item x="382"/>
        <item x="250"/>
        <item x="49"/>
        <item x="209"/>
        <item x="450"/>
        <item x="256"/>
        <item x="163"/>
        <item x="589"/>
        <item x="251"/>
        <item x="272"/>
        <item x="37"/>
        <item x="552"/>
        <item x="88"/>
        <item x="616"/>
        <item x="433"/>
        <item x="359"/>
        <item x="345"/>
        <item x="31"/>
        <item x="619"/>
        <item x="548"/>
        <item x="630"/>
        <item x="91"/>
        <item x="349"/>
        <item x="577"/>
        <item x="430"/>
        <item x="64"/>
        <item x="535"/>
        <item x="145"/>
        <item x="264"/>
        <item x="398"/>
        <item x="319"/>
        <item x="409"/>
        <item x="33"/>
        <item x="8"/>
        <item x="220"/>
        <item x="160"/>
        <item x="425"/>
        <item x="242"/>
        <item x="614"/>
        <item x="176"/>
        <item x="335"/>
        <item x="507"/>
        <item x="292"/>
        <item x="368"/>
        <item x="267"/>
        <item x="280"/>
        <item x="585"/>
        <item x="472"/>
        <item x="102"/>
        <item x="261"/>
        <item x="544"/>
        <item x="468"/>
        <item x="413"/>
        <item x="456"/>
        <item x="459"/>
        <item x="273"/>
        <item x="499"/>
        <item x="611"/>
        <item x="595"/>
        <item x="210"/>
        <item x="306"/>
        <item x="474"/>
        <item x="352"/>
        <item x="523"/>
        <item x="392"/>
        <item x="129"/>
        <item x="506"/>
        <item x="339"/>
        <item x="542"/>
        <item x="138"/>
        <item x="300"/>
        <item x="366"/>
        <item x="21"/>
        <item x="45"/>
        <item x="188"/>
        <item x="355"/>
        <item x="415"/>
        <item x="394"/>
        <item x="260"/>
        <item x="144"/>
        <item x="29"/>
        <item x="290"/>
        <item x="63"/>
        <item x="500"/>
        <item x="440"/>
        <item x="444"/>
        <item x="202"/>
        <item x="111"/>
        <item x="107"/>
        <item x="23"/>
        <item x="61"/>
        <item x="367"/>
        <item x="353"/>
        <item x="60"/>
        <item x="562"/>
        <item x="287"/>
        <item x="93"/>
        <item x="157"/>
        <item x="225"/>
        <item x="541"/>
        <item x="451"/>
        <item x="295"/>
        <item x="454"/>
        <item x="42"/>
        <item x="342"/>
        <item x="213"/>
        <item x="538"/>
        <item x="121"/>
        <item x="528"/>
        <item x="203"/>
        <item x="302"/>
        <item x="583"/>
        <item x="13"/>
        <item x="475"/>
        <item x="97"/>
        <item x="159"/>
        <item x="348"/>
        <item x="360"/>
        <item x="219"/>
        <item x="288"/>
        <item x="568"/>
        <item x="320"/>
        <item x="173"/>
        <item x="329"/>
        <item x="253"/>
        <item x="115"/>
        <item x="110"/>
        <item x="452"/>
        <item x="226"/>
        <item x="205"/>
        <item x="374"/>
        <item x="135"/>
        <item x="20"/>
        <item x="204"/>
        <item x="40"/>
        <item x="24"/>
        <item x="487"/>
        <item x="625"/>
        <item x="310"/>
        <item x="336"/>
        <item x="255"/>
        <item x="77"/>
        <item x="550"/>
        <item x="34"/>
        <item x="628"/>
        <item x="153"/>
        <item x="278"/>
        <item x="324"/>
        <item x="207"/>
        <item x="48"/>
        <item x="496"/>
        <item x="600"/>
        <item x="337"/>
        <item x="372"/>
        <item x="17"/>
        <item x="607"/>
        <item x="442"/>
        <item x="376"/>
        <item x="482"/>
        <item x="56"/>
        <item x="567"/>
        <item x="76"/>
        <item x="505"/>
        <item x="569"/>
        <item x="357"/>
        <item x="514"/>
        <item x="313"/>
        <item x="414"/>
        <item x="266"/>
        <item x="448"/>
        <item x="555"/>
        <item x="379"/>
        <item x="471"/>
        <item x="429"/>
        <item x="181"/>
        <item x="18"/>
        <item x="149"/>
        <item x="534"/>
        <item x="529"/>
        <item x="9"/>
        <item x="19"/>
        <item x="478"/>
        <item x="603"/>
        <item x="556"/>
        <item x="480"/>
        <item x="120"/>
        <item x="629"/>
        <item x="322"/>
        <item x="356"/>
        <item x="424"/>
        <item x="199"/>
        <item x="140"/>
        <item x="624"/>
        <item x="80"/>
        <item x="95"/>
        <item x="537"/>
        <item x="126"/>
        <item x="592"/>
        <item x="276"/>
        <item x="557"/>
        <item x="396"/>
        <item x="539"/>
        <item x="465"/>
        <item x="165"/>
        <item x="100"/>
        <item x="431"/>
        <item x="117"/>
        <item x="588"/>
        <item x="521"/>
        <item x="346"/>
        <item x="223"/>
        <item x="175"/>
        <item x="362"/>
        <item x="422"/>
        <item x="613"/>
        <item x="237"/>
        <item x="47"/>
        <item t="default"/>
      </items>
    </pivotField>
    <pivotField compact="0" numFmtId="44" showAll="0">
      <items count="633">
        <item x="1"/>
        <item x="385"/>
        <item x="11"/>
        <item x="626"/>
        <item x="132"/>
        <item x="265"/>
        <item x="289"/>
        <item x="501"/>
        <item x="560"/>
        <item x="134"/>
        <item x="150"/>
        <item x="125"/>
        <item x="259"/>
        <item x="152"/>
        <item x="477"/>
        <item x="361"/>
        <item x="65"/>
        <item x="146"/>
        <item x="98"/>
        <item x="338"/>
        <item x="540"/>
        <item x="73"/>
        <item x="432"/>
        <item x="116"/>
        <item x="229"/>
        <item x="52"/>
        <item x="131"/>
        <item x="114"/>
        <item x="323"/>
        <item x="177"/>
        <item x="298"/>
        <item x="631"/>
        <item x="193"/>
        <item x="112"/>
        <item x="180"/>
        <item x="286"/>
        <item x="54"/>
        <item x="230"/>
        <item x="96"/>
        <item x="172"/>
        <item x="493"/>
        <item x="109"/>
        <item x="519"/>
        <item x="532"/>
        <item x="127"/>
        <item x="263"/>
        <item x="106"/>
        <item x="27"/>
        <item x="492"/>
        <item x="244"/>
        <item x="531"/>
        <item x="434"/>
        <item x="575"/>
        <item x="590"/>
        <item x="51"/>
        <item x="476"/>
        <item x="586"/>
        <item x="282"/>
        <item x="83"/>
        <item x="389"/>
        <item x="311"/>
        <item x="119"/>
        <item x="89"/>
        <item x="7"/>
        <item x="87"/>
        <item x="243"/>
        <item x="247"/>
        <item x="221"/>
        <item x="139"/>
        <item x="418"/>
        <item x="605"/>
        <item x="461"/>
        <item x="602"/>
        <item x="373"/>
        <item x="620"/>
        <item x="601"/>
        <item x="572"/>
        <item x="291"/>
        <item x="543"/>
        <item x="609"/>
        <item x="53"/>
        <item x="404"/>
        <item x="14"/>
        <item x="517"/>
        <item x="341"/>
        <item x="354"/>
        <item x="460"/>
        <item x="526"/>
        <item x="416"/>
        <item x="211"/>
        <item x="408"/>
        <item x="463"/>
        <item x="490"/>
        <item x="257"/>
        <item x="363"/>
        <item x="321"/>
        <item x="174"/>
        <item x="26"/>
        <item x="113"/>
        <item x="582"/>
        <item x="3"/>
        <item x="94"/>
        <item x="179"/>
        <item x="124"/>
        <item x="412"/>
        <item x="169"/>
        <item x="108"/>
        <item x="464"/>
        <item x="593"/>
        <item x="285"/>
        <item x="305"/>
        <item x="551"/>
        <item x="201"/>
        <item x="6"/>
        <item x="137"/>
        <item x="445"/>
        <item x="101"/>
        <item x="248"/>
        <item x="333"/>
        <item x="358"/>
        <item x="388"/>
        <item x="439"/>
        <item x="608"/>
        <item x="462"/>
        <item x="217"/>
        <item x="347"/>
        <item x="307"/>
        <item x="318"/>
        <item x="232"/>
        <item x="59"/>
        <item x="297"/>
        <item x="303"/>
        <item x="326"/>
        <item x="39"/>
        <item x="268"/>
        <item x="411"/>
        <item x="621"/>
        <item x="457"/>
        <item x="238"/>
        <item x="511"/>
        <item x="369"/>
        <item x="128"/>
        <item x="350"/>
        <item x="488"/>
        <item x="466"/>
        <item x="330"/>
        <item x="485"/>
        <item x="391"/>
        <item x="133"/>
        <item x="194"/>
        <item x="35"/>
        <item x="74"/>
        <item x="212"/>
        <item x="561"/>
        <item x="245"/>
        <item x="239"/>
        <item x="327"/>
        <item x="227"/>
        <item x="584"/>
        <item x="314"/>
        <item x="370"/>
        <item x="597"/>
        <item x="15"/>
        <item x="68"/>
        <item x="598"/>
        <item x="344"/>
        <item x="216"/>
        <item x="571"/>
        <item x="570"/>
        <item x="240"/>
        <item x="186"/>
        <item x="2"/>
        <item x="513"/>
        <item x="296"/>
        <item x="508"/>
        <item x="580"/>
        <item x="483"/>
        <item x="275"/>
        <item x="407"/>
        <item x="449"/>
        <item x="269"/>
        <item x="79"/>
        <item x="198"/>
        <item x="447"/>
        <item x="497"/>
        <item x="5"/>
        <item x="258"/>
        <item x="12"/>
        <item x="28"/>
        <item x="105"/>
        <item x="410"/>
        <item x="579"/>
        <item x="75"/>
        <item x="161"/>
        <item x="384"/>
        <item x="520"/>
        <item x="565"/>
        <item x="123"/>
        <item x="222"/>
        <item x="57"/>
        <item x="155"/>
        <item x="510"/>
        <item x="218"/>
        <item x="72"/>
        <item x="168"/>
        <item x="308"/>
        <item x="486"/>
        <item x="578"/>
        <item x="162"/>
        <item x="536"/>
        <item x="495"/>
        <item x="546"/>
        <item x="599"/>
        <item x="167"/>
        <item x="417"/>
        <item x="270"/>
        <item x="206"/>
        <item x="612"/>
        <item x="233"/>
        <item x="481"/>
        <item x="530"/>
        <item x="189"/>
        <item x="0"/>
        <item x="192"/>
        <item x="299"/>
        <item x="545"/>
        <item x="423"/>
        <item x="334"/>
        <item x="617"/>
        <item x="66"/>
        <item x="166"/>
        <item x="271"/>
        <item x="118"/>
        <item x="627"/>
        <item x="524"/>
        <item x="187"/>
        <item x="224"/>
        <item x="604"/>
        <item x="403"/>
        <item x="136"/>
        <item x="82"/>
        <item x="397"/>
        <item x="85"/>
        <item x="436"/>
        <item x="504"/>
        <item x="30"/>
        <item x="4"/>
        <item x="103"/>
        <item x="122"/>
        <item x="564"/>
        <item x="574"/>
        <item x="294"/>
        <item x="610"/>
        <item x="231"/>
        <item x="277"/>
        <item x="200"/>
        <item x="343"/>
        <item x="443"/>
        <item x="185"/>
        <item x="262"/>
        <item x="304"/>
        <item x="46"/>
        <item x="419"/>
        <item x="196"/>
        <item x="596"/>
        <item x="606"/>
        <item x="390"/>
        <item x="325"/>
        <item x="86"/>
        <item x="393"/>
        <item x="71"/>
        <item x="364"/>
        <item x="25"/>
        <item x="81"/>
        <item x="252"/>
        <item x="437"/>
        <item x="246"/>
        <item x="381"/>
        <item x="581"/>
        <item x="241"/>
        <item x="623"/>
        <item x="332"/>
        <item x="576"/>
        <item x="316"/>
        <item x="380"/>
        <item x="378"/>
        <item x="591"/>
        <item x="254"/>
        <item x="214"/>
        <item x="503"/>
        <item x="525"/>
        <item x="491"/>
        <item x="328"/>
        <item x="143"/>
        <item x="234"/>
        <item x="70"/>
        <item x="154"/>
        <item x="183"/>
        <item x="615"/>
        <item x="249"/>
        <item x="473"/>
        <item x="421"/>
        <item x="36"/>
        <item x="331"/>
        <item x="549"/>
        <item x="178"/>
        <item x="90"/>
        <item x="156"/>
        <item x="402"/>
        <item x="182"/>
        <item x="141"/>
        <item x="458"/>
        <item x="215"/>
        <item x="509"/>
        <item x="317"/>
        <item x="527"/>
        <item x="518"/>
        <item x="10"/>
        <item x="293"/>
        <item x="399"/>
        <item x="315"/>
        <item x="41"/>
        <item x="395"/>
        <item x="130"/>
        <item x="489"/>
        <item x="441"/>
        <item x="594"/>
        <item x="494"/>
        <item x="32"/>
        <item x="428"/>
        <item x="386"/>
        <item x="279"/>
        <item x="351"/>
        <item x="92"/>
        <item x="235"/>
        <item x="401"/>
        <item x="191"/>
        <item x="170"/>
        <item x="554"/>
        <item x="190"/>
        <item x="22"/>
        <item x="301"/>
        <item x="78"/>
        <item x="563"/>
        <item x="208"/>
        <item x="566"/>
        <item x="498"/>
        <item x="515"/>
        <item x="69"/>
        <item x="309"/>
        <item x="558"/>
        <item x="171"/>
        <item x="197"/>
        <item x="62"/>
        <item x="312"/>
        <item x="446"/>
        <item x="400"/>
        <item x="283"/>
        <item x="147"/>
        <item x="377"/>
        <item x="622"/>
        <item x="453"/>
        <item x="420"/>
        <item x="164"/>
        <item x="284"/>
        <item x="470"/>
        <item x="427"/>
        <item x="38"/>
        <item x="43"/>
        <item x="158"/>
        <item x="502"/>
        <item x="44"/>
        <item x="533"/>
        <item x="274"/>
        <item x="467"/>
        <item x="371"/>
        <item x="104"/>
        <item x="618"/>
        <item x="616"/>
        <item x="84"/>
        <item x="250"/>
        <item x="559"/>
        <item x="16"/>
        <item x="365"/>
        <item x="589"/>
        <item x="163"/>
        <item x="55"/>
        <item x="37"/>
        <item x="450"/>
        <item x="50"/>
        <item x="88"/>
        <item x="405"/>
        <item x="228"/>
        <item x="387"/>
        <item x="67"/>
        <item x="547"/>
        <item x="349"/>
        <item x="469"/>
        <item x="148"/>
        <item x="433"/>
        <item x="455"/>
        <item x="630"/>
        <item x="430"/>
        <item x="345"/>
        <item x="151"/>
        <item x="553"/>
        <item x="145"/>
        <item x="577"/>
        <item x="406"/>
        <item x="398"/>
        <item x="359"/>
        <item x="33"/>
        <item x="573"/>
        <item x="535"/>
        <item x="220"/>
        <item x="251"/>
        <item x="209"/>
        <item x="184"/>
        <item x="438"/>
        <item x="281"/>
        <item x="8"/>
        <item x="368"/>
        <item x="479"/>
        <item x="516"/>
        <item x="102"/>
        <item x="425"/>
        <item x="256"/>
        <item x="552"/>
        <item x="484"/>
        <item x="544"/>
        <item x="176"/>
        <item x="507"/>
        <item x="335"/>
        <item x="472"/>
        <item x="91"/>
        <item x="522"/>
        <item x="595"/>
        <item x="413"/>
        <item x="435"/>
        <item x="267"/>
        <item x="614"/>
        <item x="280"/>
        <item x="499"/>
        <item x="261"/>
        <item x="523"/>
        <item x="587"/>
        <item x="142"/>
        <item x="129"/>
        <item x="611"/>
        <item x="426"/>
        <item x="210"/>
        <item x="160"/>
        <item x="409"/>
        <item x="474"/>
        <item x="456"/>
        <item x="31"/>
        <item x="585"/>
        <item x="64"/>
        <item x="292"/>
        <item x="99"/>
        <item x="195"/>
        <item x="415"/>
        <item x="366"/>
        <item x="21"/>
        <item x="290"/>
        <item x="394"/>
        <item x="459"/>
        <item x="468"/>
        <item x="29"/>
        <item x="367"/>
        <item x="58"/>
        <item x="500"/>
        <item x="23"/>
        <item x="440"/>
        <item x="383"/>
        <item x="548"/>
        <item x="260"/>
        <item x="287"/>
        <item x="355"/>
        <item x="444"/>
        <item x="541"/>
        <item x="93"/>
        <item x="352"/>
        <item x="49"/>
        <item x="236"/>
        <item x="451"/>
        <item x="272"/>
        <item x="295"/>
        <item x="300"/>
        <item x="375"/>
        <item x="273"/>
        <item x="342"/>
        <item x="107"/>
        <item x="225"/>
        <item x="538"/>
        <item x="144"/>
        <item x="382"/>
        <item x="202"/>
        <item x="242"/>
        <item x="454"/>
        <item x="157"/>
        <item x="188"/>
        <item x="121"/>
        <item x="542"/>
        <item x="13"/>
        <item x="213"/>
        <item x="61"/>
        <item x="320"/>
        <item x="111"/>
        <item x="264"/>
        <item x="45"/>
        <item x="619"/>
        <item x="506"/>
        <item x="452"/>
        <item x="568"/>
        <item x="339"/>
        <item x="115"/>
        <item x="138"/>
        <item x="475"/>
        <item x="253"/>
        <item x="20"/>
        <item x="348"/>
        <item x="288"/>
        <item x="562"/>
        <item x="60"/>
        <item x="512"/>
        <item x="24"/>
        <item x="353"/>
        <item x="204"/>
        <item x="205"/>
        <item x="329"/>
        <item x="159"/>
        <item x="110"/>
        <item x="255"/>
        <item x="135"/>
        <item x="306"/>
        <item x="226"/>
        <item x="173"/>
        <item x="487"/>
        <item x="336"/>
        <item x="97"/>
        <item x="34"/>
        <item x="324"/>
        <item x="219"/>
        <item x="550"/>
        <item x="360"/>
        <item x="310"/>
        <item x="340"/>
        <item x="207"/>
        <item x="319"/>
        <item x="153"/>
        <item x="625"/>
        <item x="374"/>
        <item x="302"/>
        <item x="77"/>
        <item x="496"/>
        <item x="583"/>
        <item x="628"/>
        <item x="607"/>
        <item x="372"/>
        <item x="278"/>
        <item x="42"/>
        <item x="600"/>
        <item x="56"/>
        <item x="48"/>
        <item x="442"/>
        <item x="40"/>
        <item x="17"/>
        <item x="203"/>
        <item x="505"/>
        <item x="414"/>
        <item x="337"/>
        <item x="514"/>
        <item x="569"/>
        <item x="482"/>
        <item x="76"/>
        <item x="379"/>
        <item x="555"/>
        <item x="529"/>
        <item x="471"/>
        <item x="266"/>
        <item x="313"/>
        <item x="528"/>
        <item x="376"/>
        <item x="18"/>
        <item x="567"/>
        <item x="429"/>
        <item x="181"/>
        <item x="19"/>
        <item x="448"/>
        <item x="149"/>
        <item x="534"/>
        <item x="603"/>
        <item x="478"/>
        <item x="357"/>
        <item x="120"/>
        <item x="480"/>
        <item x="322"/>
        <item x="629"/>
        <item x="556"/>
        <item x="356"/>
        <item x="392"/>
        <item x="63"/>
        <item x="95"/>
        <item x="9"/>
        <item x="624"/>
        <item x="537"/>
        <item x="199"/>
        <item x="424"/>
        <item x="592"/>
        <item x="557"/>
        <item x="80"/>
        <item x="126"/>
        <item x="396"/>
        <item x="100"/>
        <item x="539"/>
        <item x="431"/>
        <item x="140"/>
        <item x="276"/>
        <item x="117"/>
        <item x="521"/>
        <item x="588"/>
        <item x="465"/>
        <item x="165"/>
        <item x="223"/>
        <item x="346"/>
        <item x="362"/>
        <item x="175"/>
        <item x="613"/>
        <item x="422"/>
        <item x="47"/>
        <item x="237"/>
        <item t="default"/>
      </items>
    </pivotField>
    <pivotField compact="0" showAll="0">
      <items count="633">
        <item x="1"/>
        <item x="132"/>
        <item x="11"/>
        <item x="116"/>
        <item x="501"/>
        <item x="626"/>
        <item x="385"/>
        <item x="265"/>
        <item x="152"/>
        <item x="177"/>
        <item x="289"/>
        <item x="477"/>
        <item x="150"/>
        <item x="298"/>
        <item x="560"/>
        <item x="259"/>
        <item x="134"/>
        <item x="338"/>
        <item x="146"/>
        <item x="125"/>
        <item x="323"/>
        <item x="361"/>
        <item x="540"/>
        <item x="432"/>
        <item x="98"/>
        <item x="114"/>
        <item x="65"/>
        <item x="112"/>
        <item x="131"/>
        <item x="52"/>
        <item x="73"/>
        <item x="229"/>
        <item x="631"/>
        <item x="193"/>
        <item x="244"/>
        <item x="590"/>
        <item x="492"/>
        <item x="230"/>
        <item x="27"/>
        <item x="286"/>
        <item x="605"/>
        <item x="363"/>
        <item x="601"/>
        <item x="416"/>
        <item x="404"/>
        <item x="54"/>
        <item x="14"/>
        <item x="388"/>
        <item x="497"/>
        <item x="434"/>
        <item x="423"/>
        <item x="407"/>
        <item x="373"/>
        <item x="543"/>
        <item x="321"/>
        <item x="187"/>
        <item x="180"/>
        <item x="192"/>
        <item x="72"/>
        <item x="2"/>
        <item x="105"/>
        <item x="519"/>
        <item x="127"/>
        <item x="408"/>
        <item x="617"/>
        <item x="384"/>
        <item x="94"/>
        <item x="303"/>
        <item x="196"/>
        <item x="397"/>
        <item x="3"/>
        <item x="593"/>
        <item x="449"/>
        <item x="457"/>
        <item x="101"/>
        <item x="87"/>
        <item x="66"/>
        <item x="58"/>
        <item x="167"/>
        <item x="109"/>
        <item x="201"/>
        <item x="622"/>
        <item x="268"/>
        <item x="411"/>
        <item x="427"/>
        <item x="333"/>
        <item x="224"/>
        <item x="53"/>
        <item x="137"/>
        <item x="139"/>
        <item x="166"/>
        <item x="238"/>
        <item x="476"/>
        <item x="122"/>
        <item x="81"/>
        <item x="179"/>
        <item x="74"/>
        <item x="252"/>
        <item x="68"/>
        <item x="55"/>
        <item x="299"/>
        <item x="36"/>
        <item x="390"/>
        <item x="123"/>
        <item x="574"/>
        <item x="263"/>
        <item x="609"/>
        <item x="200"/>
        <item x="532"/>
        <item x="212"/>
        <item x="96"/>
        <item x="35"/>
        <item x="85"/>
        <item x="561"/>
        <item x="275"/>
        <item x="383"/>
        <item x="216"/>
        <item x="485"/>
        <item x="285"/>
        <item x="51"/>
        <item x="545"/>
        <item x="106"/>
        <item x="190"/>
        <item x="402"/>
        <item x="86"/>
        <item x="16"/>
        <item x="618"/>
        <item x="15"/>
        <item x="606"/>
        <item x="198"/>
        <item x="531"/>
        <item x="358"/>
        <item x="510"/>
        <item x="269"/>
        <item x="317"/>
        <item x="155"/>
        <item x="311"/>
        <item x="340"/>
        <item x="401"/>
        <item x="235"/>
        <item x="59"/>
        <item x="10"/>
        <item x="580"/>
        <item x="234"/>
        <item x="612"/>
        <item x="566"/>
        <item x="512"/>
        <item x="530"/>
        <item x="462"/>
        <item x="215"/>
        <item x="4"/>
        <item x="393"/>
        <item x="351"/>
        <item x="381"/>
        <item x="364"/>
        <item x="142"/>
        <item x="227"/>
        <item x="248"/>
        <item x="369"/>
        <item x="184"/>
        <item x="526"/>
        <item x="400"/>
        <item x="170"/>
        <item x="504"/>
        <item x="365"/>
        <item x="554"/>
        <item x="162"/>
        <item x="84"/>
        <item x="426"/>
        <item x="189"/>
        <item x="375"/>
        <item x="319"/>
        <item x="447"/>
        <item x="136"/>
        <item x="208"/>
        <item x="236"/>
        <item x="576"/>
        <item x="63"/>
        <item x="564"/>
        <item x="257"/>
        <item x="520"/>
        <item x="395"/>
        <item x="30"/>
        <item x="536"/>
        <item x="610"/>
        <item x="417"/>
        <item x="435"/>
        <item x="382"/>
        <item x="438"/>
        <item x="406"/>
        <item x="185"/>
        <item x="591"/>
        <item x="619"/>
        <item x="99"/>
        <item x="75"/>
        <item x="307"/>
        <item x="195"/>
        <item x="151"/>
        <item x="264"/>
        <item x="380"/>
        <item x="49"/>
        <item x="314"/>
        <item x="246"/>
        <item x="272"/>
        <item x="44"/>
        <item x="343"/>
        <item x="282"/>
        <item x="387"/>
        <item x="392"/>
        <item x="249"/>
        <item x="575"/>
        <item x="350"/>
        <item x="428"/>
        <item x="399"/>
        <item x="6"/>
        <item x="623"/>
        <item x="306"/>
        <item x="479"/>
        <item x="528"/>
        <item x="270"/>
        <item x="548"/>
        <item x="221"/>
        <item x="488"/>
        <item x="325"/>
        <item x="377"/>
        <item x="168"/>
        <item x="553"/>
        <item x="419"/>
        <item x="294"/>
        <item x="39"/>
        <item x="371"/>
        <item x="242"/>
        <item x="516"/>
        <item x="154"/>
        <item x="284"/>
        <item x="587"/>
        <item x="441"/>
        <item x="463"/>
        <item x="602"/>
        <item x="578"/>
        <item x="50"/>
        <item x="218"/>
        <item x="484"/>
        <item x="513"/>
        <item x="549"/>
        <item x="243"/>
        <item x="70"/>
        <item x="511"/>
        <item x="460"/>
        <item x="522"/>
        <item x="211"/>
        <item x="194"/>
        <item x="31"/>
        <item x="527"/>
        <item x="206"/>
        <item x="420"/>
        <item x="241"/>
        <item x="64"/>
        <item x="439"/>
        <item x="203"/>
        <item x="615"/>
        <item x="483"/>
        <item x="38"/>
        <item x="506"/>
        <item x="461"/>
        <item x="7"/>
        <item x="494"/>
        <item x="138"/>
        <item x="573"/>
        <item x="169"/>
        <item x="174"/>
        <item x="297"/>
        <item x="186"/>
        <item x="113"/>
        <item x="143"/>
        <item x="140"/>
        <item x="608"/>
        <item x="273"/>
        <item x="271"/>
        <item x="571"/>
        <item x="620"/>
        <item x="228"/>
        <item x="421"/>
        <item x="147"/>
        <item x="161"/>
        <item x="409"/>
        <item x="291"/>
        <item x="370"/>
        <item x="542"/>
        <item x="239"/>
        <item x="89"/>
        <item x="262"/>
        <item x="45"/>
        <item x="598"/>
        <item x="353"/>
        <item x="583"/>
        <item x="316"/>
        <item x="172"/>
        <item x="327"/>
        <item x="302"/>
        <item x="410"/>
        <item x="60"/>
        <item x="318"/>
        <item x="133"/>
        <item x="596"/>
        <item x="468"/>
        <item x="240"/>
        <item x="25"/>
        <item x="469"/>
        <item x="256"/>
        <item x="599"/>
        <item x="467"/>
        <item x="79"/>
        <item x="124"/>
        <item x="562"/>
        <item x="232"/>
        <item x="41"/>
        <item x="352"/>
        <item x="119"/>
        <item x="292"/>
        <item x="552"/>
        <item x="78"/>
        <item x="160"/>
        <item x="9"/>
        <item x="91"/>
        <item x="459"/>
        <item x="209"/>
        <item x="276"/>
        <item x="584"/>
        <item x="40"/>
        <item x="412"/>
        <item x="26"/>
        <item x="111"/>
        <item x="547"/>
        <item x="22"/>
        <item x="12"/>
        <item x="585"/>
        <item x="339"/>
        <item x="188"/>
        <item x="518"/>
        <item x="83"/>
        <item x="251"/>
        <item x="524"/>
        <item x="503"/>
        <item x="418"/>
        <item x="360"/>
        <item x="97"/>
        <item x="515"/>
        <item x="357"/>
        <item x="296"/>
        <item x="308"/>
        <item x="300"/>
        <item x="283"/>
        <item x="42"/>
        <item x="197"/>
        <item x="61"/>
        <item x="183"/>
        <item x="465"/>
        <item x="453"/>
        <item x="165"/>
        <item x="341"/>
        <item x="148"/>
        <item x="92"/>
        <item x="144"/>
        <item x="331"/>
        <item x="582"/>
        <item x="312"/>
        <item x="525"/>
        <item x="455"/>
        <item x="126"/>
        <item x="456"/>
        <item x="376"/>
        <item x="164"/>
        <item x="328"/>
        <item x="46"/>
        <item x="486"/>
        <item x="614"/>
        <item x="67"/>
        <item x="424"/>
        <item x="489"/>
        <item x="464"/>
        <item x="567"/>
        <item x="332"/>
        <item x="448"/>
        <item x="558"/>
        <item x="80"/>
        <item x="32"/>
        <item x="202"/>
        <item x="62"/>
        <item x="490"/>
        <item x="473"/>
        <item x="386"/>
        <item x="173"/>
        <item x="337"/>
        <item x="237"/>
        <item x="247"/>
        <item x="355"/>
        <item x="281"/>
        <item x="214"/>
        <item x="301"/>
        <item x="233"/>
        <item x="199"/>
        <item x="559"/>
        <item x="118"/>
        <item x="260"/>
        <item x="405"/>
        <item x="359"/>
        <item x="159"/>
        <item x="90"/>
        <item x="175"/>
        <item x="57"/>
        <item x="48"/>
        <item x="508"/>
        <item x="437"/>
        <item x="625"/>
        <item x="267"/>
        <item x="107"/>
        <item x="226"/>
        <item x="258"/>
        <item x="535"/>
        <item x="374"/>
        <item x="261"/>
        <item x="278"/>
        <item x="77"/>
        <item x="309"/>
        <item x="104"/>
        <item x="533"/>
        <item x="280"/>
        <item x="474"/>
        <item x="313"/>
        <item x="219"/>
        <item x="628"/>
        <item x="315"/>
        <item x="556"/>
        <item x="475"/>
        <item x="157"/>
        <item x="335"/>
        <item x="611"/>
        <item x="17"/>
        <item x="600"/>
        <item x="539"/>
        <item x="141"/>
        <item x="348"/>
        <item x="149"/>
        <item x="345"/>
        <item x="546"/>
        <item x="181"/>
        <item x="429"/>
        <item x="210"/>
        <item x="310"/>
        <item x="509"/>
        <item x="329"/>
        <item x="577"/>
        <item x="176"/>
        <item x="534"/>
        <item x="266"/>
        <item x="444"/>
        <item x="217"/>
        <item x="422"/>
        <item x="425"/>
        <item x="103"/>
        <item x="572"/>
        <item x="579"/>
        <item x="128"/>
        <item x="213"/>
        <item x="288"/>
        <item x="110"/>
        <item x="346"/>
        <item x="222"/>
        <item x="279"/>
        <item x="21"/>
        <item x="466"/>
        <item x="5"/>
        <item x="482"/>
        <item x="537"/>
        <item x="450"/>
        <item x="250"/>
        <item x="624"/>
        <item x="366"/>
        <item x="274"/>
        <item x="347"/>
        <item x="8"/>
        <item x="454"/>
        <item x="433"/>
        <item x="495"/>
        <item x="29"/>
        <item x="517"/>
        <item x="487"/>
        <item x="394"/>
        <item x="550"/>
        <item x="326"/>
        <item x="586"/>
        <item x="507"/>
        <item x="440"/>
        <item x="163"/>
        <item x="478"/>
        <item x="604"/>
        <item x="413"/>
        <item x="245"/>
        <item x="499"/>
        <item x="135"/>
        <item x="0"/>
        <item x="551"/>
        <item x="389"/>
        <item x="500"/>
        <item x="445"/>
        <item x="372"/>
        <item x="76"/>
        <item x="446"/>
        <item x="589"/>
        <item x="592"/>
        <item x="191"/>
        <item x="430"/>
        <item x="121"/>
        <item x="277"/>
        <item x="630"/>
        <item x="496"/>
        <item x="472"/>
        <item x="37"/>
        <item x="18"/>
        <item x="23"/>
        <item x="336"/>
        <item x="568"/>
        <item x="481"/>
        <item x="253"/>
        <item x="621"/>
        <item x="153"/>
        <item x="225"/>
        <item x="436"/>
        <item x="43"/>
        <item x="182"/>
        <item x="588"/>
        <item x="396"/>
        <item x="470"/>
        <item x="398"/>
        <item x="565"/>
        <item x="205"/>
        <item x="502"/>
        <item x="71"/>
        <item x="334"/>
        <item x="594"/>
        <item x="108"/>
        <item x="69"/>
        <item x="471"/>
        <item x="570"/>
        <item x="354"/>
        <item x="356"/>
        <item x="569"/>
        <item x="290"/>
        <item x="117"/>
        <item x="19"/>
        <item x="415"/>
        <item x="145"/>
        <item x="603"/>
        <item x="33"/>
        <item x="627"/>
        <item x="88"/>
        <item x="493"/>
        <item x="443"/>
        <item x="349"/>
        <item x="480"/>
        <item x="28"/>
        <item x="115"/>
        <item x="458"/>
        <item x="597"/>
        <item x="82"/>
        <item x="220"/>
        <item x="287"/>
        <item x="523"/>
        <item x="403"/>
        <item x="204"/>
        <item x="629"/>
        <item x="330"/>
        <item x="442"/>
        <item x="362"/>
        <item x="231"/>
        <item x="171"/>
        <item x="563"/>
        <item x="93"/>
        <item x="557"/>
        <item x="207"/>
        <item x="34"/>
        <item x="514"/>
        <item x="158"/>
        <item x="498"/>
        <item x="304"/>
        <item x="120"/>
        <item x="295"/>
        <item x="505"/>
        <item x="368"/>
        <item x="344"/>
        <item x="129"/>
        <item x="521"/>
        <item x="555"/>
        <item x="322"/>
        <item x="378"/>
        <item x="24"/>
        <item x="544"/>
        <item x="452"/>
        <item x="156"/>
        <item x="391"/>
        <item x="595"/>
        <item x="379"/>
        <item x="367"/>
        <item x="607"/>
        <item x="95"/>
        <item x="178"/>
        <item x="541"/>
        <item x="538"/>
        <item x="13"/>
        <item x="491"/>
        <item x="451"/>
        <item x="342"/>
        <item x="102"/>
        <item x="254"/>
        <item x="320"/>
        <item x="20"/>
        <item x="414"/>
        <item x="616"/>
        <item x="431"/>
        <item x="130"/>
        <item x="223"/>
        <item x="56"/>
        <item x="324"/>
        <item x="293"/>
        <item x="305"/>
        <item x="581"/>
        <item x="613"/>
        <item x="529"/>
        <item x="255"/>
        <item x="100"/>
        <item x="47"/>
        <item t="default"/>
      </items>
    </pivotField>
    <pivotField compact="0" defaultSubtotal="0" showAll="0">
      <items count="5">
        <item x="0"/>
        <item x="4"/>
        <item x="1"/>
        <item x="2"/>
        <item x="3"/>
      </items>
    </pivotField>
  </pivotFields>
  <rowFields count="2">
    <field x="15"/>
    <field x="16"/>
  </rowFields>
  <rowItems count="638">
    <i>
      <x/>
    </i>
    <i r="1">
      <x v="60"/>
    </i>
    <i r="1">
      <x v="13"/>
    </i>
    <i r="1">
      <x v="23"/>
    </i>
    <i r="1">
      <x v="82"/>
    </i>
    <i r="1">
      <x v="84"/>
    </i>
    <i r="1">
      <x v="72"/>
    </i>
    <i r="1">
      <x v="41"/>
    </i>
    <i r="1">
      <x v="68"/>
    </i>
    <i r="1">
      <x v="50"/>
    </i>
    <i r="1">
      <x v="81"/>
    </i>
    <i r="1">
      <x v="63"/>
    </i>
    <i r="1">
      <x v="6"/>
    </i>
    <i r="1">
      <x v="10"/>
    </i>
    <i r="1">
      <x v="56"/>
    </i>
    <i r="1">
      <x v="44"/>
    </i>
    <i r="1">
      <x v="53"/>
    </i>
    <i r="1">
      <x v="59"/>
    </i>
    <i r="1">
      <x v="86"/>
    </i>
    <i r="1">
      <x v="75"/>
    </i>
    <i r="1">
      <x v="26"/>
    </i>
    <i r="1">
      <x v="12"/>
    </i>
    <i r="1">
      <x v="33"/>
    </i>
    <i r="1">
      <x v="83"/>
    </i>
    <i r="1">
      <x v="49"/>
    </i>
    <i r="1">
      <x v="79"/>
    </i>
    <i r="1">
      <x v="32"/>
    </i>
    <i r="1">
      <x v="40"/>
    </i>
    <i r="1">
      <x v="14"/>
    </i>
    <i r="1">
      <x v="78"/>
    </i>
    <i r="1">
      <x v="4"/>
    </i>
    <i r="1">
      <x v="80"/>
    </i>
    <i r="1">
      <x v="70"/>
    </i>
    <i r="1">
      <x v="48"/>
    </i>
    <i r="1">
      <x v="29"/>
    </i>
    <i r="1">
      <x v="57"/>
    </i>
    <i r="1">
      <x v="76"/>
    </i>
    <i r="1">
      <x v="18"/>
    </i>
    <i r="1">
      <x v="5"/>
    </i>
    <i r="1">
      <x v="67"/>
    </i>
    <i r="1">
      <x v="58"/>
    </i>
    <i r="1">
      <x v="65"/>
    </i>
    <i r="1">
      <x v="54"/>
    </i>
    <i r="1">
      <x v="9"/>
    </i>
    <i r="1">
      <x v="64"/>
    </i>
    <i r="1">
      <x v="22"/>
    </i>
    <i r="1">
      <x v="39"/>
    </i>
    <i r="1">
      <x v="36"/>
    </i>
    <i r="1">
      <x v="3"/>
    </i>
    <i r="1">
      <x v="1"/>
    </i>
    <i r="1">
      <x v="19"/>
    </i>
    <i r="1">
      <x v="28"/>
    </i>
    <i r="1">
      <x v="37"/>
    </i>
    <i r="1">
      <x v="16"/>
    </i>
    <i r="1">
      <x v="46"/>
    </i>
    <i r="1">
      <x v="20"/>
    </i>
    <i r="1">
      <x v="77"/>
    </i>
    <i r="1">
      <x v="69"/>
    </i>
    <i r="1">
      <x v="21"/>
    </i>
    <i r="1">
      <x v="52"/>
    </i>
    <i r="1">
      <x v="85"/>
    </i>
    <i r="1">
      <x v="11"/>
    </i>
    <i r="1">
      <x v="31"/>
    </i>
    <i r="1">
      <x v="8"/>
    </i>
    <i r="1">
      <x v="7"/>
    </i>
    <i r="1">
      <x v="35"/>
    </i>
    <i r="1">
      <x v="25"/>
    </i>
    <i r="1">
      <x v="34"/>
    </i>
    <i r="1">
      <x v="71"/>
    </i>
    <i r="1">
      <x v="17"/>
    </i>
    <i r="1">
      <x v="2"/>
    </i>
    <i r="1">
      <x v="47"/>
    </i>
    <i r="1">
      <x v="55"/>
    </i>
    <i r="1">
      <x v="74"/>
    </i>
    <i r="1">
      <x v="43"/>
    </i>
    <i r="1">
      <x v="15"/>
    </i>
    <i r="1">
      <x v="38"/>
    </i>
    <i r="1">
      <x v="62"/>
    </i>
    <i r="1">
      <x v="73"/>
    </i>
    <i r="1">
      <x v="66"/>
    </i>
    <i r="1">
      <x v="42"/>
    </i>
    <i r="1">
      <x v="24"/>
    </i>
    <i r="1">
      <x/>
    </i>
    <i r="1">
      <x v="45"/>
    </i>
    <i r="1">
      <x v="27"/>
    </i>
    <i r="1">
      <x v="51"/>
    </i>
    <i r="1">
      <x v="30"/>
    </i>
    <i r="1">
      <x v="87"/>
    </i>
    <i r="1">
      <x v="61"/>
    </i>
    <i>
      <x v="1"/>
    </i>
    <i r="1">
      <x v="171"/>
    </i>
    <i r="1">
      <x v="117"/>
    </i>
    <i r="1">
      <x v="99"/>
    </i>
    <i r="1">
      <x v="114"/>
    </i>
    <i r="1">
      <x v="160"/>
    </i>
    <i r="1">
      <x v="100"/>
    </i>
    <i r="1">
      <x v="128"/>
    </i>
    <i r="1">
      <x v="97"/>
    </i>
    <i r="1">
      <x v="158"/>
    </i>
    <i r="1">
      <x v="90"/>
    </i>
    <i r="1">
      <x v="145"/>
    </i>
    <i r="1">
      <x v="151"/>
    </i>
    <i r="1">
      <x v="143"/>
    </i>
    <i r="1">
      <x v="95"/>
    </i>
    <i r="1">
      <x v="124"/>
    </i>
    <i r="1">
      <x v="108"/>
    </i>
    <i r="1">
      <x v="174"/>
    </i>
    <i r="1">
      <x v="120"/>
    </i>
    <i r="1">
      <x v="172"/>
    </i>
    <i r="1">
      <x v="105"/>
    </i>
    <i r="1">
      <x v="111"/>
    </i>
    <i r="1">
      <x v="116"/>
    </i>
    <i r="1">
      <x v="147"/>
    </i>
    <i r="1">
      <x v="123"/>
    </i>
    <i r="1">
      <x v="137"/>
    </i>
    <i r="1">
      <x v="152"/>
    </i>
    <i r="1">
      <x v="166"/>
    </i>
    <i r="1">
      <x v="125"/>
    </i>
    <i r="1">
      <x v="157"/>
    </i>
    <i r="1">
      <x v="110"/>
    </i>
    <i r="1">
      <x v="118"/>
    </i>
    <i r="1">
      <x v="140"/>
    </i>
    <i r="1">
      <x v="175"/>
    </i>
    <i r="1">
      <x v="139"/>
    </i>
    <i r="1">
      <x v="98"/>
    </i>
    <i r="1">
      <x v="91"/>
    </i>
    <i r="1">
      <x v="104"/>
    </i>
    <i r="1">
      <x v="163"/>
    </i>
    <i r="1">
      <x v="162"/>
    </i>
    <i r="1">
      <x v="94"/>
    </i>
    <i r="1">
      <x v="127"/>
    </i>
    <i r="1">
      <x v="148"/>
    </i>
    <i r="1">
      <x v="121"/>
    </i>
    <i r="1">
      <x v="156"/>
    </i>
    <i r="1">
      <x v="159"/>
    </i>
    <i r="1">
      <x v="165"/>
    </i>
    <i r="1">
      <x v="133"/>
    </i>
    <i r="1">
      <x v="169"/>
    </i>
    <i r="1">
      <x v="149"/>
    </i>
    <i r="1">
      <x v="113"/>
    </i>
    <i r="1">
      <x v="155"/>
    </i>
    <i r="1">
      <x v="132"/>
    </i>
    <i r="1">
      <x v="142"/>
    </i>
    <i r="1">
      <x v="115"/>
    </i>
    <i r="1">
      <x v="119"/>
    </i>
    <i r="1">
      <x v="129"/>
    </i>
    <i r="1">
      <x v="168"/>
    </i>
    <i r="1">
      <x v="138"/>
    </i>
    <i r="1">
      <x v="167"/>
    </i>
    <i r="1">
      <x v="88"/>
    </i>
    <i r="1">
      <x v="176"/>
    </i>
    <i r="1">
      <x v="154"/>
    </i>
    <i r="1">
      <x v="134"/>
    </i>
    <i r="1">
      <x v="103"/>
    </i>
    <i r="1">
      <x v="161"/>
    </i>
    <i r="1">
      <x v="92"/>
    </i>
    <i r="1">
      <x v="102"/>
    </i>
    <i r="1">
      <x v="122"/>
    </i>
    <i r="1">
      <x v="107"/>
    </i>
    <i r="1">
      <x v="112"/>
    </i>
    <i r="1">
      <x v="164"/>
    </i>
    <i r="1">
      <x v="153"/>
    </i>
    <i r="1">
      <x v="131"/>
    </i>
    <i r="1">
      <x v="170"/>
    </i>
    <i r="1">
      <x v="109"/>
    </i>
    <i r="1">
      <x v="144"/>
    </i>
    <i r="1">
      <x v="130"/>
    </i>
    <i r="1">
      <x v="89"/>
    </i>
    <i r="1">
      <x v="93"/>
    </i>
    <i r="1">
      <x v="101"/>
    </i>
    <i r="1">
      <x v="136"/>
    </i>
    <i r="1">
      <x v="146"/>
    </i>
    <i r="1">
      <x v="106"/>
    </i>
    <i r="1">
      <x v="135"/>
    </i>
    <i r="1">
      <x v="141"/>
    </i>
    <i r="1">
      <x v="177"/>
    </i>
    <i r="1">
      <x v="150"/>
    </i>
    <i r="1">
      <x v="126"/>
    </i>
    <i r="1">
      <x v="173"/>
    </i>
    <i r="1">
      <x v="96"/>
    </i>
    <i>
      <x v="2"/>
    </i>
    <i r="1">
      <x v="248"/>
    </i>
    <i r="1">
      <x v="207"/>
    </i>
    <i r="1">
      <x v="241"/>
    </i>
    <i r="1">
      <x v="223"/>
    </i>
    <i r="1">
      <x v="226"/>
    </i>
    <i r="1">
      <x v="185"/>
    </i>
    <i r="1">
      <x v="247"/>
    </i>
    <i r="1">
      <x v="236"/>
    </i>
    <i r="1">
      <x v="180"/>
    </i>
    <i r="1">
      <x v="179"/>
    </i>
    <i r="1">
      <x v="209"/>
    </i>
    <i r="1">
      <x v="201"/>
    </i>
    <i r="1">
      <x v="199"/>
    </i>
    <i r="1">
      <x v="197"/>
    </i>
    <i r="1">
      <x v="214"/>
    </i>
    <i r="1">
      <x v="246"/>
    </i>
    <i r="1">
      <x v="232"/>
    </i>
    <i r="1">
      <x v="237"/>
    </i>
    <i r="1">
      <x v="252"/>
    </i>
    <i r="1">
      <x v="229"/>
    </i>
    <i r="1">
      <x v="250"/>
    </i>
    <i r="1">
      <x v="200"/>
    </i>
    <i r="1">
      <x v="205"/>
    </i>
    <i r="1">
      <x v="239"/>
    </i>
    <i r="1">
      <x v="218"/>
    </i>
    <i r="1">
      <x v="255"/>
    </i>
    <i r="1">
      <x v="193"/>
    </i>
    <i r="1">
      <x v="225"/>
    </i>
    <i r="1">
      <x v="183"/>
    </i>
    <i r="1">
      <x v="217"/>
    </i>
    <i r="1">
      <x v="244"/>
    </i>
    <i r="1">
      <x v="251"/>
    </i>
    <i r="1">
      <x v="188"/>
    </i>
    <i r="1">
      <x v="221"/>
    </i>
    <i r="1">
      <x v="203"/>
    </i>
    <i r="1">
      <x v="242"/>
    </i>
    <i r="1">
      <x v="224"/>
    </i>
    <i r="1">
      <x v="257"/>
    </i>
    <i r="1">
      <x v="253"/>
    </i>
    <i r="1">
      <x v="243"/>
    </i>
    <i r="1">
      <x v="235"/>
    </i>
    <i r="1">
      <x v="227"/>
    </i>
    <i r="1">
      <x v="181"/>
    </i>
    <i r="1">
      <x v="213"/>
    </i>
    <i r="1">
      <x v="228"/>
    </i>
    <i r="1">
      <x v="233"/>
    </i>
    <i r="1">
      <x v="204"/>
    </i>
    <i r="1">
      <x v="258"/>
    </i>
    <i r="1">
      <x v="182"/>
    </i>
    <i r="1">
      <x v="220"/>
    </i>
    <i r="1">
      <x v="189"/>
    </i>
    <i r="1">
      <x v="249"/>
    </i>
    <i r="1">
      <x v="208"/>
    </i>
    <i r="1">
      <x v="211"/>
    </i>
    <i r="1">
      <x v="192"/>
    </i>
    <i r="1">
      <x v="186"/>
    </i>
    <i r="1">
      <x v="191"/>
    </i>
    <i r="1">
      <x v="231"/>
    </i>
    <i r="1">
      <x v="254"/>
    </i>
    <i r="1">
      <x v="219"/>
    </i>
    <i r="1">
      <x v="215"/>
    </i>
    <i r="1">
      <x v="184"/>
    </i>
    <i r="1">
      <x v="216"/>
    </i>
    <i r="1">
      <x v="210"/>
    </i>
    <i r="1">
      <x v="212"/>
    </i>
    <i r="1">
      <x v="238"/>
    </i>
    <i r="1">
      <x v="230"/>
    </i>
    <i r="1">
      <x v="256"/>
    </i>
    <i r="1">
      <x v="240"/>
    </i>
    <i r="1">
      <x v="222"/>
    </i>
    <i r="1">
      <x v="245"/>
    </i>
    <i r="1">
      <x v="195"/>
    </i>
    <i r="1">
      <x v="202"/>
    </i>
    <i r="1">
      <x v="187"/>
    </i>
    <i r="1">
      <x v="194"/>
    </i>
    <i r="1">
      <x v="198"/>
    </i>
    <i r="1">
      <x v="206"/>
    </i>
    <i r="1">
      <x v="178"/>
    </i>
    <i r="1">
      <x v="190"/>
    </i>
    <i r="1">
      <x v="234"/>
    </i>
    <i r="1">
      <x v="196"/>
    </i>
    <i>
      <x v="3"/>
    </i>
    <i r="1">
      <x v="323"/>
    </i>
    <i r="1">
      <x v="270"/>
    </i>
    <i r="1">
      <x v="319"/>
    </i>
    <i r="1">
      <x v="303"/>
    </i>
    <i r="1">
      <x v="349"/>
    </i>
    <i r="1">
      <x v="307"/>
    </i>
    <i r="1">
      <x v="352"/>
    </i>
    <i r="1">
      <x v="350"/>
    </i>
    <i r="1">
      <x v="337"/>
    </i>
    <i r="1">
      <x v="296"/>
    </i>
    <i r="1">
      <x v="299"/>
    </i>
    <i r="1">
      <x v="318"/>
    </i>
    <i r="1">
      <x v="317"/>
    </i>
    <i r="1">
      <x v="338"/>
    </i>
    <i r="1">
      <x v="282"/>
    </i>
    <i r="1">
      <x v="332"/>
    </i>
    <i r="1">
      <x v="281"/>
    </i>
    <i r="1">
      <x v="340"/>
    </i>
    <i r="1">
      <x v="266"/>
    </i>
    <i r="1">
      <x v="259"/>
    </i>
    <i r="1">
      <x v="300"/>
    </i>
    <i r="1">
      <x v="260"/>
    </i>
    <i r="1">
      <x v="275"/>
    </i>
    <i r="1">
      <x v="321"/>
    </i>
    <i r="1">
      <x v="286"/>
    </i>
    <i r="1">
      <x v="351"/>
    </i>
    <i r="1">
      <x v="298"/>
    </i>
    <i r="1">
      <x v="289"/>
    </i>
    <i r="1">
      <x v="295"/>
    </i>
    <i r="1">
      <x v="308"/>
    </i>
    <i r="1">
      <x v="347"/>
    </i>
    <i r="1">
      <x v="291"/>
    </i>
    <i r="1">
      <x v="312"/>
    </i>
    <i r="1">
      <x v="315"/>
    </i>
    <i r="1">
      <x v="329"/>
    </i>
    <i r="1">
      <x v="322"/>
    </i>
    <i r="1">
      <x v="314"/>
    </i>
    <i r="1">
      <x v="320"/>
    </i>
    <i r="1">
      <x v="283"/>
    </i>
    <i r="1">
      <x v="268"/>
    </i>
    <i r="1">
      <x v="285"/>
    </i>
    <i r="1">
      <x v="297"/>
    </i>
    <i r="1">
      <x v="269"/>
    </i>
    <i r="1">
      <x v="346"/>
    </i>
    <i r="1">
      <x v="343"/>
    </i>
    <i r="1">
      <x v="280"/>
    </i>
    <i r="1">
      <x v="316"/>
    </i>
    <i r="1">
      <x v="324"/>
    </i>
    <i r="1">
      <x v="288"/>
    </i>
    <i r="1">
      <x v="334"/>
    </i>
    <i r="1">
      <x v="273"/>
    </i>
    <i r="1">
      <x v="327"/>
    </i>
    <i r="1">
      <x v="310"/>
    </i>
    <i r="1">
      <x v="271"/>
    </i>
    <i r="1">
      <x v="290"/>
    </i>
    <i r="1">
      <x v="313"/>
    </i>
    <i r="1">
      <x v="272"/>
    </i>
    <i r="1">
      <x v="301"/>
    </i>
    <i r="1">
      <x v="264"/>
    </i>
    <i r="1">
      <x v="302"/>
    </i>
    <i r="1">
      <x v="311"/>
    </i>
    <i r="1">
      <x v="262"/>
    </i>
    <i r="1">
      <x v="305"/>
    </i>
    <i r="1">
      <x v="328"/>
    </i>
    <i r="1">
      <x v="342"/>
    </i>
    <i r="1">
      <x v="279"/>
    </i>
    <i r="1">
      <x v="277"/>
    </i>
    <i r="1">
      <x v="344"/>
    </i>
    <i r="1">
      <x v="263"/>
    </i>
    <i r="1">
      <x v="325"/>
    </i>
    <i r="1">
      <x v="304"/>
    </i>
    <i r="1">
      <x v="287"/>
    </i>
    <i r="1">
      <x v="261"/>
    </i>
    <i r="1">
      <x v="333"/>
    </i>
    <i r="1">
      <x v="265"/>
    </i>
    <i r="1">
      <x v="335"/>
    </i>
    <i r="1">
      <x v="341"/>
    </i>
    <i r="1">
      <x v="330"/>
    </i>
    <i r="1">
      <x v="293"/>
    </i>
    <i r="1">
      <x v="348"/>
    </i>
    <i r="1">
      <x v="336"/>
    </i>
    <i r="1">
      <x v="339"/>
    </i>
    <i r="1">
      <x v="274"/>
    </i>
    <i r="1">
      <x v="292"/>
    </i>
    <i r="1">
      <x v="326"/>
    </i>
    <i r="1">
      <x v="331"/>
    </i>
    <i r="1">
      <x v="306"/>
    </i>
    <i r="1">
      <x v="278"/>
    </i>
    <i r="1">
      <x v="276"/>
    </i>
    <i r="1">
      <x v="294"/>
    </i>
    <i r="1">
      <x v="345"/>
    </i>
    <i r="1">
      <x v="284"/>
    </i>
    <i r="1">
      <x v="267"/>
    </i>
    <i r="1">
      <x v="309"/>
    </i>
    <i>
      <x v="4"/>
    </i>
    <i r="1">
      <x v="368"/>
    </i>
    <i r="1">
      <x v="405"/>
    </i>
    <i r="1">
      <x v="403"/>
    </i>
    <i r="1">
      <x v="359"/>
    </i>
    <i r="1">
      <x v="396"/>
    </i>
    <i r="1">
      <x v="356"/>
    </i>
    <i r="1">
      <x v="395"/>
    </i>
    <i r="1">
      <x v="387"/>
    </i>
    <i r="1">
      <x v="407"/>
    </i>
    <i r="1">
      <x v="386"/>
    </i>
    <i r="1">
      <x v="381"/>
    </i>
    <i r="1">
      <x v="365"/>
    </i>
    <i r="1">
      <x v="361"/>
    </i>
    <i r="1">
      <x v="397"/>
    </i>
    <i r="1">
      <x v="410"/>
    </i>
    <i r="1">
      <x v="399"/>
    </i>
    <i r="1">
      <x v="428"/>
    </i>
    <i r="1">
      <x v="431"/>
    </i>
    <i r="1">
      <x v="402"/>
    </i>
    <i r="1">
      <x v="371"/>
    </i>
    <i r="1">
      <x v="367"/>
    </i>
    <i r="1">
      <x v="413"/>
    </i>
    <i r="1">
      <x v="355"/>
    </i>
    <i r="1">
      <x v="360"/>
    </i>
    <i r="1">
      <x v="394"/>
    </i>
    <i r="1">
      <x v="392"/>
    </i>
    <i r="1">
      <x v="369"/>
    </i>
    <i r="1">
      <x v="353"/>
    </i>
    <i r="1">
      <x v="375"/>
    </i>
    <i r="1">
      <x v="414"/>
    </i>
    <i r="1">
      <x v="435"/>
    </i>
    <i r="1">
      <x v="437"/>
    </i>
    <i r="1">
      <x v="378"/>
    </i>
    <i r="1">
      <x v="415"/>
    </i>
    <i r="1">
      <x v="401"/>
    </i>
    <i r="1">
      <x v="379"/>
    </i>
    <i r="1">
      <x v="388"/>
    </i>
    <i r="1">
      <x v="389"/>
    </i>
    <i r="1">
      <x v="383"/>
    </i>
    <i r="1">
      <x v="416"/>
    </i>
    <i r="1">
      <x v="434"/>
    </i>
    <i r="1">
      <x v="406"/>
    </i>
    <i r="1">
      <x v="382"/>
    </i>
    <i r="1">
      <x v="422"/>
    </i>
    <i r="1">
      <x v="357"/>
    </i>
    <i r="1">
      <x v="385"/>
    </i>
    <i r="1">
      <x v="423"/>
    </i>
    <i r="1">
      <x v="398"/>
    </i>
    <i r="1">
      <x v="427"/>
    </i>
    <i r="1">
      <x v="358"/>
    </i>
    <i r="1">
      <x v="409"/>
    </i>
    <i r="1">
      <x v="373"/>
    </i>
    <i r="1">
      <x v="390"/>
    </i>
    <i r="1">
      <x v="419"/>
    </i>
    <i r="1">
      <x v="364"/>
    </i>
    <i r="1">
      <x v="432"/>
    </i>
    <i r="1">
      <x v="418"/>
    </i>
    <i r="1">
      <x v="429"/>
    </i>
    <i r="1">
      <x v="421"/>
    </i>
    <i r="1">
      <x v="380"/>
    </i>
    <i r="1">
      <x v="366"/>
    </i>
    <i r="1">
      <x v="430"/>
    </i>
    <i r="1">
      <x v="412"/>
    </i>
    <i r="1">
      <x v="393"/>
    </i>
    <i r="1">
      <x v="425"/>
    </i>
    <i r="1">
      <x v="417"/>
    </i>
    <i r="1">
      <x v="436"/>
    </i>
    <i r="1">
      <x v="362"/>
    </i>
    <i r="1">
      <x v="376"/>
    </i>
    <i r="1">
      <x v="404"/>
    </i>
    <i r="1">
      <x v="384"/>
    </i>
    <i r="1">
      <x v="374"/>
    </i>
    <i r="1">
      <x v="426"/>
    </i>
    <i r="1">
      <x v="433"/>
    </i>
    <i r="1">
      <x v="372"/>
    </i>
    <i r="1">
      <x v="370"/>
    </i>
    <i r="1">
      <x v="424"/>
    </i>
    <i r="1">
      <x v="420"/>
    </i>
    <i r="1">
      <x v="400"/>
    </i>
    <i r="1">
      <x v="411"/>
    </i>
    <i r="1">
      <x v="377"/>
    </i>
    <i r="1">
      <x v="363"/>
    </i>
    <i r="1">
      <x v="408"/>
    </i>
    <i r="1">
      <x v="354"/>
    </i>
    <i r="1">
      <x v="438"/>
    </i>
    <i r="1">
      <x v="391"/>
    </i>
    <i>
      <x v="5"/>
    </i>
    <i r="1">
      <x v="525"/>
    </i>
    <i r="1">
      <x v="513"/>
    </i>
    <i r="1">
      <x v="474"/>
    </i>
    <i r="1">
      <x v="503"/>
    </i>
    <i r="1">
      <x v="486"/>
    </i>
    <i r="1">
      <x v="479"/>
    </i>
    <i r="1">
      <x v="517"/>
    </i>
    <i r="1">
      <x v="440"/>
    </i>
    <i r="1">
      <x v="495"/>
    </i>
    <i r="1">
      <x v="516"/>
    </i>
    <i r="1">
      <x v="489"/>
    </i>
    <i r="1">
      <x v="446"/>
    </i>
    <i r="1">
      <x v="476"/>
    </i>
    <i r="1">
      <x v="508"/>
    </i>
    <i r="1">
      <x v="456"/>
    </i>
    <i r="1">
      <x v="522"/>
    </i>
    <i r="1">
      <x v="502"/>
    </i>
    <i r="1">
      <x v="505"/>
    </i>
    <i r="1">
      <x v="518"/>
    </i>
    <i r="1">
      <x v="478"/>
    </i>
    <i r="1">
      <x v="448"/>
    </i>
    <i r="1">
      <x v="443"/>
    </i>
    <i r="1">
      <x v="451"/>
    </i>
    <i r="1">
      <x v="473"/>
    </i>
    <i r="1">
      <x v="523"/>
    </i>
    <i r="1">
      <x v="526"/>
    </i>
    <i r="1">
      <x v="501"/>
    </i>
    <i r="1">
      <x v="487"/>
    </i>
    <i r="1">
      <x v="493"/>
    </i>
    <i r="1">
      <x v="460"/>
    </i>
    <i r="1">
      <x v="497"/>
    </i>
    <i r="1">
      <x v="463"/>
    </i>
    <i r="1">
      <x v="524"/>
    </i>
    <i r="1">
      <x v="449"/>
    </i>
    <i r="1">
      <x v="468"/>
    </i>
    <i r="1">
      <x v="507"/>
    </i>
    <i r="1">
      <x v="461"/>
    </i>
    <i r="1">
      <x v="514"/>
    </i>
    <i r="1">
      <x v="521"/>
    </i>
    <i r="1">
      <x v="469"/>
    </i>
    <i r="1">
      <x v="452"/>
    </i>
    <i r="1">
      <x v="500"/>
    </i>
    <i r="1">
      <x v="475"/>
    </i>
    <i r="1">
      <x v="485"/>
    </i>
    <i r="1">
      <x v="511"/>
    </i>
    <i r="1">
      <x v="480"/>
    </i>
    <i r="1">
      <x v="462"/>
    </i>
    <i r="1">
      <x v="512"/>
    </i>
    <i r="1">
      <x v="499"/>
    </i>
    <i r="1">
      <x v="439"/>
    </i>
    <i r="1">
      <x v="464"/>
    </i>
    <i r="1">
      <x v="492"/>
    </i>
    <i r="1">
      <x v="490"/>
    </i>
    <i r="1">
      <x v="444"/>
    </i>
    <i r="1">
      <x v="510"/>
    </i>
    <i r="1">
      <x v="484"/>
    </i>
    <i r="1">
      <x v="481"/>
    </i>
    <i r="1">
      <x v="520"/>
    </i>
    <i r="1">
      <x v="504"/>
    </i>
    <i r="1">
      <x v="459"/>
    </i>
    <i r="1">
      <x v="453"/>
    </i>
    <i r="1">
      <x v="455"/>
    </i>
    <i r="1">
      <x v="498"/>
    </i>
    <i r="1">
      <x v="472"/>
    </i>
    <i r="1">
      <x v="447"/>
    </i>
    <i r="1">
      <x v="488"/>
    </i>
    <i r="1">
      <x v="454"/>
    </i>
    <i r="1">
      <x v="467"/>
    </i>
    <i r="1">
      <x v="483"/>
    </i>
    <i r="1">
      <x v="509"/>
    </i>
    <i r="1">
      <x v="496"/>
    </i>
    <i r="1">
      <x v="494"/>
    </i>
    <i r="1">
      <x v="445"/>
    </i>
    <i r="1">
      <x v="450"/>
    </i>
    <i r="1">
      <x v="457"/>
    </i>
    <i r="1">
      <x v="477"/>
    </i>
    <i r="1">
      <x v="470"/>
    </i>
    <i r="1">
      <x v="491"/>
    </i>
    <i r="1">
      <x v="442"/>
    </i>
    <i r="1">
      <x v="515"/>
    </i>
    <i r="1">
      <x v="471"/>
    </i>
    <i r="1">
      <x v="441"/>
    </i>
    <i r="1">
      <x v="458"/>
    </i>
    <i r="1">
      <x v="466"/>
    </i>
    <i r="1">
      <x v="519"/>
    </i>
    <i r="1">
      <x v="482"/>
    </i>
    <i r="1">
      <x v="506"/>
    </i>
    <i r="1">
      <x v="465"/>
    </i>
    <i>
      <x v="6"/>
    </i>
    <i r="1">
      <x v="536"/>
    </i>
    <i r="1">
      <x v="588"/>
    </i>
    <i r="1">
      <x v="598"/>
    </i>
    <i r="1">
      <x v="544"/>
    </i>
    <i r="1">
      <x v="621"/>
    </i>
    <i r="1">
      <x v="616"/>
    </i>
    <i r="1">
      <x v="542"/>
    </i>
    <i r="1">
      <x v="585"/>
    </i>
    <i r="1">
      <x v="575"/>
    </i>
    <i r="1">
      <x v="583"/>
    </i>
    <i r="1">
      <x v="600"/>
    </i>
    <i r="1">
      <x v="569"/>
    </i>
    <i r="1">
      <x v="534"/>
    </i>
    <i r="1">
      <x v="563"/>
    </i>
    <i r="1">
      <x v="623"/>
    </i>
    <i r="1">
      <x v="552"/>
    </i>
    <i r="1">
      <x v="601"/>
    </i>
    <i r="1">
      <x v="533"/>
    </i>
    <i r="1">
      <x v="548"/>
    </i>
    <i r="1">
      <x v="531"/>
    </i>
    <i r="1">
      <x v="596"/>
    </i>
    <i r="1">
      <x v="549"/>
    </i>
    <i r="1">
      <x v="580"/>
    </i>
    <i r="1">
      <x v="619"/>
    </i>
    <i r="1">
      <x v="538"/>
    </i>
    <i r="1">
      <x v="622"/>
    </i>
    <i r="1">
      <x v="610"/>
    </i>
    <i r="1">
      <x v="540"/>
    </i>
    <i r="1">
      <x v="567"/>
    </i>
    <i r="1">
      <x v="629"/>
    </i>
    <i r="1">
      <x v="624"/>
    </i>
    <i r="1">
      <x v="568"/>
    </i>
    <i r="1">
      <x v="618"/>
    </i>
    <i r="1">
      <x v="578"/>
    </i>
    <i r="1">
      <x v="604"/>
    </i>
    <i r="1">
      <x v="541"/>
    </i>
    <i r="1">
      <x v="553"/>
    </i>
    <i r="1">
      <x v="528"/>
    </i>
    <i r="1">
      <x v="584"/>
    </i>
    <i r="1">
      <x v="573"/>
    </i>
    <i r="1">
      <x v="602"/>
    </i>
    <i r="1">
      <x v="560"/>
    </i>
    <i r="1">
      <x v="594"/>
    </i>
    <i r="1">
      <x v="593"/>
    </i>
    <i r="1">
      <x v="545"/>
    </i>
    <i r="1">
      <x v="554"/>
    </i>
    <i r="1">
      <x v="532"/>
    </i>
    <i r="1">
      <x v="543"/>
    </i>
    <i r="1">
      <x v="565"/>
    </i>
    <i r="1">
      <x v="558"/>
    </i>
    <i r="1">
      <x v="613"/>
    </i>
    <i r="1">
      <x v="535"/>
    </i>
    <i r="1">
      <x v="607"/>
    </i>
    <i r="1">
      <x v="527"/>
    </i>
    <i r="1">
      <x v="625"/>
    </i>
    <i r="1">
      <x v="574"/>
    </i>
    <i r="1">
      <x v="620"/>
    </i>
    <i r="1">
      <x v="617"/>
    </i>
    <i r="1">
      <x v="590"/>
    </i>
    <i r="1">
      <x v="561"/>
    </i>
    <i r="1">
      <x v="591"/>
    </i>
    <i r="1">
      <x v="615"/>
    </i>
    <i r="1">
      <x v="547"/>
    </i>
    <i r="1">
      <x v="586"/>
    </i>
    <i r="1">
      <x v="595"/>
    </i>
    <i r="1">
      <x v="626"/>
    </i>
    <i r="1">
      <x v="599"/>
    </i>
    <i r="1">
      <x v="546"/>
    </i>
    <i r="1">
      <x v="551"/>
    </i>
    <i r="1">
      <x v="537"/>
    </i>
    <i r="1">
      <x v="562"/>
    </i>
    <i r="1">
      <x v="579"/>
    </i>
    <i r="1">
      <x v="566"/>
    </i>
    <i r="1">
      <x v="572"/>
    </i>
    <i r="1">
      <x v="550"/>
    </i>
    <i r="1">
      <x v="557"/>
    </i>
    <i r="1">
      <x v="611"/>
    </i>
    <i r="1">
      <x v="555"/>
    </i>
    <i r="1">
      <x v="571"/>
    </i>
    <i r="1">
      <x v="608"/>
    </i>
    <i r="1">
      <x v="627"/>
    </i>
    <i r="1">
      <x v="570"/>
    </i>
    <i r="1">
      <x v="605"/>
    </i>
    <i r="1">
      <x v="609"/>
    </i>
    <i r="1">
      <x v="603"/>
    </i>
    <i r="1">
      <x v="612"/>
    </i>
    <i r="1">
      <x v="597"/>
    </i>
    <i r="1">
      <x v="581"/>
    </i>
    <i r="1">
      <x v="592"/>
    </i>
    <i r="1">
      <x v="564"/>
    </i>
    <i r="1">
      <x v="529"/>
    </i>
    <i r="1">
      <x v="577"/>
    </i>
    <i r="1">
      <x v="530"/>
    </i>
    <i r="1">
      <x v="539"/>
    </i>
    <i r="1">
      <x v="556"/>
    </i>
    <i r="1">
      <x v="606"/>
    </i>
    <i r="1">
      <x v="559"/>
    </i>
    <i r="1">
      <x v="628"/>
    </i>
    <i r="1">
      <x v="614"/>
    </i>
    <i r="1">
      <x v="589"/>
    </i>
    <i r="1">
      <x v="576"/>
    </i>
    <i r="1">
      <x v="582"/>
    </i>
    <i r="1">
      <x v="587"/>
    </i>
    <i t="grand">
      <x/>
    </i>
  </rowItems>
  <colItems count="1">
    <i/>
  </colItems>
  <dataFields count="1">
    <dataField name="Sum of GrossRevenue" fld="27" baseField="0" baseItem="0" numFmtId="2"/>
  </dataFields>
  <formats count="443">
    <format dxfId="1">
      <pivotArea collapsedLevelsAreSubtotals="1" fieldPosition="0">
        <references count="2">
          <reference field="15" count="1" selected="0">
            <x v="0"/>
          </reference>
          <reference field="16" count="1" selected="0">
            <x v="60"/>
          </reference>
        </references>
      </pivotArea>
    </format>
    <format dxfId="2">
      <pivotArea collapsedLevelsAreSubtotals="1" fieldPosition="0">
        <references count="2">
          <reference field="15" count="1" selected="0">
            <x v="0"/>
          </reference>
          <reference field="16" count="1" selected="0">
            <x v="13"/>
          </reference>
        </references>
      </pivotArea>
    </format>
    <format dxfId="3">
      <pivotArea collapsedLevelsAreSubtotals="1" fieldPosition="0">
        <references count="2">
          <reference field="15" count="1" selected="0">
            <x v="0"/>
          </reference>
          <reference field="16" count="1" selected="0">
            <x v="23"/>
          </reference>
        </references>
      </pivotArea>
    </format>
    <format dxfId="4">
      <pivotArea collapsedLevelsAreSubtotals="1" fieldPosition="0">
        <references count="2">
          <reference field="15" count="1" selected="0">
            <x v="0"/>
          </reference>
          <reference field="16" count="1" selected="0">
            <x v="82"/>
          </reference>
        </references>
      </pivotArea>
    </format>
    <format dxfId="5">
      <pivotArea collapsedLevelsAreSubtotals="1" fieldPosition="0">
        <references count="2">
          <reference field="15" count="1" selected="0">
            <x v="0"/>
          </reference>
          <reference field="16" count="1" selected="0">
            <x v="84"/>
          </reference>
        </references>
      </pivotArea>
    </format>
    <format dxfId="6">
      <pivotArea collapsedLevelsAreSubtotals="1" fieldPosition="0">
        <references count="2">
          <reference field="15" count="1" selected="0">
            <x v="0"/>
          </reference>
          <reference field="16" count="1" selected="0">
            <x v="72"/>
          </reference>
        </references>
      </pivotArea>
    </format>
    <format dxfId="7">
      <pivotArea collapsedLevelsAreSubtotals="1" fieldPosition="0">
        <references count="2">
          <reference field="15" count="1" selected="0">
            <x v="0"/>
          </reference>
          <reference field="16" count="1" selected="0">
            <x v="41"/>
          </reference>
        </references>
      </pivotArea>
    </format>
    <format dxfId="8">
      <pivotArea collapsedLevelsAreSubtotals="1" fieldPosition="0">
        <references count="2">
          <reference field="15" count="1" selected="0">
            <x v="0"/>
          </reference>
          <reference field="16" count="1" selected="0">
            <x v="68"/>
          </reference>
        </references>
      </pivotArea>
    </format>
    <format dxfId="9">
      <pivotArea collapsedLevelsAreSubtotals="1" fieldPosition="0">
        <references count="2">
          <reference field="15" count="1" selected="0">
            <x v="0"/>
          </reference>
          <reference field="16" count="1" selected="0">
            <x v="50"/>
          </reference>
        </references>
      </pivotArea>
    </format>
    <format dxfId="10">
      <pivotArea collapsedLevelsAreSubtotals="1" fieldPosition="0">
        <references count="2">
          <reference field="15" count="1" selected="0">
            <x v="0"/>
          </reference>
          <reference field="16" count="1" selected="0">
            <x v="81"/>
          </reference>
        </references>
      </pivotArea>
    </format>
    <format dxfId="11">
      <pivotArea collapsedLevelsAreSubtotals="1" fieldPosition="0">
        <references count="2">
          <reference field="15" count="1" selected="0">
            <x v="0"/>
          </reference>
          <reference field="16" count="1" selected="0">
            <x v="63"/>
          </reference>
        </references>
      </pivotArea>
    </format>
    <format dxfId="12">
      <pivotArea collapsedLevelsAreSubtotals="1" fieldPosition="0">
        <references count="2">
          <reference field="15" count="1" selected="0">
            <x v="0"/>
          </reference>
          <reference field="16" count="1" selected="0">
            <x v="6"/>
          </reference>
        </references>
      </pivotArea>
    </format>
    <format dxfId="13">
      <pivotArea collapsedLevelsAreSubtotals="1" fieldPosition="0">
        <references count="2">
          <reference field="15" count="1" selected="0">
            <x v="0"/>
          </reference>
          <reference field="16" count="1" selected="0">
            <x v="10"/>
          </reference>
        </references>
      </pivotArea>
    </format>
    <format dxfId="14">
      <pivotArea collapsedLevelsAreSubtotals="1" fieldPosition="0">
        <references count="2">
          <reference field="15" count="1" selected="0">
            <x v="0"/>
          </reference>
          <reference field="16" count="1" selected="0">
            <x v="56"/>
          </reference>
        </references>
      </pivotArea>
    </format>
    <format dxfId="15">
      <pivotArea collapsedLevelsAreSubtotals="1" fieldPosition="0">
        <references count="2">
          <reference field="15" count="1" selected="0">
            <x v="0"/>
          </reference>
          <reference field="16" count="1" selected="0">
            <x v="44"/>
          </reference>
        </references>
      </pivotArea>
    </format>
    <format dxfId="16">
      <pivotArea collapsedLevelsAreSubtotals="1" fieldPosition="0">
        <references count="2">
          <reference field="15" count="1" selected="0">
            <x v="0"/>
          </reference>
          <reference field="16" count="1" selected="0">
            <x v="53"/>
          </reference>
        </references>
      </pivotArea>
    </format>
    <format dxfId="17">
      <pivotArea collapsedLevelsAreSubtotals="1" fieldPosition="0">
        <references count="2">
          <reference field="15" count="1" selected="0">
            <x v="0"/>
          </reference>
          <reference field="16" count="1" selected="0">
            <x v="59"/>
          </reference>
        </references>
      </pivotArea>
    </format>
    <format dxfId="18">
      <pivotArea collapsedLevelsAreSubtotals="1" fieldPosition="0">
        <references count="2">
          <reference field="15" count="1" selected="0">
            <x v="0"/>
          </reference>
          <reference field="16" count="1" selected="0">
            <x v="86"/>
          </reference>
        </references>
      </pivotArea>
    </format>
    <format dxfId="19">
      <pivotArea collapsedLevelsAreSubtotals="1" fieldPosition="0">
        <references count="2">
          <reference field="15" count="1" selected="0">
            <x v="0"/>
          </reference>
          <reference field="16" count="1" selected="0">
            <x v="75"/>
          </reference>
        </references>
      </pivotArea>
    </format>
    <format dxfId="20">
      <pivotArea collapsedLevelsAreSubtotals="1" fieldPosition="0">
        <references count="2">
          <reference field="15" count="1" selected="0">
            <x v="0"/>
          </reference>
          <reference field="16" count="1" selected="0">
            <x v="26"/>
          </reference>
        </references>
      </pivotArea>
    </format>
    <format dxfId="21">
      <pivotArea collapsedLevelsAreSubtotals="1" fieldPosition="0">
        <references count="2">
          <reference field="15" count="1" selected="0">
            <x v="0"/>
          </reference>
          <reference field="16" count="1" selected="0">
            <x v="12"/>
          </reference>
        </references>
      </pivotArea>
    </format>
    <format dxfId="22">
      <pivotArea collapsedLevelsAreSubtotals="1" fieldPosition="0">
        <references count="2">
          <reference field="15" count="1" selected="0">
            <x v="0"/>
          </reference>
          <reference field="16" count="1" selected="0">
            <x v="33"/>
          </reference>
        </references>
      </pivotArea>
    </format>
    <format dxfId="23">
      <pivotArea collapsedLevelsAreSubtotals="1" fieldPosition="0">
        <references count="2">
          <reference field="15" count="1" selected="0">
            <x v="0"/>
          </reference>
          <reference field="16" count="1" selected="0">
            <x v="83"/>
          </reference>
        </references>
      </pivotArea>
    </format>
    <format dxfId="24">
      <pivotArea collapsedLevelsAreSubtotals="1" fieldPosition="0">
        <references count="2">
          <reference field="15" count="1" selected="0">
            <x v="0"/>
          </reference>
          <reference field="16" count="1" selected="0">
            <x v="49"/>
          </reference>
        </references>
      </pivotArea>
    </format>
    <format dxfId="25">
      <pivotArea collapsedLevelsAreSubtotals="1" fieldPosition="0">
        <references count="2">
          <reference field="15" count="1" selected="0">
            <x v="0"/>
          </reference>
          <reference field="16" count="1" selected="0">
            <x v="79"/>
          </reference>
        </references>
      </pivotArea>
    </format>
    <format dxfId="26">
      <pivotArea collapsedLevelsAreSubtotals="1" fieldPosition="0">
        <references count="2">
          <reference field="15" count="1" selected="0">
            <x v="0"/>
          </reference>
          <reference field="16" count="1" selected="0">
            <x v="32"/>
          </reference>
        </references>
      </pivotArea>
    </format>
    <format dxfId="27">
      <pivotArea collapsedLevelsAreSubtotals="1" fieldPosition="0">
        <references count="2">
          <reference field="15" count="1" selected="0">
            <x v="0"/>
          </reference>
          <reference field="16" count="1" selected="0">
            <x v="40"/>
          </reference>
        </references>
      </pivotArea>
    </format>
    <format dxfId="28">
      <pivotArea collapsedLevelsAreSubtotals="1" fieldPosition="0">
        <references count="2">
          <reference field="15" count="1" selected="0">
            <x v="0"/>
          </reference>
          <reference field="16" count="1" selected="0">
            <x v="14"/>
          </reference>
        </references>
      </pivotArea>
    </format>
    <format dxfId="29">
      <pivotArea collapsedLevelsAreSubtotals="1" fieldPosition="0">
        <references count="2">
          <reference field="15" count="1" selected="0">
            <x v="0"/>
          </reference>
          <reference field="16" count="1" selected="0">
            <x v="78"/>
          </reference>
        </references>
      </pivotArea>
    </format>
    <format dxfId="30">
      <pivotArea collapsedLevelsAreSubtotals="1" fieldPosition="0">
        <references count="2">
          <reference field="15" count="1" selected="0">
            <x v="0"/>
          </reference>
          <reference field="16" count="1" selected="0">
            <x v="4"/>
          </reference>
        </references>
      </pivotArea>
    </format>
    <format dxfId="31">
      <pivotArea collapsedLevelsAreSubtotals="1" fieldPosition="0">
        <references count="2">
          <reference field="15" count="1" selected="0">
            <x v="0"/>
          </reference>
          <reference field="16" count="1" selected="0">
            <x v="80"/>
          </reference>
        </references>
      </pivotArea>
    </format>
    <format dxfId="32">
      <pivotArea collapsedLevelsAreSubtotals="1" fieldPosition="0">
        <references count="2">
          <reference field="15" count="1" selected="0">
            <x v="0"/>
          </reference>
          <reference field="16" count="1" selected="0">
            <x v="70"/>
          </reference>
        </references>
      </pivotArea>
    </format>
    <format dxfId="33">
      <pivotArea collapsedLevelsAreSubtotals="1" fieldPosition="0">
        <references count="2">
          <reference field="15" count="1" selected="0">
            <x v="0"/>
          </reference>
          <reference field="16" count="1" selected="0">
            <x v="48"/>
          </reference>
        </references>
      </pivotArea>
    </format>
    <format dxfId="34">
      <pivotArea collapsedLevelsAreSubtotals="1" fieldPosition="0">
        <references count="2">
          <reference field="15" count="1" selected="0">
            <x v="0"/>
          </reference>
          <reference field="16" count="1" selected="0">
            <x v="29"/>
          </reference>
        </references>
      </pivotArea>
    </format>
    <format dxfId="35">
      <pivotArea collapsedLevelsAreSubtotals="1" fieldPosition="0">
        <references count="2">
          <reference field="15" count="1" selected="0">
            <x v="0"/>
          </reference>
          <reference field="16" count="1" selected="0">
            <x v="57"/>
          </reference>
        </references>
      </pivotArea>
    </format>
    <format dxfId="36">
      <pivotArea collapsedLevelsAreSubtotals="1" fieldPosition="0">
        <references count="2">
          <reference field="15" count="1" selected="0">
            <x v="0"/>
          </reference>
          <reference field="16" count="1" selected="0">
            <x v="76"/>
          </reference>
        </references>
      </pivotArea>
    </format>
    <format dxfId="37">
      <pivotArea collapsedLevelsAreSubtotals="1" fieldPosition="0">
        <references count="2">
          <reference field="15" count="1" selected="0">
            <x v="0"/>
          </reference>
          <reference field="16" count="1" selected="0">
            <x v="18"/>
          </reference>
        </references>
      </pivotArea>
    </format>
    <format dxfId="38">
      <pivotArea collapsedLevelsAreSubtotals="1" fieldPosition="0">
        <references count="2">
          <reference field="15" count="1" selected="0">
            <x v="0"/>
          </reference>
          <reference field="16" count="1" selected="0">
            <x v="5"/>
          </reference>
        </references>
      </pivotArea>
    </format>
    <format dxfId="39">
      <pivotArea collapsedLevelsAreSubtotals="1" fieldPosition="0">
        <references count="2">
          <reference field="15" count="1" selected="0">
            <x v="0"/>
          </reference>
          <reference field="16" count="1" selected="0">
            <x v="67"/>
          </reference>
        </references>
      </pivotArea>
    </format>
    <format dxfId="40">
      <pivotArea collapsedLevelsAreSubtotals="1" fieldPosition="0">
        <references count="2">
          <reference field="15" count="1" selected="0">
            <x v="0"/>
          </reference>
          <reference field="16" count="1" selected="0">
            <x v="58"/>
          </reference>
        </references>
      </pivotArea>
    </format>
    <format dxfId="41">
      <pivotArea collapsedLevelsAreSubtotals="1" fieldPosition="0">
        <references count="2">
          <reference field="15" count="1" selected="0">
            <x v="0"/>
          </reference>
          <reference field="16" count="1" selected="0">
            <x v="65"/>
          </reference>
        </references>
      </pivotArea>
    </format>
    <format dxfId="42">
      <pivotArea collapsedLevelsAreSubtotals="1" fieldPosition="0">
        <references count="2">
          <reference field="15" count="1" selected="0">
            <x v="0"/>
          </reference>
          <reference field="16" count="1" selected="0">
            <x v="54"/>
          </reference>
        </references>
      </pivotArea>
    </format>
    <format dxfId="43">
      <pivotArea collapsedLevelsAreSubtotals="1" fieldPosition="0">
        <references count="2">
          <reference field="15" count="1" selected="0">
            <x v="0"/>
          </reference>
          <reference field="16" count="1" selected="0">
            <x v="9"/>
          </reference>
        </references>
      </pivotArea>
    </format>
    <format dxfId="44">
      <pivotArea collapsedLevelsAreSubtotals="1" fieldPosition="0">
        <references count="2">
          <reference field="15" count="1" selected="0">
            <x v="0"/>
          </reference>
          <reference field="16" count="1" selected="0">
            <x v="64"/>
          </reference>
        </references>
      </pivotArea>
    </format>
    <format dxfId="45">
      <pivotArea collapsedLevelsAreSubtotals="1" fieldPosition="0">
        <references count="2">
          <reference field="15" count="1" selected="0">
            <x v="0"/>
          </reference>
          <reference field="16" count="1" selected="0">
            <x v="22"/>
          </reference>
        </references>
      </pivotArea>
    </format>
    <format dxfId="46">
      <pivotArea collapsedLevelsAreSubtotals="1" fieldPosition="0">
        <references count="2">
          <reference field="15" count="1" selected="0">
            <x v="0"/>
          </reference>
          <reference field="16" count="1" selected="0">
            <x v="39"/>
          </reference>
        </references>
      </pivotArea>
    </format>
    <format dxfId="47">
      <pivotArea collapsedLevelsAreSubtotals="1" fieldPosition="0">
        <references count="2">
          <reference field="15" count="1" selected="0">
            <x v="0"/>
          </reference>
          <reference field="16" count="1" selected="0">
            <x v="36"/>
          </reference>
        </references>
      </pivotArea>
    </format>
    <format dxfId="48">
      <pivotArea collapsedLevelsAreSubtotals="1" fieldPosition="0">
        <references count="2">
          <reference field="15" count="1" selected="0">
            <x v="0"/>
          </reference>
          <reference field="16" count="1" selected="0">
            <x v="3"/>
          </reference>
        </references>
      </pivotArea>
    </format>
    <format dxfId="49">
      <pivotArea collapsedLevelsAreSubtotals="1" fieldPosition="0">
        <references count="2">
          <reference field="15" count="1" selected="0">
            <x v="0"/>
          </reference>
          <reference field="16" count="1" selected="0">
            <x v="1"/>
          </reference>
        </references>
      </pivotArea>
    </format>
    <format dxfId="50">
      <pivotArea collapsedLevelsAreSubtotals="1" fieldPosition="0">
        <references count="2">
          <reference field="15" count="1" selected="0">
            <x v="0"/>
          </reference>
          <reference field="16" count="1" selected="0">
            <x v="19"/>
          </reference>
        </references>
      </pivotArea>
    </format>
    <format dxfId="51">
      <pivotArea collapsedLevelsAreSubtotals="1" fieldPosition="0">
        <references count="2">
          <reference field="15" count="1" selected="0">
            <x v="0"/>
          </reference>
          <reference field="16" count="1" selected="0">
            <x v="28"/>
          </reference>
        </references>
      </pivotArea>
    </format>
    <format dxfId="52">
      <pivotArea collapsedLevelsAreSubtotals="1" fieldPosition="0">
        <references count="2">
          <reference field="15" count="1" selected="0">
            <x v="0"/>
          </reference>
          <reference field="16" count="1" selected="0">
            <x v="37"/>
          </reference>
        </references>
      </pivotArea>
    </format>
    <format dxfId="53">
      <pivotArea collapsedLevelsAreSubtotals="1" fieldPosition="0">
        <references count="2">
          <reference field="15" count="1" selected="0">
            <x v="0"/>
          </reference>
          <reference field="16" count="1" selected="0">
            <x v="16"/>
          </reference>
        </references>
      </pivotArea>
    </format>
    <format dxfId="54">
      <pivotArea collapsedLevelsAreSubtotals="1" fieldPosition="0">
        <references count="2">
          <reference field="15" count="1" selected="0">
            <x v="0"/>
          </reference>
          <reference field="16" count="1" selected="0">
            <x v="46"/>
          </reference>
        </references>
      </pivotArea>
    </format>
    <format dxfId="55">
      <pivotArea collapsedLevelsAreSubtotals="1" fieldPosition="0">
        <references count="2">
          <reference field="15" count="1" selected="0">
            <x v="0"/>
          </reference>
          <reference field="16" count="1" selected="0">
            <x v="20"/>
          </reference>
        </references>
      </pivotArea>
    </format>
    <format dxfId="56">
      <pivotArea collapsedLevelsAreSubtotals="1" fieldPosition="0">
        <references count="2">
          <reference field="15" count="1" selected="0">
            <x v="0"/>
          </reference>
          <reference field="16" count="1" selected="0">
            <x v="77"/>
          </reference>
        </references>
      </pivotArea>
    </format>
    <format dxfId="57">
      <pivotArea collapsedLevelsAreSubtotals="1" fieldPosition="0">
        <references count="2">
          <reference field="15" count="1" selected="0">
            <x v="0"/>
          </reference>
          <reference field="16" count="1" selected="0">
            <x v="69"/>
          </reference>
        </references>
      </pivotArea>
    </format>
    <format dxfId="58">
      <pivotArea collapsedLevelsAreSubtotals="1" fieldPosition="0">
        <references count="2">
          <reference field="15" count="1" selected="0">
            <x v="0"/>
          </reference>
          <reference field="16" count="1" selected="0">
            <x v="21"/>
          </reference>
        </references>
      </pivotArea>
    </format>
    <format dxfId="59">
      <pivotArea collapsedLevelsAreSubtotals="1" fieldPosition="0">
        <references count="2">
          <reference field="15" count="1" selected="0">
            <x v="0"/>
          </reference>
          <reference field="16" count="1" selected="0">
            <x v="52"/>
          </reference>
        </references>
      </pivotArea>
    </format>
    <format dxfId="60">
      <pivotArea collapsedLevelsAreSubtotals="1" fieldPosition="0">
        <references count="2">
          <reference field="15" count="1" selected="0">
            <x v="0"/>
          </reference>
          <reference field="16" count="1" selected="0">
            <x v="85"/>
          </reference>
        </references>
      </pivotArea>
    </format>
    <format dxfId="61">
      <pivotArea collapsedLevelsAreSubtotals="1" fieldPosition="0">
        <references count="2">
          <reference field="15" count="1" selected="0">
            <x v="0"/>
          </reference>
          <reference field="16" count="1" selected="0">
            <x v="11"/>
          </reference>
        </references>
      </pivotArea>
    </format>
    <format dxfId="62">
      <pivotArea collapsedLevelsAreSubtotals="1" fieldPosition="0">
        <references count="2">
          <reference field="15" count="1" selected="0">
            <x v="0"/>
          </reference>
          <reference field="16" count="1" selected="0">
            <x v="31"/>
          </reference>
        </references>
      </pivotArea>
    </format>
    <format dxfId="63">
      <pivotArea collapsedLevelsAreSubtotals="1" fieldPosition="0">
        <references count="2">
          <reference field="15" count="1" selected="0">
            <x v="0"/>
          </reference>
          <reference field="16" count="1" selected="0">
            <x v="8"/>
          </reference>
        </references>
      </pivotArea>
    </format>
    <format dxfId="64">
      <pivotArea collapsedLevelsAreSubtotals="1" fieldPosition="0">
        <references count="2">
          <reference field="15" count="1" selected="0">
            <x v="0"/>
          </reference>
          <reference field="16" count="1" selected="0">
            <x v="7"/>
          </reference>
        </references>
      </pivotArea>
    </format>
    <format dxfId="65">
      <pivotArea collapsedLevelsAreSubtotals="1" fieldPosition="0">
        <references count="2">
          <reference field="15" count="1" selected="0">
            <x v="0"/>
          </reference>
          <reference field="16" count="1" selected="0">
            <x v="35"/>
          </reference>
        </references>
      </pivotArea>
    </format>
    <format dxfId="66">
      <pivotArea collapsedLevelsAreSubtotals="1" fieldPosition="0">
        <references count="2">
          <reference field="15" count="1" selected="0">
            <x v="0"/>
          </reference>
          <reference field="16" count="1" selected="0">
            <x v="25"/>
          </reference>
        </references>
      </pivotArea>
    </format>
    <format dxfId="67">
      <pivotArea collapsedLevelsAreSubtotals="1" fieldPosition="0">
        <references count="2">
          <reference field="15" count="1" selected="0">
            <x v="0"/>
          </reference>
          <reference field="16" count="1" selected="0">
            <x v="34"/>
          </reference>
        </references>
      </pivotArea>
    </format>
    <format dxfId="68">
      <pivotArea collapsedLevelsAreSubtotals="1" fieldPosition="0">
        <references count="2">
          <reference field="15" count="1" selected="0">
            <x v="0"/>
          </reference>
          <reference field="16" count="1" selected="0">
            <x v="71"/>
          </reference>
        </references>
      </pivotArea>
    </format>
    <format dxfId="69">
      <pivotArea collapsedLevelsAreSubtotals="1" fieldPosition="0">
        <references count="2">
          <reference field="15" count="1" selected="0">
            <x v="0"/>
          </reference>
          <reference field="16" count="1" selected="0">
            <x v="17"/>
          </reference>
        </references>
      </pivotArea>
    </format>
    <format dxfId="70">
      <pivotArea collapsedLevelsAreSubtotals="1" fieldPosition="0">
        <references count="2">
          <reference field="15" count="1" selected="0">
            <x v="0"/>
          </reference>
          <reference field="16" count="1" selected="0">
            <x v="2"/>
          </reference>
        </references>
      </pivotArea>
    </format>
    <format dxfId="71">
      <pivotArea collapsedLevelsAreSubtotals="1" fieldPosition="0">
        <references count="2">
          <reference field="15" count="1" selected="0">
            <x v="0"/>
          </reference>
          <reference field="16" count="1" selected="0">
            <x v="47"/>
          </reference>
        </references>
      </pivotArea>
    </format>
    <format dxfId="72">
      <pivotArea collapsedLevelsAreSubtotals="1" fieldPosition="0">
        <references count="2">
          <reference field="15" count="1" selected="0">
            <x v="0"/>
          </reference>
          <reference field="16" count="1" selected="0">
            <x v="55"/>
          </reference>
        </references>
      </pivotArea>
    </format>
    <format dxfId="73">
      <pivotArea collapsedLevelsAreSubtotals="1" fieldPosition="0">
        <references count="2">
          <reference field="15" count="1" selected="0">
            <x v="0"/>
          </reference>
          <reference field="16" count="1" selected="0">
            <x v="74"/>
          </reference>
        </references>
      </pivotArea>
    </format>
    <format dxfId="74">
      <pivotArea collapsedLevelsAreSubtotals="1" fieldPosition="0">
        <references count="2">
          <reference field="15" count="1" selected="0">
            <x v="0"/>
          </reference>
          <reference field="16" count="1" selected="0">
            <x v="43"/>
          </reference>
        </references>
      </pivotArea>
    </format>
    <format dxfId="75">
      <pivotArea collapsedLevelsAreSubtotals="1" fieldPosition="0">
        <references count="2">
          <reference field="15" count="1" selected="0">
            <x v="0"/>
          </reference>
          <reference field="16" count="1" selected="0">
            <x v="15"/>
          </reference>
        </references>
      </pivotArea>
    </format>
    <format dxfId="76">
      <pivotArea collapsedLevelsAreSubtotals="1" fieldPosition="0">
        <references count="2">
          <reference field="15" count="1" selected="0">
            <x v="0"/>
          </reference>
          <reference field="16" count="1" selected="0">
            <x v="38"/>
          </reference>
        </references>
      </pivotArea>
    </format>
    <format dxfId="77">
      <pivotArea collapsedLevelsAreSubtotals="1" fieldPosition="0">
        <references count="2">
          <reference field="15" count="1" selected="0">
            <x v="0"/>
          </reference>
          <reference field="16" count="1" selected="0">
            <x v="62"/>
          </reference>
        </references>
      </pivotArea>
    </format>
    <format dxfId="78">
      <pivotArea collapsedLevelsAreSubtotals="1" fieldPosition="0">
        <references count="2">
          <reference field="15" count="1" selected="0">
            <x v="0"/>
          </reference>
          <reference field="16" count="1" selected="0">
            <x v="73"/>
          </reference>
        </references>
      </pivotArea>
    </format>
    <format dxfId="79">
      <pivotArea collapsedLevelsAreSubtotals="1" fieldPosition="0">
        <references count="2">
          <reference field="15" count="1" selected="0">
            <x v="0"/>
          </reference>
          <reference field="16" count="1" selected="0">
            <x v="66"/>
          </reference>
        </references>
      </pivotArea>
    </format>
    <format dxfId="80">
      <pivotArea collapsedLevelsAreSubtotals="1" fieldPosition="0">
        <references count="2">
          <reference field="15" count="1" selected="0">
            <x v="0"/>
          </reference>
          <reference field="16" count="1" selected="0">
            <x v="42"/>
          </reference>
        </references>
      </pivotArea>
    </format>
    <format dxfId="81">
      <pivotArea collapsedLevelsAreSubtotals="1" fieldPosition="0">
        <references count="2">
          <reference field="15" count="1" selected="0">
            <x v="0"/>
          </reference>
          <reference field="16" count="1" selected="0">
            <x v="24"/>
          </reference>
        </references>
      </pivotArea>
    </format>
    <format dxfId="82">
      <pivotArea collapsedLevelsAreSubtotals="1" fieldPosition="0">
        <references count="2">
          <reference field="15" count="1" selected="0">
            <x v="0"/>
          </reference>
          <reference field="16" count="1" selected="0">
            <x v="0"/>
          </reference>
        </references>
      </pivotArea>
    </format>
    <format dxfId="83">
      <pivotArea collapsedLevelsAreSubtotals="1" fieldPosition="0">
        <references count="2">
          <reference field="15" count="1" selected="0">
            <x v="0"/>
          </reference>
          <reference field="16" count="1" selected="0">
            <x v="45"/>
          </reference>
        </references>
      </pivotArea>
    </format>
    <format dxfId="84">
      <pivotArea collapsedLevelsAreSubtotals="1" fieldPosition="0">
        <references count="2">
          <reference field="15" count="1" selected="0">
            <x v="0"/>
          </reference>
          <reference field="16" count="1" selected="0">
            <x v="27"/>
          </reference>
        </references>
      </pivotArea>
    </format>
    <format dxfId="85">
      <pivotArea collapsedLevelsAreSubtotals="1" fieldPosition="0">
        <references count="2">
          <reference field="15" count="1" selected="0">
            <x v="0"/>
          </reference>
          <reference field="16" count="1" selected="0">
            <x v="51"/>
          </reference>
        </references>
      </pivotArea>
    </format>
    <format dxfId="86">
      <pivotArea collapsedLevelsAreSubtotals="1" fieldPosition="0">
        <references count="2">
          <reference field="15" count="1" selected="0">
            <x v="0"/>
          </reference>
          <reference field="16" count="1" selected="0">
            <x v="30"/>
          </reference>
        </references>
      </pivotArea>
    </format>
    <format dxfId="87">
      <pivotArea collapsedLevelsAreSubtotals="1" fieldPosition="0">
        <references count="2">
          <reference field="15" count="1" selected="0">
            <x v="0"/>
          </reference>
          <reference field="16" count="1" selected="0">
            <x v="87"/>
          </reference>
        </references>
      </pivotArea>
    </format>
    <format dxfId="88">
      <pivotArea collapsedLevelsAreSubtotals="1" fieldPosition="0">
        <references count="2">
          <reference field="15" count="1" selected="0">
            <x v="0"/>
          </reference>
          <reference field="16" count="1" selected="0">
            <x v="61"/>
          </reference>
        </references>
      </pivotArea>
    </format>
    <format dxfId="89">
      <pivotArea collapsedLevelsAreSubtotals="1" fieldPosition="0">
        <references count="2">
          <reference field="15" count="1" selected="0">
            <x v="0"/>
          </reference>
          <reference field="16" count="1" selected="0">
            <x v="60"/>
          </reference>
        </references>
      </pivotArea>
    </format>
    <format dxfId="90">
      <pivotArea collapsedLevelsAreSubtotals="1" fieldPosition="0">
        <references count="2">
          <reference field="15" count="1" selected="0">
            <x v="0"/>
          </reference>
          <reference field="16" count="1" selected="0">
            <x v="13"/>
          </reference>
        </references>
      </pivotArea>
    </format>
    <format dxfId="91">
      <pivotArea collapsedLevelsAreSubtotals="1" fieldPosition="0">
        <references count="2">
          <reference field="15" count="1" selected="0">
            <x v="0"/>
          </reference>
          <reference field="16" count="1" selected="0">
            <x v="23"/>
          </reference>
        </references>
      </pivotArea>
    </format>
    <format dxfId="92">
      <pivotArea collapsedLevelsAreSubtotals="1" fieldPosition="0">
        <references count="2">
          <reference field="15" count="1" selected="0">
            <x v="0"/>
          </reference>
          <reference field="16" count="1" selected="0">
            <x v="82"/>
          </reference>
        </references>
      </pivotArea>
    </format>
    <format dxfId="93">
      <pivotArea collapsedLevelsAreSubtotals="1" fieldPosition="0">
        <references count="2">
          <reference field="15" count="1" selected="0">
            <x v="0"/>
          </reference>
          <reference field="16" count="1" selected="0">
            <x v="84"/>
          </reference>
        </references>
      </pivotArea>
    </format>
    <format dxfId="94">
      <pivotArea collapsedLevelsAreSubtotals="1" fieldPosition="0">
        <references count="2">
          <reference field="15" count="1" selected="0">
            <x v="0"/>
          </reference>
          <reference field="16" count="1" selected="0">
            <x v="72"/>
          </reference>
        </references>
      </pivotArea>
    </format>
    <format dxfId="95">
      <pivotArea collapsedLevelsAreSubtotals="1" fieldPosition="0">
        <references count="2">
          <reference field="15" count="1" selected="0">
            <x v="0"/>
          </reference>
          <reference field="16" count="1" selected="0">
            <x v="41"/>
          </reference>
        </references>
      </pivotArea>
    </format>
    <format dxfId="96">
      <pivotArea collapsedLevelsAreSubtotals="1" fieldPosition="0">
        <references count="2">
          <reference field="15" count="1" selected="0">
            <x v="0"/>
          </reference>
          <reference field="16" count="1" selected="0">
            <x v="68"/>
          </reference>
        </references>
      </pivotArea>
    </format>
    <format dxfId="97">
      <pivotArea collapsedLevelsAreSubtotals="1" fieldPosition="0">
        <references count="2">
          <reference field="15" count="1" selected="0">
            <x v="0"/>
          </reference>
          <reference field="16" count="1" selected="0">
            <x v="50"/>
          </reference>
        </references>
      </pivotArea>
    </format>
    <format dxfId="98">
      <pivotArea collapsedLevelsAreSubtotals="1" fieldPosition="0">
        <references count="2">
          <reference field="15" count="1" selected="0">
            <x v="0"/>
          </reference>
          <reference field="16" count="1" selected="0">
            <x v="81"/>
          </reference>
        </references>
      </pivotArea>
    </format>
    <format dxfId="99">
      <pivotArea collapsedLevelsAreSubtotals="1" fieldPosition="0">
        <references count="2">
          <reference field="15" count="1" selected="0">
            <x v="0"/>
          </reference>
          <reference field="16" count="1" selected="0">
            <x v="63"/>
          </reference>
        </references>
      </pivotArea>
    </format>
    <format dxfId="100">
      <pivotArea collapsedLevelsAreSubtotals="1" fieldPosition="0">
        <references count="2">
          <reference field="15" count="1" selected="0">
            <x v="0"/>
          </reference>
          <reference field="16" count="1" selected="0">
            <x v="6"/>
          </reference>
        </references>
      </pivotArea>
    </format>
    <format dxfId="101">
      <pivotArea collapsedLevelsAreSubtotals="1" fieldPosition="0">
        <references count="2">
          <reference field="15" count="1" selected="0">
            <x v="0"/>
          </reference>
          <reference field="16" count="1" selected="0">
            <x v="10"/>
          </reference>
        </references>
      </pivotArea>
    </format>
    <format dxfId="102">
      <pivotArea collapsedLevelsAreSubtotals="1" fieldPosition="0">
        <references count="2">
          <reference field="15" count="1" selected="0">
            <x v="0"/>
          </reference>
          <reference field="16" count="1" selected="0">
            <x v="56"/>
          </reference>
        </references>
      </pivotArea>
    </format>
    <format dxfId="103">
      <pivotArea collapsedLevelsAreSubtotals="1" fieldPosition="0">
        <references count="2">
          <reference field="15" count="1" selected="0">
            <x v="0"/>
          </reference>
          <reference field="16" count="1" selected="0">
            <x v="44"/>
          </reference>
        </references>
      </pivotArea>
    </format>
    <format dxfId="104">
      <pivotArea collapsedLevelsAreSubtotals="1" fieldPosition="0">
        <references count="2">
          <reference field="15" count="1" selected="0">
            <x v="0"/>
          </reference>
          <reference field="16" count="1" selected="0">
            <x v="53"/>
          </reference>
        </references>
      </pivotArea>
    </format>
    <format dxfId="105">
      <pivotArea collapsedLevelsAreSubtotals="1" fieldPosition="0">
        <references count="2">
          <reference field="15" count="1" selected="0">
            <x v="0"/>
          </reference>
          <reference field="16" count="1" selected="0">
            <x v="59"/>
          </reference>
        </references>
      </pivotArea>
    </format>
    <format dxfId="106">
      <pivotArea collapsedLevelsAreSubtotals="1" fieldPosition="0">
        <references count="2">
          <reference field="15" count="1" selected="0">
            <x v="0"/>
          </reference>
          <reference field="16" count="1" selected="0">
            <x v="86"/>
          </reference>
        </references>
      </pivotArea>
    </format>
    <format dxfId="107">
      <pivotArea collapsedLevelsAreSubtotals="1" fieldPosition="0">
        <references count="2">
          <reference field="15" count="1" selected="0">
            <x v="0"/>
          </reference>
          <reference field="16" count="1" selected="0">
            <x v="75"/>
          </reference>
        </references>
      </pivotArea>
    </format>
    <format dxfId="108">
      <pivotArea collapsedLevelsAreSubtotals="1" fieldPosition="0">
        <references count="2">
          <reference field="15" count="1" selected="0">
            <x v="0"/>
          </reference>
          <reference field="16" count="1" selected="0">
            <x v="26"/>
          </reference>
        </references>
      </pivotArea>
    </format>
    <format dxfId="109">
      <pivotArea collapsedLevelsAreSubtotals="1" fieldPosition="0">
        <references count="2">
          <reference field="15" count="1" selected="0">
            <x v="0"/>
          </reference>
          <reference field="16" count="1" selected="0">
            <x v="12"/>
          </reference>
        </references>
      </pivotArea>
    </format>
    <format dxfId="110">
      <pivotArea collapsedLevelsAreSubtotals="1" fieldPosition="0">
        <references count="2">
          <reference field="15" count="1" selected="0">
            <x v="0"/>
          </reference>
          <reference field="16" count="1" selected="0">
            <x v="33"/>
          </reference>
        </references>
      </pivotArea>
    </format>
    <format dxfId="111">
      <pivotArea collapsedLevelsAreSubtotals="1" fieldPosition="0">
        <references count="2">
          <reference field="15" count="1" selected="0">
            <x v="0"/>
          </reference>
          <reference field="16" count="1" selected="0">
            <x v="83"/>
          </reference>
        </references>
      </pivotArea>
    </format>
    <format dxfId="112">
      <pivotArea collapsedLevelsAreSubtotals="1" fieldPosition="0">
        <references count="2">
          <reference field="15" count="1" selected="0">
            <x v="0"/>
          </reference>
          <reference field="16" count="1" selected="0">
            <x v="49"/>
          </reference>
        </references>
      </pivotArea>
    </format>
    <format dxfId="113">
      <pivotArea collapsedLevelsAreSubtotals="1" fieldPosition="0">
        <references count="2">
          <reference field="15" count="1" selected="0">
            <x v="0"/>
          </reference>
          <reference field="16" count="1" selected="0">
            <x v="79"/>
          </reference>
        </references>
      </pivotArea>
    </format>
    <format dxfId="114">
      <pivotArea collapsedLevelsAreSubtotals="1" fieldPosition="0">
        <references count="2">
          <reference field="15" count="1" selected="0">
            <x v="0"/>
          </reference>
          <reference field="16" count="1" selected="0">
            <x v="32"/>
          </reference>
        </references>
      </pivotArea>
    </format>
    <format dxfId="115">
      <pivotArea collapsedLevelsAreSubtotals="1" fieldPosition="0">
        <references count="2">
          <reference field="15" count="1" selected="0">
            <x v="0"/>
          </reference>
          <reference field="16" count="1" selected="0">
            <x v="40"/>
          </reference>
        </references>
      </pivotArea>
    </format>
    <format dxfId="116">
      <pivotArea collapsedLevelsAreSubtotals="1" fieldPosition="0">
        <references count="2">
          <reference field="15" count="1" selected="0">
            <x v="0"/>
          </reference>
          <reference field="16" count="1" selected="0">
            <x v="14"/>
          </reference>
        </references>
      </pivotArea>
    </format>
    <format dxfId="117">
      <pivotArea collapsedLevelsAreSubtotals="1" fieldPosition="0">
        <references count="2">
          <reference field="15" count="1" selected="0">
            <x v="0"/>
          </reference>
          <reference field="16" count="1" selected="0">
            <x v="78"/>
          </reference>
        </references>
      </pivotArea>
    </format>
    <format dxfId="118">
      <pivotArea collapsedLevelsAreSubtotals="1" fieldPosition="0">
        <references count="2">
          <reference field="15" count="1" selected="0">
            <x v="0"/>
          </reference>
          <reference field="16" count="1" selected="0">
            <x v="4"/>
          </reference>
        </references>
      </pivotArea>
    </format>
    <format dxfId="119">
      <pivotArea collapsedLevelsAreSubtotals="1" fieldPosition="0">
        <references count="2">
          <reference field="15" count="1" selected="0">
            <x v="0"/>
          </reference>
          <reference field="16" count="1" selected="0">
            <x v="80"/>
          </reference>
        </references>
      </pivotArea>
    </format>
    <format dxfId="120">
      <pivotArea collapsedLevelsAreSubtotals="1" fieldPosition="0">
        <references count="2">
          <reference field="15" count="1" selected="0">
            <x v="0"/>
          </reference>
          <reference field="16" count="1" selected="0">
            <x v="70"/>
          </reference>
        </references>
      </pivotArea>
    </format>
    <format dxfId="121">
      <pivotArea collapsedLevelsAreSubtotals="1" fieldPosition="0">
        <references count="2">
          <reference field="15" count="1" selected="0">
            <x v="0"/>
          </reference>
          <reference field="16" count="1" selected="0">
            <x v="48"/>
          </reference>
        </references>
      </pivotArea>
    </format>
    <format dxfId="122">
      <pivotArea collapsedLevelsAreSubtotals="1" fieldPosition="0">
        <references count="2">
          <reference field="15" count="1" selected="0">
            <x v="0"/>
          </reference>
          <reference field="16" count="1" selected="0">
            <x v="29"/>
          </reference>
        </references>
      </pivotArea>
    </format>
    <format dxfId="123">
      <pivotArea collapsedLevelsAreSubtotals="1" fieldPosition="0">
        <references count="2">
          <reference field="15" count="1" selected="0">
            <x v="0"/>
          </reference>
          <reference field="16" count="1" selected="0">
            <x v="57"/>
          </reference>
        </references>
      </pivotArea>
    </format>
    <format dxfId="124">
      <pivotArea collapsedLevelsAreSubtotals="1" fieldPosition="0">
        <references count="2">
          <reference field="15" count="1" selected="0">
            <x v="0"/>
          </reference>
          <reference field="16" count="1" selected="0">
            <x v="76"/>
          </reference>
        </references>
      </pivotArea>
    </format>
    <format dxfId="125">
      <pivotArea collapsedLevelsAreSubtotals="1" fieldPosition="0">
        <references count="2">
          <reference field="15" count="1" selected="0">
            <x v="0"/>
          </reference>
          <reference field="16" count="1" selected="0">
            <x v="18"/>
          </reference>
        </references>
      </pivotArea>
    </format>
    <format dxfId="126">
      <pivotArea collapsedLevelsAreSubtotals="1" fieldPosition="0">
        <references count="2">
          <reference field="15" count="1" selected="0">
            <x v="0"/>
          </reference>
          <reference field="16" count="1" selected="0">
            <x v="5"/>
          </reference>
        </references>
      </pivotArea>
    </format>
    <format dxfId="127">
      <pivotArea collapsedLevelsAreSubtotals="1" fieldPosition="0">
        <references count="2">
          <reference field="15" count="1" selected="0">
            <x v="0"/>
          </reference>
          <reference field="16" count="1" selected="0">
            <x v="67"/>
          </reference>
        </references>
      </pivotArea>
    </format>
    <format dxfId="128">
      <pivotArea collapsedLevelsAreSubtotals="1" fieldPosition="0">
        <references count="2">
          <reference field="15" count="1" selected="0">
            <x v="0"/>
          </reference>
          <reference field="16" count="1" selected="0">
            <x v="58"/>
          </reference>
        </references>
      </pivotArea>
    </format>
    <format dxfId="129">
      <pivotArea collapsedLevelsAreSubtotals="1" fieldPosition="0">
        <references count="2">
          <reference field="15" count="1" selected="0">
            <x v="0"/>
          </reference>
          <reference field="16" count="1" selected="0">
            <x v="65"/>
          </reference>
        </references>
      </pivotArea>
    </format>
    <format dxfId="130">
      <pivotArea collapsedLevelsAreSubtotals="1" fieldPosition="0">
        <references count="2">
          <reference field="15" count="1" selected="0">
            <x v="0"/>
          </reference>
          <reference field="16" count="1" selected="0">
            <x v="54"/>
          </reference>
        </references>
      </pivotArea>
    </format>
    <format dxfId="131">
      <pivotArea collapsedLevelsAreSubtotals="1" fieldPosition="0">
        <references count="2">
          <reference field="15" count="1" selected="0">
            <x v="0"/>
          </reference>
          <reference field="16" count="1" selected="0">
            <x v="9"/>
          </reference>
        </references>
      </pivotArea>
    </format>
    <format dxfId="132">
      <pivotArea collapsedLevelsAreSubtotals="1" fieldPosition="0">
        <references count="2">
          <reference field="15" count="1" selected="0">
            <x v="0"/>
          </reference>
          <reference field="16" count="1" selected="0">
            <x v="64"/>
          </reference>
        </references>
      </pivotArea>
    </format>
    <format dxfId="133">
      <pivotArea collapsedLevelsAreSubtotals="1" fieldPosition="0">
        <references count="2">
          <reference field="15" count="1" selected="0">
            <x v="0"/>
          </reference>
          <reference field="16" count="1" selected="0">
            <x v="22"/>
          </reference>
        </references>
      </pivotArea>
    </format>
    <format dxfId="134">
      <pivotArea collapsedLevelsAreSubtotals="1" fieldPosition="0">
        <references count="2">
          <reference field="15" count="1" selected="0">
            <x v="0"/>
          </reference>
          <reference field="16" count="1" selected="0">
            <x v="39"/>
          </reference>
        </references>
      </pivotArea>
    </format>
    <format dxfId="135">
      <pivotArea collapsedLevelsAreSubtotals="1" fieldPosition="0">
        <references count="2">
          <reference field="15" count="1" selected="0">
            <x v="0"/>
          </reference>
          <reference field="16" count="1" selected="0">
            <x v="36"/>
          </reference>
        </references>
      </pivotArea>
    </format>
    <format dxfId="136">
      <pivotArea collapsedLevelsAreSubtotals="1" fieldPosition="0">
        <references count="2">
          <reference field="15" count="1" selected="0">
            <x v="0"/>
          </reference>
          <reference field="16" count="1" selected="0">
            <x v="3"/>
          </reference>
        </references>
      </pivotArea>
    </format>
    <format dxfId="137">
      <pivotArea collapsedLevelsAreSubtotals="1" fieldPosition="0">
        <references count="2">
          <reference field="15" count="1" selected="0">
            <x v="0"/>
          </reference>
          <reference field="16" count="1" selected="0">
            <x v="1"/>
          </reference>
        </references>
      </pivotArea>
    </format>
    <format dxfId="138">
      <pivotArea collapsedLevelsAreSubtotals="1" fieldPosition="0">
        <references count="2">
          <reference field="15" count="1" selected="0">
            <x v="0"/>
          </reference>
          <reference field="16" count="1" selected="0">
            <x v="19"/>
          </reference>
        </references>
      </pivotArea>
    </format>
    <format dxfId="139">
      <pivotArea collapsedLevelsAreSubtotals="1" fieldPosition="0">
        <references count="2">
          <reference field="15" count="1" selected="0">
            <x v="0"/>
          </reference>
          <reference field="16" count="1" selected="0">
            <x v="28"/>
          </reference>
        </references>
      </pivotArea>
    </format>
    <format dxfId="140">
      <pivotArea collapsedLevelsAreSubtotals="1" fieldPosition="0">
        <references count="2">
          <reference field="15" count="1" selected="0">
            <x v="0"/>
          </reference>
          <reference field="16" count="1" selected="0">
            <x v="37"/>
          </reference>
        </references>
      </pivotArea>
    </format>
    <format dxfId="141">
      <pivotArea collapsedLevelsAreSubtotals="1" fieldPosition="0">
        <references count="2">
          <reference field="15" count="1" selected="0">
            <x v="0"/>
          </reference>
          <reference field="16" count="1" selected="0">
            <x v="16"/>
          </reference>
        </references>
      </pivotArea>
    </format>
    <format dxfId="142">
      <pivotArea collapsedLevelsAreSubtotals="1" fieldPosition="0">
        <references count="2">
          <reference field="15" count="1" selected="0">
            <x v="0"/>
          </reference>
          <reference field="16" count="1" selected="0">
            <x v="46"/>
          </reference>
        </references>
      </pivotArea>
    </format>
    <format dxfId="143">
      <pivotArea collapsedLevelsAreSubtotals="1" fieldPosition="0">
        <references count="2">
          <reference field="15" count="1" selected="0">
            <x v="0"/>
          </reference>
          <reference field="16" count="1" selected="0">
            <x v="20"/>
          </reference>
        </references>
      </pivotArea>
    </format>
    <format dxfId="144">
      <pivotArea collapsedLevelsAreSubtotals="1" fieldPosition="0">
        <references count="2">
          <reference field="15" count="1" selected="0">
            <x v="0"/>
          </reference>
          <reference field="16" count="1" selected="0">
            <x v="77"/>
          </reference>
        </references>
      </pivotArea>
    </format>
    <format dxfId="145">
      <pivotArea collapsedLevelsAreSubtotals="1" fieldPosition="0">
        <references count="2">
          <reference field="15" count="1" selected="0">
            <x v="0"/>
          </reference>
          <reference field="16" count="1" selected="0">
            <x v="69"/>
          </reference>
        </references>
      </pivotArea>
    </format>
    <format dxfId="146">
      <pivotArea collapsedLevelsAreSubtotals="1" fieldPosition="0">
        <references count="2">
          <reference field="15" count="1" selected="0">
            <x v="0"/>
          </reference>
          <reference field="16" count="1" selected="0">
            <x v="21"/>
          </reference>
        </references>
      </pivotArea>
    </format>
    <format dxfId="147">
      <pivotArea collapsedLevelsAreSubtotals="1" fieldPosition="0">
        <references count="2">
          <reference field="15" count="1" selected="0">
            <x v="0"/>
          </reference>
          <reference field="16" count="1" selected="0">
            <x v="52"/>
          </reference>
        </references>
      </pivotArea>
    </format>
    <format dxfId="148">
      <pivotArea collapsedLevelsAreSubtotals="1" fieldPosition="0">
        <references count="2">
          <reference field="15" count="1" selected="0">
            <x v="0"/>
          </reference>
          <reference field="16" count="1" selected="0">
            <x v="85"/>
          </reference>
        </references>
      </pivotArea>
    </format>
    <format dxfId="149">
      <pivotArea collapsedLevelsAreSubtotals="1" fieldPosition="0">
        <references count="2">
          <reference field="15" count="1" selected="0">
            <x v="0"/>
          </reference>
          <reference field="16" count="1" selected="0">
            <x v="11"/>
          </reference>
        </references>
      </pivotArea>
    </format>
    <format dxfId="150">
      <pivotArea collapsedLevelsAreSubtotals="1" fieldPosition="0">
        <references count="2">
          <reference field="15" count="1" selected="0">
            <x v="0"/>
          </reference>
          <reference field="16" count="1" selected="0">
            <x v="31"/>
          </reference>
        </references>
      </pivotArea>
    </format>
    <format dxfId="151">
      <pivotArea collapsedLevelsAreSubtotals="1" fieldPosition="0">
        <references count="2">
          <reference field="15" count="1" selected="0">
            <x v="0"/>
          </reference>
          <reference field="16" count="1" selected="0">
            <x v="8"/>
          </reference>
        </references>
      </pivotArea>
    </format>
    <format dxfId="152">
      <pivotArea collapsedLevelsAreSubtotals="1" fieldPosition="0">
        <references count="2">
          <reference field="15" count="1" selected="0">
            <x v="0"/>
          </reference>
          <reference field="16" count="1" selected="0">
            <x v="7"/>
          </reference>
        </references>
      </pivotArea>
    </format>
    <format dxfId="153">
      <pivotArea collapsedLevelsAreSubtotals="1" fieldPosition="0">
        <references count="2">
          <reference field="15" count="1" selected="0">
            <x v="0"/>
          </reference>
          <reference field="16" count="1" selected="0">
            <x v="35"/>
          </reference>
        </references>
      </pivotArea>
    </format>
    <format dxfId="154">
      <pivotArea collapsedLevelsAreSubtotals="1" fieldPosition="0">
        <references count="2">
          <reference field="15" count="1" selected="0">
            <x v="0"/>
          </reference>
          <reference field="16" count="1" selected="0">
            <x v="25"/>
          </reference>
        </references>
      </pivotArea>
    </format>
    <format dxfId="155">
      <pivotArea collapsedLevelsAreSubtotals="1" fieldPosition="0">
        <references count="2">
          <reference field="15" count="1" selected="0">
            <x v="0"/>
          </reference>
          <reference field="16" count="1" selected="0">
            <x v="34"/>
          </reference>
        </references>
      </pivotArea>
    </format>
    <format dxfId="156">
      <pivotArea collapsedLevelsAreSubtotals="1" fieldPosition="0">
        <references count="2">
          <reference field="15" count="1" selected="0">
            <x v="0"/>
          </reference>
          <reference field="16" count="1" selected="0">
            <x v="71"/>
          </reference>
        </references>
      </pivotArea>
    </format>
    <format dxfId="157">
      <pivotArea collapsedLevelsAreSubtotals="1" fieldPosition="0">
        <references count="2">
          <reference field="15" count="1" selected="0">
            <x v="0"/>
          </reference>
          <reference field="16" count="1" selected="0">
            <x v="17"/>
          </reference>
        </references>
      </pivotArea>
    </format>
    <format dxfId="158">
      <pivotArea collapsedLevelsAreSubtotals="1" fieldPosition="0">
        <references count="2">
          <reference field="15" count="1" selected="0">
            <x v="0"/>
          </reference>
          <reference field="16" count="1" selected="0">
            <x v="2"/>
          </reference>
        </references>
      </pivotArea>
    </format>
    <format dxfId="159">
      <pivotArea collapsedLevelsAreSubtotals="1" fieldPosition="0">
        <references count="2">
          <reference field="15" count="1" selected="0">
            <x v="0"/>
          </reference>
          <reference field="16" count="1" selected="0">
            <x v="47"/>
          </reference>
        </references>
      </pivotArea>
    </format>
    <format dxfId="160">
      <pivotArea collapsedLevelsAreSubtotals="1" fieldPosition="0">
        <references count="2">
          <reference field="15" count="1" selected="0">
            <x v="0"/>
          </reference>
          <reference field="16" count="1" selected="0">
            <x v="55"/>
          </reference>
        </references>
      </pivotArea>
    </format>
    <format dxfId="161">
      <pivotArea collapsedLevelsAreSubtotals="1" fieldPosition="0">
        <references count="2">
          <reference field="15" count="1" selected="0">
            <x v="0"/>
          </reference>
          <reference field="16" count="1" selected="0">
            <x v="74"/>
          </reference>
        </references>
      </pivotArea>
    </format>
    <format dxfId="162">
      <pivotArea collapsedLevelsAreSubtotals="1" fieldPosition="0">
        <references count="2">
          <reference field="15" count="1" selected="0">
            <x v="0"/>
          </reference>
          <reference field="16" count="1" selected="0">
            <x v="43"/>
          </reference>
        </references>
      </pivotArea>
    </format>
    <format dxfId="163">
      <pivotArea collapsedLevelsAreSubtotals="1" fieldPosition="0">
        <references count="2">
          <reference field="15" count="1" selected="0">
            <x v="0"/>
          </reference>
          <reference field="16" count="1" selected="0">
            <x v="15"/>
          </reference>
        </references>
      </pivotArea>
    </format>
    <format dxfId="164">
      <pivotArea collapsedLevelsAreSubtotals="1" fieldPosition="0">
        <references count="2">
          <reference field="15" count="1" selected="0">
            <x v="0"/>
          </reference>
          <reference field="16" count="1" selected="0">
            <x v="38"/>
          </reference>
        </references>
      </pivotArea>
    </format>
    <format dxfId="165">
      <pivotArea collapsedLevelsAreSubtotals="1" fieldPosition="0">
        <references count="2">
          <reference field="15" count="1" selected="0">
            <x v="0"/>
          </reference>
          <reference field="16" count="1" selected="0">
            <x v="62"/>
          </reference>
        </references>
      </pivotArea>
    </format>
    <format dxfId="166">
      <pivotArea collapsedLevelsAreSubtotals="1" fieldPosition="0">
        <references count="2">
          <reference field="15" count="1" selected="0">
            <x v="0"/>
          </reference>
          <reference field="16" count="1" selected="0">
            <x v="73"/>
          </reference>
        </references>
      </pivotArea>
    </format>
    <format dxfId="167">
      <pivotArea collapsedLevelsAreSubtotals="1" fieldPosition="0">
        <references count="2">
          <reference field="15" count="1" selected="0">
            <x v="0"/>
          </reference>
          <reference field="16" count="1" selected="0">
            <x v="66"/>
          </reference>
        </references>
      </pivotArea>
    </format>
    <format dxfId="168">
      <pivotArea collapsedLevelsAreSubtotals="1" fieldPosition="0">
        <references count="2">
          <reference field="15" count="1" selected="0">
            <x v="0"/>
          </reference>
          <reference field="16" count="1" selected="0">
            <x v="42"/>
          </reference>
        </references>
      </pivotArea>
    </format>
    <format dxfId="169">
      <pivotArea collapsedLevelsAreSubtotals="1" fieldPosition="0">
        <references count="2">
          <reference field="15" count="1" selected="0">
            <x v="0"/>
          </reference>
          <reference field="16" count="1" selected="0">
            <x v="24"/>
          </reference>
        </references>
      </pivotArea>
    </format>
    <format dxfId="170">
      <pivotArea collapsedLevelsAreSubtotals="1" fieldPosition="0">
        <references count="2">
          <reference field="15" count="1" selected="0">
            <x v="0"/>
          </reference>
          <reference field="16" count="1" selected="0">
            <x v="0"/>
          </reference>
        </references>
      </pivotArea>
    </format>
    <format dxfId="171">
      <pivotArea collapsedLevelsAreSubtotals="1" fieldPosition="0">
        <references count="2">
          <reference field="15" count="1" selected="0">
            <x v="0"/>
          </reference>
          <reference field="16" count="1" selected="0">
            <x v="45"/>
          </reference>
        </references>
      </pivotArea>
    </format>
    <format dxfId="172">
      <pivotArea collapsedLevelsAreSubtotals="1" fieldPosition="0">
        <references count="2">
          <reference field="15" count="1" selected="0">
            <x v="0"/>
          </reference>
          <reference field="16" count="1" selected="0">
            <x v="27"/>
          </reference>
        </references>
      </pivotArea>
    </format>
    <format dxfId="173">
      <pivotArea collapsedLevelsAreSubtotals="1" fieldPosition="0">
        <references count="2">
          <reference field="15" count="1" selected="0">
            <x v="0"/>
          </reference>
          <reference field="16" count="1" selected="0">
            <x v="51"/>
          </reference>
        </references>
      </pivotArea>
    </format>
    <format dxfId="174">
      <pivotArea collapsedLevelsAreSubtotals="1" fieldPosition="0">
        <references count="2">
          <reference field="15" count="1" selected="0">
            <x v="0"/>
          </reference>
          <reference field="16" count="1" selected="0">
            <x v="30"/>
          </reference>
        </references>
      </pivotArea>
    </format>
    <format dxfId="175">
      <pivotArea collapsedLevelsAreSubtotals="1" fieldPosition="0">
        <references count="2">
          <reference field="15" count="1" selected="0">
            <x v="0"/>
          </reference>
          <reference field="16" count="1" selected="0">
            <x v="87"/>
          </reference>
        </references>
      </pivotArea>
    </format>
    <format dxfId="176">
      <pivotArea collapsedLevelsAreSubtotals="1" fieldPosition="0">
        <references count="2">
          <reference field="15" count="1" selected="0">
            <x v="0"/>
          </reference>
          <reference field="16" count="1" selected="0">
            <x v="61"/>
          </reference>
        </references>
      </pivotArea>
    </format>
    <format dxfId="177">
      <pivotArea collapsedLevelsAreSubtotals="1" fieldPosition="0">
        <references count="2">
          <reference field="15" count="1" selected="0">
            <x v="0"/>
          </reference>
          <reference field="16" count="1" selected="0">
            <x v="60"/>
          </reference>
        </references>
      </pivotArea>
    </format>
    <format dxfId="178">
      <pivotArea collapsedLevelsAreSubtotals="1" fieldPosition="0">
        <references count="2">
          <reference field="15" count="1" selected="0">
            <x v="0"/>
          </reference>
          <reference field="16" count="1" selected="0">
            <x v="13"/>
          </reference>
        </references>
      </pivotArea>
    </format>
    <format dxfId="179">
      <pivotArea collapsedLevelsAreSubtotals="1" fieldPosition="0">
        <references count="2">
          <reference field="15" count="1" selected="0">
            <x v="0"/>
          </reference>
          <reference field="16" count="1" selected="0">
            <x v="23"/>
          </reference>
        </references>
      </pivotArea>
    </format>
    <format dxfId="180">
      <pivotArea collapsedLevelsAreSubtotals="1" fieldPosition="0">
        <references count="2">
          <reference field="15" count="1" selected="0">
            <x v="0"/>
          </reference>
          <reference field="16" count="1" selected="0">
            <x v="82"/>
          </reference>
        </references>
      </pivotArea>
    </format>
    <format dxfId="181">
      <pivotArea collapsedLevelsAreSubtotals="1" fieldPosition="0">
        <references count="2">
          <reference field="15" count="1" selected="0">
            <x v="0"/>
          </reference>
          <reference field="16" count="1" selected="0">
            <x v="84"/>
          </reference>
        </references>
      </pivotArea>
    </format>
    <format dxfId="182">
      <pivotArea collapsedLevelsAreSubtotals="1" fieldPosition="0">
        <references count="2">
          <reference field="15" count="1" selected="0">
            <x v="0"/>
          </reference>
          <reference field="16" count="1" selected="0">
            <x v="72"/>
          </reference>
        </references>
      </pivotArea>
    </format>
    <format dxfId="183">
      <pivotArea collapsedLevelsAreSubtotals="1" fieldPosition="0">
        <references count="2">
          <reference field="15" count="1" selected="0">
            <x v="0"/>
          </reference>
          <reference field="16" count="1" selected="0">
            <x v="41"/>
          </reference>
        </references>
      </pivotArea>
    </format>
    <format dxfId="184">
      <pivotArea collapsedLevelsAreSubtotals="1" fieldPosition="0">
        <references count="2">
          <reference field="15" count="1" selected="0">
            <x v="0"/>
          </reference>
          <reference field="16" count="1" selected="0">
            <x v="68"/>
          </reference>
        </references>
      </pivotArea>
    </format>
    <format dxfId="185">
      <pivotArea collapsedLevelsAreSubtotals="1" fieldPosition="0">
        <references count="2">
          <reference field="15" count="1" selected="0">
            <x v="0"/>
          </reference>
          <reference field="16" count="1" selected="0">
            <x v="50"/>
          </reference>
        </references>
      </pivotArea>
    </format>
    <format dxfId="186">
      <pivotArea collapsedLevelsAreSubtotals="1" fieldPosition="0">
        <references count="2">
          <reference field="15" count="1" selected="0">
            <x v="0"/>
          </reference>
          <reference field="16" count="1" selected="0">
            <x v="81"/>
          </reference>
        </references>
      </pivotArea>
    </format>
    <format dxfId="187">
      <pivotArea collapsedLevelsAreSubtotals="1" fieldPosition="0">
        <references count="2">
          <reference field="15" count="1" selected="0">
            <x v="0"/>
          </reference>
          <reference field="16" count="1" selected="0">
            <x v="63"/>
          </reference>
        </references>
      </pivotArea>
    </format>
    <format dxfId="188">
      <pivotArea collapsedLevelsAreSubtotals="1" fieldPosition="0">
        <references count="2">
          <reference field="15" count="1" selected="0">
            <x v="0"/>
          </reference>
          <reference field="16" count="1" selected="0">
            <x v="6"/>
          </reference>
        </references>
      </pivotArea>
    </format>
    <format dxfId="189">
      <pivotArea collapsedLevelsAreSubtotals="1" fieldPosition="0">
        <references count="2">
          <reference field="15" count="1" selected="0">
            <x v="0"/>
          </reference>
          <reference field="16" count="1" selected="0">
            <x v="10"/>
          </reference>
        </references>
      </pivotArea>
    </format>
    <format dxfId="190">
      <pivotArea collapsedLevelsAreSubtotals="1" fieldPosition="0">
        <references count="2">
          <reference field="15" count="1" selected="0">
            <x v="0"/>
          </reference>
          <reference field="16" count="1" selected="0">
            <x v="56"/>
          </reference>
        </references>
      </pivotArea>
    </format>
    <format dxfId="191">
      <pivotArea collapsedLevelsAreSubtotals="1" fieldPosition="0">
        <references count="2">
          <reference field="15" count="1" selected="0">
            <x v="0"/>
          </reference>
          <reference field="16" count="1" selected="0">
            <x v="44"/>
          </reference>
        </references>
      </pivotArea>
    </format>
    <format dxfId="192">
      <pivotArea collapsedLevelsAreSubtotals="1" fieldPosition="0">
        <references count="2">
          <reference field="15" count="1" selected="0">
            <x v="0"/>
          </reference>
          <reference field="16" count="1" selected="0">
            <x v="53"/>
          </reference>
        </references>
      </pivotArea>
    </format>
    <format dxfId="193">
      <pivotArea collapsedLevelsAreSubtotals="1" fieldPosition="0">
        <references count="2">
          <reference field="15" count="1" selected="0">
            <x v="0"/>
          </reference>
          <reference field="16" count="1" selected="0">
            <x v="59"/>
          </reference>
        </references>
      </pivotArea>
    </format>
    <format dxfId="194">
      <pivotArea collapsedLevelsAreSubtotals="1" fieldPosition="0">
        <references count="2">
          <reference field="15" count="1" selected="0">
            <x v="0"/>
          </reference>
          <reference field="16" count="1" selected="0">
            <x v="86"/>
          </reference>
        </references>
      </pivotArea>
    </format>
    <format dxfId="195">
      <pivotArea collapsedLevelsAreSubtotals="1" fieldPosition="0">
        <references count="2">
          <reference field="15" count="1" selected="0">
            <x v="0"/>
          </reference>
          <reference field="16" count="1" selected="0">
            <x v="75"/>
          </reference>
        </references>
      </pivotArea>
    </format>
    <format dxfId="196">
      <pivotArea collapsedLevelsAreSubtotals="1" fieldPosition="0">
        <references count="2">
          <reference field="15" count="1" selected="0">
            <x v="0"/>
          </reference>
          <reference field="16" count="1" selected="0">
            <x v="26"/>
          </reference>
        </references>
      </pivotArea>
    </format>
    <format dxfId="197">
      <pivotArea collapsedLevelsAreSubtotals="1" fieldPosition="0">
        <references count="2">
          <reference field="15" count="1" selected="0">
            <x v="0"/>
          </reference>
          <reference field="16" count="1" selected="0">
            <x v="12"/>
          </reference>
        </references>
      </pivotArea>
    </format>
    <format dxfId="198">
      <pivotArea collapsedLevelsAreSubtotals="1" fieldPosition="0">
        <references count="2">
          <reference field="15" count="1" selected="0">
            <x v="0"/>
          </reference>
          <reference field="16" count="1" selected="0">
            <x v="33"/>
          </reference>
        </references>
      </pivotArea>
    </format>
    <format dxfId="199">
      <pivotArea collapsedLevelsAreSubtotals="1" fieldPosition="0">
        <references count="2">
          <reference field="15" count="1" selected="0">
            <x v="0"/>
          </reference>
          <reference field="16" count="1" selected="0">
            <x v="83"/>
          </reference>
        </references>
      </pivotArea>
    </format>
    <format dxfId="200">
      <pivotArea collapsedLevelsAreSubtotals="1" fieldPosition="0">
        <references count="2">
          <reference field="15" count="1" selected="0">
            <x v="0"/>
          </reference>
          <reference field="16" count="1" selected="0">
            <x v="49"/>
          </reference>
        </references>
      </pivotArea>
    </format>
    <format dxfId="201">
      <pivotArea collapsedLevelsAreSubtotals="1" fieldPosition="0">
        <references count="2">
          <reference field="15" count="1" selected="0">
            <x v="0"/>
          </reference>
          <reference field="16" count="1" selected="0">
            <x v="79"/>
          </reference>
        </references>
      </pivotArea>
    </format>
    <format dxfId="202">
      <pivotArea collapsedLevelsAreSubtotals="1" fieldPosition="0">
        <references count="2">
          <reference field="15" count="1" selected="0">
            <x v="0"/>
          </reference>
          <reference field="16" count="1" selected="0">
            <x v="32"/>
          </reference>
        </references>
      </pivotArea>
    </format>
    <format dxfId="203">
      <pivotArea collapsedLevelsAreSubtotals="1" fieldPosition="0">
        <references count="2">
          <reference field="15" count="1" selected="0">
            <x v="0"/>
          </reference>
          <reference field="16" count="1" selected="0">
            <x v="40"/>
          </reference>
        </references>
      </pivotArea>
    </format>
    <format dxfId="204">
      <pivotArea collapsedLevelsAreSubtotals="1" fieldPosition="0">
        <references count="2">
          <reference field="15" count="1" selected="0">
            <x v="0"/>
          </reference>
          <reference field="16" count="1" selected="0">
            <x v="14"/>
          </reference>
        </references>
      </pivotArea>
    </format>
    <format dxfId="205">
      <pivotArea collapsedLevelsAreSubtotals="1" fieldPosition="0">
        <references count="2">
          <reference field="15" count="1" selected="0">
            <x v="0"/>
          </reference>
          <reference field="16" count="1" selected="0">
            <x v="78"/>
          </reference>
        </references>
      </pivotArea>
    </format>
    <format dxfId="206">
      <pivotArea collapsedLevelsAreSubtotals="1" fieldPosition="0">
        <references count="2">
          <reference field="15" count="1" selected="0">
            <x v="0"/>
          </reference>
          <reference field="16" count="1" selected="0">
            <x v="4"/>
          </reference>
        </references>
      </pivotArea>
    </format>
    <format dxfId="207">
      <pivotArea collapsedLevelsAreSubtotals="1" fieldPosition="0">
        <references count="2">
          <reference field="15" count="1" selected="0">
            <x v="0"/>
          </reference>
          <reference field="16" count="1" selected="0">
            <x v="80"/>
          </reference>
        </references>
      </pivotArea>
    </format>
    <format dxfId="208">
      <pivotArea collapsedLevelsAreSubtotals="1" fieldPosition="0">
        <references count="2">
          <reference field="15" count="1" selected="0">
            <x v="0"/>
          </reference>
          <reference field="16" count="1" selected="0">
            <x v="70"/>
          </reference>
        </references>
      </pivotArea>
    </format>
    <format dxfId="209">
      <pivotArea collapsedLevelsAreSubtotals="1" fieldPosition="0">
        <references count="2">
          <reference field="15" count="1" selected="0">
            <x v="0"/>
          </reference>
          <reference field="16" count="1" selected="0">
            <x v="48"/>
          </reference>
        </references>
      </pivotArea>
    </format>
    <format dxfId="210">
      <pivotArea collapsedLevelsAreSubtotals="1" fieldPosition="0">
        <references count="2">
          <reference field="15" count="1" selected="0">
            <x v="0"/>
          </reference>
          <reference field="16" count="1" selected="0">
            <x v="29"/>
          </reference>
        </references>
      </pivotArea>
    </format>
    <format dxfId="211">
      <pivotArea collapsedLevelsAreSubtotals="1" fieldPosition="0">
        <references count="2">
          <reference field="15" count="1" selected="0">
            <x v="0"/>
          </reference>
          <reference field="16" count="1" selected="0">
            <x v="57"/>
          </reference>
        </references>
      </pivotArea>
    </format>
    <format dxfId="212">
      <pivotArea collapsedLevelsAreSubtotals="1" fieldPosition="0">
        <references count="2">
          <reference field="15" count="1" selected="0">
            <x v="0"/>
          </reference>
          <reference field="16" count="1" selected="0">
            <x v="76"/>
          </reference>
        </references>
      </pivotArea>
    </format>
    <format dxfId="213">
      <pivotArea collapsedLevelsAreSubtotals="1" fieldPosition="0">
        <references count="2">
          <reference field="15" count="1" selected="0">
            <x v="0"/>
          </reference>
          <reference field="16" count="1" selected="0">
            <x v="18"/>
          </reference>
        </references>
      </pivotArea>
    </format>
    <format dxfId="214">
      <pivotArea collapsedLevelsAreSubtotals="1" fieldPosition="0">
        <references count="2">
          <reference field="15" count="1" selected="0">
            <x v="0"/>
          </reference>
          <reference field="16" count="1" selected="0">
            <x v="5"/>
          </reference>
        </references>
      </pivotArea>
    </format>
    <format dxfId="215">
      <pivotArea collapsedLevelsAreSubtotals="1" fieldPosition="0">
        <references count="2">
          <reference field="15" count="1" selected="0">
            <x v="0"/>
          </reference>
          <reference field="16" count="1" selected="0">
            <x v="67"/>
          </reference>
        </references>
      </pivotArea>
    </format>
    <format dxfId="216">
      <pivotArea collapsedLevelsAreSubtotals="1" fieldPosition="0">
        <references count="2">
          <reference field="15" count="1" selected="0">
            <x v="0"/>
          </reference>
          <reference field="16" count="1" selected="0">
            <x v="58"/>
          </reference>
        </references>
      </pivotArea>
    </format>
    <format dxfId="217">
      <pivotArea collapsedLevelsAreSubtotals="1" fieldPosition="0">
        <references count="2">
          <reference field="15" count="1" selected="0">
            <x v="0"/>
          </reference>
          <reference field="16" count="1" selected="0">
            <x v="65"/>
          </reference>
        </references>
      </pivotArea>
    </format>
    <format dxfId="218">
      <pivotArea collapsedLevelsAreSubtotals="1" fieldPosition="0">
        <references count="2">
          <reference field="15" count="1" selected="0">
            <x v="0"/>
          </reference>
          <reference field="16" count="1" selected="0">
            <x v="54"/>
          </reference>
        </references>
      </pivotArea>
    </format>
    <format dxfId="219">
      <pivotArea collapsedLevelsAreSubtotals="1" fieldPosition="0">
        <references count="2">
          <reference field="15" count="1" selected="0">
            <x v="0"/>
          </reference>
          <reference field="16" count="1" selected="0">
            <x v="9"/>
          </reference>
        </references>
      </pivotArea>
    </format>
    <format dxfId="220">
      <pivotArea collapsedLevelsAreSubtotals="1" fieldPosition="0">
        <references count="2">
          <reference field="15" count="1" selected="0">
            <x v="0"/>
          </reference>
          <reference field="16" count="1" selected="0">
            <x v="64"/>
          </reference>
        </references>
      </pivotArea>
    </format>
    <format dxfId="221">
      <pivotArea collapsedLevelsAreSubtotals="1" fieldPosition="0">
        <references count="2">
          <reference field="15" count="1" selected="0">
            <x v="0"/>
          </reference>
          <reference field="16" count="1" selected="0">
            <x v="22"/>
          </reference>
        </references>
      </pivotArea>
    </format>
    <format dxfId="222">
      <pivotArea collapsedLevelsAreSubtotals="1" fieldPosition="0">
        <references count="2">
          <reference field="15" count="1" selected="0">
            <x v="0"/>
          </reference>
          <reference field="16" count="1" selected="0">
            <x v="39"/>
          </reference>
        </references>
      </pivotArea>
    </format>
    <format dxfId="223">
      <pivotArea collapsedLevelsAreSubtotals="1" fieldPosition="0">
        <references count="2">
          <reference field="15" count="1" selected="0">
            <x v="0"/>
          </reference>
          <reference field="16" count="1" selected="0">
            <x v="36"/>
          </reference>
        </references>
      </pivotArea>
    </format>
    <format dxfId="224">
      <pivotArea collapsedLevelsAreSubtotals="1" fieldPosition="0">
        <references count="2">
          <reference field="15" count="1" selected="0">
            <x v="0"/>
          </reference>
          <reference field="16" count="1" selected="0">
            <x v="3"/>
          </reference>
        </references>
      </pivotArea>
    </format>
    <format dxfId="225">
      <pivotArea collapsedLevelsAreSubtotals="1" fieldPosition="0">
        <references count="2">
          <reference field="15" count="1" selected="0">
            <x v="0"/>
          </reference>
          <reference field="16" count="1" selected="0">
            <x v="1"/>
          </reference>
        </references>
      </pivotArea>
    </format>
    <format dxfId="226">
      <pivotArea collapsedLevelsAreSubtotals="1" fieldPosition="0">
        <references count="2">
          <reference field="15" count="1" selected="0">
            <x v="0"/>
          </reference>
          <reference field="16" count="1" selected="0">
            <x v="19"/>
          </reference>
        </references>
      </pivotArea>
    </format>
    <format dxfId="227">
      <pivotArea collapsedLevelsAreSubtotals="1" fieldPosition="0">
        <references count="2">
          <reference field="15" count="1" selected="0">
            <x v="0"/>
          </reference>
          <reference field="16" count="1" selected="0">
            <x v="28"/>
          </reference>
        </references>
      </pivotArea>
    </format>
    <format dxfId="228">
      <pivotArea collapsedLevelsAreSubtotals="1" fieldPosition="0">
        <references count="2">
          <reference field="15" count="1" selected="0">
            <x v="0"/>
          </reference>
          <reference field="16" count="1" selected="0">
            <x v="37"/>
          </reference>
        </references>
      </pivotArea>
    </format>
    <format dxfId="229">
      <pivotArea collapsedLevelsAreSubtotals="1" fieldPosition="0">
        <references count="2">
          <reference field="15" count="1" selected="0">
            <x v="0"/>
          </reference>
          <reference field="16" count="1" selected="0">
            <x v="16"/>
          </reference>
        </references>
      </pivotArea>
    </format>
    <format dxfId="230">
      <pivotArea collapsedLevelsAreSubtotals="1" fieldPosition="0">
        <references count="2">
          <reference field="15" count="1" selected="0">
            <x v="0"/>
          </reference>
          <reference field="16" count="1" selected="0">
            <x v="46"/>
          </reference>
        </references>
      </pivotArea>
    </format>
    <format dxfId="231">
      <pivotArea collapsedLevelsAreSubtotals="1" fieldPosition="0">
        <references count="2">
          <reference field="15" count="1" selected="0">
            <x v="0"/>
          </reference>
          <reference field="16" count="1" selected="0">
            <x v="20"/>
          </reference>
        </references>
      </pivotArea>
    </format>
    <format dxfId="232">
      <pivotArea collapsedLevelsAreSubtotals="1" fieldPosition="0">
        <references count="2">
          <reference field="15" count="1" selected="0">
            <x v="0"/>
          </reference>
          <reference field="16" count="1" selected="0">
            <x v="77"/>
          </reference>
        </references>
      </pivotArea>
    </format>
    <format dxfId="233">
      <pivotArea collapsedLevelsAreSubtotals="1" fieldPosition="0">
        <references count="2">
          <reference field="15" count="1" selected="0">
            <x v="0"/>
          </reference>
          <reference field="16" count="1" selected="0">
            <x v="69"/>
          </reference>
        </references>
      </pivotArea>
    </format>
    <format dxfId="234">
      <pivotArea collapsedLevelsAreSubtotals="1" fieldPosition="0">
        <references count="2">
          <reference field="15" count="1" selected="0">
            <x v="0"/>
          </reference>
          <reference field="16" count="1" selected="0">
            <x v="21"/>
          </reference>
        </references>
      </pivotArea>
    </format>
    <format dxfId="235">
      <pivotArea collapsedLevelsAreSubtotals="1" fieldPosition="0">
        <references count="2">
          <reference field="15" count="1" selected="0">
            <x v="0"/>
          </reference>
          <reference field="16" count="1" selected="0">
            <x v="52"/>
          </reference>
        </references>
      </pivotArea>
    </format>
    <format dxfId="236">
      <pivotArea collapsedLevelsAreSubtotals="1" fieldPosition="0">
        <references count="2">
          <reference field="15" count="1" selected="0">
            <x v="0"/>
          </reference>
          <reference field="16" count="1" selected="0">
            <x v="85"/>
          </reference>
        </references>
      </pivotArea>
    </format>
    <format dxfId="237">
      <pivotArea collapsedLevelsAreSubtotals="1" fieldPosition="0">
        <references count="2">
          <reference field="15" count="1" selected="0">
            <x v="0"/>
          </reference>
          <reference field="16" count="1" selected="0">
            <x v="11"/>
          </reference>
        </references>
      </pivotArea>
    </format>
    <format dxfId="238">
      <pivotArea collapsedLevelsAreSubtotals="1" fieldPosition="0">
        <references count="2">
          <reference field="15" count="1" selected="0">
            <x v="0"/>
          </reference>
          <reference field="16" count="1" selected="0">
            <x v="31"/>
          </reference>
        </references>
      </pivotArea>
    </format>
    <format dxfId="239">
      <pivotArea collapsedLevelsAreSubtotals="1" fieldPosition="0">
        <references count="2">
          <reference field="15" count="1" selected="0">
            <x v="0"/>
          </reference>
          <reference field="16" count="1" selected="0">
            <x v="8"/>
          </reference>
        </references>
      </pivotArea>
    </format>
    <format dxfId="240">
      <pivotArea collapsedLevelsAreSubtotals="1" fieldPosition="0">
        <references count="2">
          <reference field="15" count="1" selected="0">
            <x v="0"/>
          </reference>
          <reference field="16" count="1" selected="0">
            <x v="7"/>
          </reference>
        </references>
      </pivotArea>
    </format>
    <format dxfId="241">
      <pivotArea collapsedLevelsAreSubtotals="1" fieldPosition="0">
        <references count="2">
          <reference field="15" count="1" selected="0">
            <x v="0"/>
          </reference>
          <reference field="16" count="1" selected="0">
            <x v="35"/>
          </reference>
        </references>
      </pivotArea>
    </format>
    <format dxfId="242">
      <pivotArea collapsedLevelsAreSubtotals="1" fieldPosition="0">
        <references count="2">
          <reference field="15" count="1" selected="0">
            <x v="0"/>
          </reference>
          <reference field="16" count="1" selected="0">
            <x v="25"/>
          </reference>
        </references>
      </pivotArea>
    </format>
    <format dxfId="243">
      <pivotArea collapsedLevelsAreSubtotals="1" fieldPosition="0">
        <references count="2">
          <reference field="15" count="1" selected="0">
            <x v="0"/>
          </reference>
          <reference field="16" count="1" selected="0">
            <x v="34"/>
          </reference>
        </references>
      </pivotArea>
    </format>
    <format dxfId="244">
      <pivotArea collapsedLevelsAreSubtotals="1" fieldPosition="0">
        <references count="2">
          <reference field="15" count="1" selected="0">
            <x v="0"/>
          </reference>
          <reference field="16" count="1" selected="0">
            <x v="71"/>
          </reference>
        </references>
      </pivotArea>
    </format>
    <format dxfId="245">
      <pivotArea collapsedLevelsAreSubtotals="1" fieldPosition="0">
        <references count="2">
          <reference field="15" count="1" selected="0">
            <x v="0"/>
          </reference>
          <reference field="16" count="1" selected="0">
            <x v="17"/>
          </reference>
        </references>
      </pivotArea>
    </format>
    <format dxfId="246">
      <pivotArea collapsedLevelsAreSubtotals="1" fieldPosition="0">
        <references count="2">
          <reference field="15" count="1" selected="0">
            <x v="0"/>
          </reference>
          <reference field="16" count="1" selected="0">
            <x v="2"/>
          </reference>
        </references>
      </pivotArea>
    </format>
    <format dxfId="247">
      <pivotArea collapsedLevelsAreSubtotals="1" fieldPosition="0">
        <references count="2">
          <reference field="15" count="1" selected="0">
            <x v="0"/>
          </reference>
          <reference field="16" count="1" selected="0">
            <x v="47"/>
          </reference>
        </references>
      </pivotArea>
    </format>
    <format dxfId="248">
      <pivotArea collapsedLevelsAreSubtotals="1" fieldPosition="0">
        <references count="2">
          <reference field="15" count="1" selected="0">
            <x v="0"/>
          </reference>
          <reference field="16" count="1" selected="0">
            <x v="55"/>
          </reference>
        </references>
      </pivotArea>
    </format>
    <format dxfId="249">
      <pivotArea collapsedLevelsAreSubtotals="1" fieldPosition="0">
        <references count="2">
          <reference field="15" count="1" selected="0">
            <x v="0"/>
          </reference>
          <reference field="16" count="1" selected="0">
            <x v="74"/>
          </reference>
        </references>
      </pivotArea>
    </format>
    <format dxfId="250">
      <pivotArea collapsedLevelsAreSubtotals="1" fieldPosition="0">
        <references count="2">
          <reference field="15" count="1" selected="0">
            <x v="0"/>
          </reference>
          <reference field="16" count="1" selected="0">
            <x v="43"/>
          </reference>
        </references>
      </pivotArea>
    </format>
    <format dxfId="251">
      <pivotArea collapsedLevelsAreSubtotals="1" fieldPosition="0">
        <references count="2">
          <reference field="15" count="1" selected="0">
            <x v="0"/>
          </reference>
          <reference field="16" count="1" selected="0">
            <x v="15"/>
          </reference>
        </references>
      </pivotArea>
    </format>
    <format dxfId="252">
      <pivotArea collapsedLevelsAreSubtotals="1" fieldPosition="0">
        <references count="2">
          <reference field="15" count="1" selected="0">
            <x v="0"/>
          </reference>
          <reference field="16" count="1" selected="0">
            <x v="38"/>
          </reference>
        </references>
      </pivotArea>
    </format>
    <format dxfId="253">
      <pivotArea collapsedLevelsAreSubtotals="1" fieldPosition="0">
        <references count="2">
          <reference field="15" count="1" selected="0">
            <x v="0"/>
          </reference>
          <reference field="16" count="1" selected="0">
            <x v="62"/>
          </reference>
        </references>
      </pivotArea>
    </format>
    <format dxfId="254">
      <pivotArea collapsedLevelsAreSubtotals="1" fieldPosition="0">
        <references count="2">
          <reference field="15" count="1" selected="0">
            <x v="0"/>
          </reference>
          <reference field="16" count="1" selected="0">
            <x v="73"/>
          </reference>
        </references>
      </pivotArea>
    </format>
    <format dxfId="255">
      <pivotArea collapsedLevelsAreSubtotals="1" fieldPosition="0">
        <references count="2">
          <reference field="15" count="1" selected="0">
            <x v="0"/>
          </reference>
          <reference field="16" count="1" selected="0">
            <x v="66"/>
          </reference>
        </references>
      </pivotArea>
    </format>
    <format dxfId="256">
      <pivotArea collapsedLevelsAreSubtotals="1" fieldPosition="0">
        <references count="2">
          <reference field="15" count="1" selected="0">
            <x v="0"/>
          </reference>
          <reference field="16" count="1" selected="0">
            <x v="42"/>
          </reference>
        </references>
      </pivotArea>
    </format>
    <format dxfId="257">
      <pivotArea collapsedLevelsAreSubtotals="1" fieldPosition="0">
        <references count="2">
          <reference field="15" count="1" selected="0">
            <x v="0"/>
          </reference>
          <reference field="16" count="1" selected="0">
            <x v="24"/>
          </reference>
        </references>
      </pivotArea>
    </format>
    <format dxfId="258">
      <pivotArea collapsedLevelsAreSubtotals="1" fieldPosition="0">
        <references count="2">
          <reference field="15" count="1" selected="0">
            <x v="0"/>
          </reference>
          <reference field="16" count="1" selected="0">
            <x v="0"/>
          </reference>
        </references>
      </pivotArea>
    </format>
    <format dxfId="259">
      <pivotArea collapsedLevelsAreSubtotals="1" fieldPosition="0">
        <references count="2">
          <reference field="15" count="1" selected="0">
            <x v="0"/>
          </reference>
          <reference field="16" count="1" selected="0">
            <x v="45"/>
          </reference>
        </references>
      </pivotArea>
    </format>
    <format dxfId="260">
      <pivotArea collapsedLevelsAreSubtotals="1" fieldPosition="0">
        <references count="2">
          <reference field="15" count="1" selected="0">
            <x v="0"/>
          </reference>
          <reference field="16" count="1" selected="0">
            <x v="27"/>
          </reference>
        </references>
      </pivotArea>
    </format>
    <format dxfId="261">
      <pivotArea collapsedLevelsAreSubtotals="1" fieldPosition="0">
        <references count="2">
          <reference field="15" count="1" selected="0">
            <x v="0"/>
          </reference>
          <reference field="16" count="1" selected="0">
            <x v="51"/>
          </reference>
        </references>
      </pivotArea>
    </format>
    <format dxfId="262">
      <pivotArea collapsedLevelsAreSubtotals="1" fieldPosition="0">
        <references count="2">
          <reference field="15" count="1" selected="0">
            <x v="0"/>
          </reference>
          <reference field="16" count="1" selected="0">
            <x v="30"/>
          </reference>
        </references>
      </pivotArea>
    </format>
    <format dxfId="263">
      <pivotArea collapsedLevelsAreSubtotals="1" fieldPosition="0">
        <references count="2">
          <reference field="15" count="1" selected="0">
            <x v="0"/>
          </reference>
          <reference field="16" count="1" selected="0">
            <x v="87"/>
          </reference>
        </references>
      </pivotArea>
    </format>
    <format dxfId="264">
      <pivotArea collapsedLevelsAreSubtotals="1" fieldPosition="0">
        <references count="2">
          <reference field="15" count="1" selected="0">
            <x v="0"/>
          </reference>
          <reference field="16" count="1" selected="0">
            <x v="61"/>
          </reference>
        </references>
      </pivotArea>
    </format>
    <format dxfId="265">
      <pivotArea collapsedLevelsAreSubtotals="1" fieldPosition="0">
        <references count="2">
          <reference field="15" count="1" selected="0">
            <x v="1"/>
          </reference>
          <reference field="16" count="1" selected="0">
            <x v="171"/>
          </reference>
        </references>
      </pivotArea>
    </format>
    <format dxfId="266">
      <pivotArea collapsedLevelsAreSubtotals="1" fieldPosition="0">
        <references count="2">
          <reference field="15" count="1" selected="0">
            <x v="1"/>
          </reference>
          <reference field="16" count="1" selected="0">
            <x v="117"/>
          </reference>
        </references>
      </pivotArea>
    </format>
    <format dxfId="267">
      <pivotArea collapsedLevelsAreSubtotals="1" fieldPosition="0">
        <references count="2">
          <reference field="15" count="1" selected="0">
            <x v="1"/>
          </reference>
          <reference field="16" count="1" selected="0">
            <x v="99"/>
          </reference>
        </references>
      </pivotArea>
    </format>
    <format dxfId="268">
      <pivotArea collapsedLevelsAreSubtotals="1" fieldPosition="0">
        <references count="2">
          <reference field="15" count="1" selected="0">
            <x v="1"/>
          </reference>
          <reference field="16" count="1" selected="0">
            <x v="114"/>
          </reference>
        </references>
      </pivotArea>
    </format>
    <format dxfId="269">
      <pivotArea collapsedLevelsAreSubtotals="1" fieldPosition="0">
        <references count="2">
          <reference field="15" count="1" selected="0">
            <x v="1"/>
          </reference>
          <reference field="16" count="1" selected="0">
            <x v="160"/>
          </reference>
        </references>
      </pivotArea>
    </format>
    <format dxfId="270">
      <pivotArea collapsedLevelsAreSubtotals="1" fieldPosition="0">
        <references count="2">
          <reference field="15" count="1" selected="0">
            <x v="1"/>
          </reference>
          <reference field="16" count="1" selected="0">
            <x v="100"/>
          </reference>
        </references>
      </pivotArea>
    </format>
    <format dxfId="271">
      <pivotArea collapsedLevelsAreSubtotals="1" fieldPosition="0">
        <references count="2">
          <reference field="15" count="1" selected="0">
            <x v="1"/>
          </reference>
          <reference field="16" count="1" selected="0">
            <x v="128"/>
          </reference>
        </references>
      </pivotArea>
    </format>
    <format dxfId="272">
      <pivotArea collapsedLevelsAreSubtotals="1" fieldPosition="0">
        <references count="2">
          <reference field="15" count="1" selected="0">
            <x v="1"/>
          </reference>
          <reference field="16" count="1" selected="0">
            <x v="97"/>
          </reference>
        </references>
      </pivotArea>
    </format>
    <format dxfId="273">
      <pivotArea collapsedLevelsAreSubtotals="1" fieldPosition="0">
        <references count="2">
          <reference field="15" count="1" selected="0">
            <x v="1"/>
          </reference>
          <reference field="16" count="1" selected="0">
            <x v="158"/>
          </reference>
        </references>
      </pivotArea>
    </format>
    <format dxfId="274">
      <pivotArea collapsedLevelsAreSubtotals="1" fieldPosition="0">
        <references count="2">
          <reference field="15" count="1" selected="0">
            <x v="1"/>
          </reference>
          <reference field="16" count="1" selected="0">
            <x v="90"/>
          </reference>
        </references>
      </pivotArea>
    </format>
    <format dxfId="275">
      <pivotArea collapsedLevelsAreSubtotals="1" fieldPosition="0">
        <references count="2">
          <reference field="15" count="1" selected="0">
            <x v="1"/>
          </reference>
          <reference field="16" count="1" selected="0">
            <x v="145"/>
          </reference>
        </references>
      </pivotArea>
    </format>
    <format dxfId="276">
      <pivotArea collapsedLevelsAreSubtotals="1" fieldPosition="0">
        <references count="2">
          <reference field="15" count="1" selected="0">
            <x v="1"/>
          </reference>
          <reference field="16" count="1" selected="0">
            <x v="151"/>
          </reference>
        </references>
      </pivotArea>
    </format>
    <format dxfId="277">
      <pivotArea collapsedLevelsAreSubtotals="1" fieldPosition="0">
        <references count="2">
          <reference field="15" count="1" selected="0">
            <x v="1"/>
          </reference>
          <reference field="16" count="1" selected="0">
            <x v="143"/>
          </reference>
        </references>
      </pivotArea>
    </format>
    <format dxfId="278">
      <pivotArea collapsedLevelsAreSubtotals="1" fieldPosition="0">
        <references count="2">
          <reference field="15" count="1" selected="0">
            <x v="1"/>
          </reference>
          <reference field="16" count="1" selected="0">
            <x v="95"/>
          </reference>
        </references>
      </pivotArea>
    </format>
    <format dxfId="279">
      <pivotArea collapsedLevelsAreSubtotals="1" fieldPosition="0">
        <references count="2">
          <reference field="15" count="1" selected="0">
            <x v="1"/>
          </reference>
          <reference field="16" count="1" selected="0">
            <x v="124"/>
          </reference>
        </references>
      </pivotArea>
    </format>
    <format dxfId="280">
      <pivotArea collapsedLevelsAreSubtotals="1" fieldPosition="0">
        <references count="2">
          <reference field="15" count="1" selected="0">
            <x v="1"/>
          </reference>
          <reference field="16" count="1" selected="0">
            <x v="108"/>
          </reference>
        </references>
      </pivotArea>
    </format>
    <format dxfId="281">
      <pivotArea collapsedLevelsAreSubtotals="1" fieldPosition="0">
        <references count="2">
          <reference field="15" count="1" selected="0">
            <x v="1"/>
          </reference>
          <reference field="16" count="1" selected="0">
            <x v="174"/>
          </reference>
        </references>
      </pivotArea>
    </format>
    <format dxfId="282">
      <pivotArea collapsedLevelsAreSubtotals="1" fieldPosition="0">
        <references count="2">
          <reference field="15" count="1" selected="0">
            <x v="1"/>
          </reference>
          <reference field="16" count="1" selected="0">
            <x v="120"/>
          </reference>
        </references>
      </pivotArea>
    </format>
    <format dxfId="283">
      <pivotArea collapsedLevelsAreSubtotals="1" fieldPosition="0">
        <references count="2">
          <reference field="15" count="1" selected="0">
            <x v="1"/>
          </reference>
          <reference field="16" count="1" selected="0">
            <x v="172"/>
          </reference>
        </references>
      </pivotArea>
    </format>
    <format dxfId="284">
      <pivotArea collapsedLevelsAreSubtotals="1" fieldPosition="0">
        <references count="2">
          <reference field="15" count="1" selected="0">
            <x v="1"/>
          </reference>
          <reference field="16" count="1" selected="0">
            <x v="105"/>
          </reference>
        </references>
      </pivotArea>
    </format>
    <format dxfId="285">
      <pivotArea collapsedLevelsAreSubtotals="1" fieldPosition="0">
        <references count="2">
          <reference field="15" count="1" selected="0">
            <x v="1"/>
          </reference>
          <reference field="16" count="1" selected="0">
            <x v="111"/>
          </reference>
        </references>
      </pivotArea>
    </format>
    <format dxfId="286">
      <pivotArea collapsedLevelsAreSubtotals="1" fieldPosition="0">
        <references count="2">
          <reference field="15" count="1" selected="0">
            <x v="1"/>
          </reference>
          <reference field="16" count="1" selected="0">
            <x v="116"/>
          </reference>
        </references>
      </pivotArea>
    </format>
    <format dxfId="287">
      <pivotArea collapsedLevelsAreSubtotals="1" fieldPosition="0">
        <references count="2">
          <reference field="15" count="1" selected="0">
            <x v="1"/>
          </reference>
          <reference field="16" count="1" selected="0">
            <x v="147"/>
          </reference>
        </references>
      </pivotArea>
    </format>
    <format dxfId="288">
      <pivotArea collapsedLevelsAreSubtotals="1" fieldPosition="0">
        <references count="2">
          <reference field="15" count="1" selected="0">
            <x v="1"/>
          </reference>
          <reference field="16" count="1" selected="0">
            <x v="123"/>
          </reference>
        </references>
      </pivotArea>
    </format>
    <format dxfId="289">
      <pivotArea collapsedLevelsAreSubtotals="1" fieldPosition="0">
        <references count="2">
          <reference field="15" count="1" selected="0">
            <x v="1"/>
          </reference>
          <reference field="16" count="1" selected="0">
            <x v="137"/>
          </reference>
        </references>
      </pivotArea>
    </format>
    <format dxfId="290">
      <pivotArea collapsedLevelsAreSubtotals="1" fieldPosition="0">
        <references count="2">
          <reference field="15" count="1" selected="0">
            <x v="1"/>
          </reference>
          <reference field="16" count="1" selected="0">
            <x v="152"/>
          </reference>
        </references>
      </pivotArea>
    </format>
    <format dxfId="291">
      <pivotArea collapsedLevelsAreSubtotals="1" fieldPosition="0">
        <references count="2">
          <reference field="15" count="1" selected="0">
            <x v="1"/>
          </reference>
          <reference field="16" count="1" selected="0">
            <x v="166"/>
          </reference>
        </references>
      </pivotArea>
    </format>
    <format dxfId="292">
      <pivotArea collapsedLevelsAreSubtotals="1" fieldPosition="0">
        <references count="2">
          <reference field="15" count="1" selected="0">
            <x v="1"/>
          </reference>
          <reference field="16" count="1" selected="0">
            <x v="125"/>
          </reference>
        </references>
      </pivotArea>
    </format>
    <format dxfId="293">
      <pivotArea collapsedLevelsAreSubtotals="1" fieldPosition="0">
        <references count="2">
          <reference field="15" count="1" selected="0">
            <x v="1"/>
          </reference>
          <reference field="16" count="1" selected="0">
            <x v="157"/>
          </reference>
        </references>
      </pivotArea>
    </format>
    <format dxfId="294">
      <pivotArea collapsedLevelsAreSubtotals="1" fieldPosition="0">
        <references count="2">
          <reference field="15" count="1" selected="0">
            <x v="1"/>
          </reference>
          <reference field="16" count="1" selected="0">
            <x v="110"/>
          </reference>
        </references>
      </pivotArea>
    </format>
    <format dxfId="295">
      <pivotArea collapsedLevelsAreSubtotals="1" fieldPosition="0">
        <references count="2">
          <reference field="15" count="1" selected="0">
            <x v="1"/>
          </reference>
          <reference field="16" count="1" selected="0">
            <x v="118"/>
          </reference>
        </references>
      </pivotArea>
    </format>
    <format dxfId="296">
      <pivotArea collapsedLevelsAreSubtotals="1" fieldPosition="0">
        <references count="2">
          <reference field="15" count="1" selected="0">
            <x v="1"/>
          </reference>
          <reference field="16" count="1" selected="0">
            <x v="140"/>
          </reference>
        </references>
      </pivotArea>
    </format>
    <format dxfId="297">
      <pivotArea collapsedLevelsAreSubtotals="1" fieldPosition="0">
        <references count="2">
          <reference field="15" count="1" selected="0">
            <x v="1"/>
          </reference>
          <reference field="16" count="1" selected="0">
            <x v="175"/>
          </reference>
        </references>
      </pivotArea>
    </format>
    <format dxfId="298">
      <pivotArea collapsedLevelsAreSubtotals="1" fieldPosition="0">
        <references count="2">
          <reference field="15" count="1" selected="0">
            <x v="1"/>
          </reference>
          <reference field="16" count="1" selected="0">
            <x v="139"/>
          </reference>
        </references>
      </pivotArea>
    </format>
    <format dxfId="299">
      <pivotArea collapsedLevelsAreSubtotals="1" fieldPosition="0">
        <references count="2">
          <reference field="15" count="1" selected="0">
            <x v="1"/>
          </reference>
          <reference field="16" count="1" selected="0">
            <x v="98"/>
          </reference>
        </references>
      </pivotArea>
    </format>
    <format dxfId="300">
      <pivotArea collapsedLevelsAreSubtotals="1" fieldPosition="0">
        <references count="2">
          <reference field="15" count="1" selected="0">
            <x v="1"/>
          </reference>
          <reference field="16" count="1" selected="0">
            <x v="91"/>
          </reference>
        </references>
      </pivotArea>
    </format>
    <format dxfId="301">
      <pivotArea collapsedLevelsAreSubtotals="1" fieldPosition="0">
        <references count="2">
          <reference field="15" count="1" selected="0">
            <x v="1"/>
          </reference>
          <reference field="16" count="1" selected="0">
            <x v="104"/>
          </reference>
        </references>
      </pivotArea>
    </format>
    <format dxfId="302">
      <pivotArea collapsedLevelsAreSubtotals="1" fieldPosition="0">
        <references count="2">
          <reference field="15" count="1" selected="0">
            <x v="1"/>
          </reference>
          <reference field="16" count="1" selected="0">
            <x v="163"/>
          </reference>
        </references>
      </pivotArea>
    </format>
    <format dxfId="303">
      <pivotArea collapsedLevelsAreSubtotals="1" fieldPosition="0">
        <references count="2">
          <reference field="15" count="1" selected="0">
            <x v="1"/>
          </reference>
          <reference field="16" count="1" selected="0">
            <x v="162"/>
          </reference>
        </references>
      </pivotArea>
    </format>
    <format dxfId="304">
      <pivotArea collapsedLevelsAreSubtotals="1" fieldPosition="0">
        <references count="2">
          <reference field="15" count="1" selected="0">
            <x v="1"/>
          </reference>
          <reference field="16" count="1" selected="0">
            <x v="94"/>
          </reference>
        </references>
      </pivotArea>
    </format>
    <format dxfId="305">
      <pivotArea collapsedLevelsAreSubtotals="1" fieldPosition="0">
        <references count="2">
          <reference field="15" count="1" selected="0">
            <x v="1"/>
          </reference>
          <reference field="16" count="1" selected="0">
            <x v="127"/>
          </reference>
        </references>
      </pivotArea>
    </format>
    <format dxfId="306">
      <pivotArea collapsedLevelsAreSubtotals="1" fieldPosition="0">
        <references count="2">
          <reference field="15" count="1" selected="0">
            <x v="1"/>
          </reference>
          <reference field="16" count="1" selected="0">
            <x v="148"/>
          </reference>
        </references>
      </pivotArea>
    </format>
    <format dxfId="307">
      <pivotArea collapsedLevelsAreSubtotals="1" fieldPosition="0">
        <references count="2">
          <reference field="15" count="1" selected="0">
            <x v="1"/>
          </reference>
          <reference field="16" count="1" selected="0">
            <x v="121"/>
          </reference>
        </references>
      </pivotArea>
    </format>
    <format dxfId="308">
      <pivotArea collapsedLevelsAreSubtotals="1" fieldPosition="0">
        <references count="2">
          <reference field="15" count="1" selected="0">
            <x v="1"/>
          </reference>
          <reference field="16" count="1" selected="0">
            <x v="156"/>
          </reference>
        </references>
      </pivotArea>
    </format>
    <format dxfId="309">
      <pivotArea collapsedLevelsAreSubtotals="1" fieldPosition="0">
        <references count="2">
          <reference field="15" count="1" selected="0">
            <x v="1"/>
          </reference>
          <reference field="16" count="1" selected="0">
            <x v="159"/>
          </reference>
        </references>
      </pivotArea>
    </format>
    <format dxfId="310">
      <pivotArea collapsedLevelsAreSubtotals="1" fieldPosition="0">
        <references count="2">
          <reference field="15" count="1" selected="0">
            <x v="1"/>
          </reference>
          <reference field="16" count="1" selected="0">
            <x v="165"/>
          </reference>
        </references>
      </pivotArea>
    </format>
    <format dxfId="311">
      <pivotArea collapsedLevelsAreSubtotals="1" fieldPosition="0">
        <references count="2">
          <reference field="15" count="1" selected="0">
            <x v="1"/>
          </reference>
          <reference field="16" count="1" selected="0">
            <x v="133"/>
          </reference>
        </references>
      </pivotArea>
    </format>
    <format dxfId="312">
      <pivotArea collapsedLevelsAreSubtotals="1" fieldPosition="0">
        <references count="2">
          <reference field="15" count="1" selected="0">
            <x v="1"/>
          </reference>
          <reference field="16" count="1" selected="0">
            <x v="169"/>
          </reference>
        </references>
      </pivotArea>
    </format>
    <format dxfId="313">
      <pivotArea collapsedLevelsAreSubtotals="1" fieldPosition="0">
        <references count="2">
          <reference field="15" count="1" selected="0">
            <x v="1"/>
          </reference>
          <reference field="16" count="1" selected="0">
            <x v="149"/>
          </reference>
        </references>
      </pivotArea>
    </format>
    <format dxfId="314">
      <pivotArea collapsedLevelsAreSubtotals="1" fieldPosition="0">
        <references count="2">
          <reference field="15" count="1" selected="0">
            <x v="1"/>
          </reference>
          <reference field="16" count="1" selected="0">
            <x v="113"/>
          </reference>
        </references>
      </pivotArea>
    </format>
    <format dxfId="315">
      <pivotArea collapsedLevelsAreSubtotals="1" fieldPosition="0">
        <references count="2">
          <reference field="15" count="1" selected="0">
            <x v="1"/>
          </reference>
          <reference field="16" count="1" selected="0">
            <x v="155"/>
          </reference>
        </references>
      </pivotArea>
    </format>
    <format dxfId="316">
      <pivotArea collapsedLevelsAreSubtotals="1" fieldPosition="0">
        <references count="2">
          <reference field="15" count="1" selected="0">
            <x v="1"/>
          </reference>
          <reference field="16" count="1" selected="0">
            <x v="132"/>
          </reference>
        </references>
      </pivotArea>
    </format>
    <format dxfId="317">
      <pivotArea collapsedLevelsAreSubtotals="1" fieldPosition="0">
        <references count="2">
          <reference field="15" count="1" selected="0">
            <x v="1"/>
          </reference>
          <reference field="16" count="1" selected="0">
            <x v="142"/>
          </reference>
        </references>
      </pivotArea>
    </format>
    <format dxfId="318">
      <pivotArea collapsedLevelsAreSubtotals="1" fieldPosition="0">
        <references count="2">
          <reference field="15" count="1" selected="0">
            <x v="1"/>
          </reference>
          <reference field="16" count="1" selected="0">
            <x v="115"/>
          </reference>
        </references>
      </pivotArea>
    </format>
    <format dxfId="319">
      <pivotArea collapsedLevelsAreSubtotals="1" fieldPosition="0">
        <references count="2">
          <reference field="15" count="1" selected="0">
            <x v="1"/>
          </reference>
          <reference field="16" count="1" selected="0">
            <x v="119"/>
          </reference>
        </references>
      </pivotArea>
    </format>
    <format dxfId="320">
      <pivotArea collapsedLevelsAreSubtotals="1" fieldPosition="0">
        <references count="2">
          <reference field="15" count="1" selected="0">
            <x v="1"/>
          </reference>
          <reference field="16" count="1" selected="0">
            <x v="129"/>
          </reference>
        </references>
      </pivotArea>
    </format>
    <format dxfId="321">
      <pivotArea collapsedLevelsAreSubtotals="1" fieldPosition="0">
        <references count="2">
          <reference field="15" count="1" selected="0">
            <x v="1"/>
          </reference>
          <reference field="16" count="1" selected="0">
            <x v="168"/>
          </reference>
        </references>
      </pivotArea>
    </format>
    <format dxfId="322">
      <pivotArea collapsedLevelsAreSubtotals="1" fieldPosition="0">
        <references count="2">
          <reference field="15" count="1" selected="0">
            <x v="1"/>
          </reference>
          <reference field="16" count="1" selected="0">
            <x v="138"/>
          </reference>
        </references>
      </pivotArea>
    </format>
    <format dxfId="323">
      <pivotArea collapsedLevelsAreSubtotals="1" fieldPosition="0">
        <references count="2">
          <reference field="15" count="1" selected="0">
            <x v="1"/>
          </reference>
          <reference field="16" count="1" selected="0">
            <x v="167"/>
          </reference>
        </references>
      </pivotArea>
    </format>
    <format dxfId="324">
      <pivotArea collapsedLevelsAreSubtotals="1" fieldPosition="0">
        <references count="2">
          <reference field="15" count="1" selected="0">
            <x v="1"/>
          </reference>
          <reference field="16" count="1" selected="0">
            <x v="88"/>
          </reference>
        </references>
      </pivotArea>
    </format>
    <format dxfId="325">
      <pivotArea collapsedLevelsAreSubtotals="1" fieldPosition="0">
        <references count="2">
          <reference field="15" count="1" selected="0">
            <x v="1"/>
          </reference>
          <reference field="16" count="1" selected="0">
            <x v="176"/>
          </reference>
        </references>
      </pivotArea>
    </format>
    <format dxfId="326">
      <pivotArea collapsedLevelsAreSubtotals="1" fieldPosition="0">
        <references count="2">
          <reference field="15" count="1" selected="0">
            <x v="1"/>
          </reference>
          <reference field="16" count="1" selected="0">
            <x v="154"/>
          </reference>
        </references>
      </pivotArea>
    </format>
    <format dxfId="327">
      <pivotArea collapsedLevelsAreSubtotals="1" fieldPosition="0">
        <references count="2">
          <reference field="15" count="1" selected="0">
            <x v="1"/>
          </reference>
          <reference field="16" count="1" selected="0">
            <x v="134"/>
          </reference>
        </references>
      </pivotArea>
    </format>
    <format dxfId="328">
      <pivotArea collapsedLevelsAreSubtotals="1" fieldPosition="0">
        <references count="2">
          <reference field="15" count="1" selected="0">
            <x v="1"/>
          </reference>
          <reference field="16" count="1" selected="0">
            <x v="103"/>
          </reference>
        </references>
      </pivotArea>
    </format>
    <format dxfId="329">
      <pivotArea collapsedLevelsAreSubtotals="1" fieldPosition="0">
        <references count="2">
          <reference field="15" count="1" selected="0">
            <x v="1"/>
          </reference>
          <reference field="16" count="1" selected="0">
            <x v="161"/>
          </reference>
        </references>
      </pivotArea>
    </format>
    <format dxfId="330">
      <pivotArea collapsedLevelsAreSubtotals="1" fieldPosition="0">
        <references count="2">
          <reference field="15" count="1" selected="0">
            <x v="1"/>
          </reference>
          <reference field="16" count="1" selected="0">
            <x v="92"/>
          </reference>
        </references>
      </pivotArea>
    </format>
    <format dxfId="331">
      <pivotArea collapsedLevelsAreSubtotals="1" fieldPosition="0">
        <references count="2">
          <reference field="15" count="1" selected="0">
            <x v="1"/>
          </reference>
          <reference field="16" count="1" selected="0">
            <x v="102"/>
          </reference>
        </references>
      </pivotArea>
    </format>
    <format dxfId="332">
      <pivotArea collapsedLevelsAreSubtotals="1" fieldPosition="0">
        <references count="2">
          <reference field="15" count="1" selected="0">
            <x v="1"/>
          </reference>
          <reference field="16" count="1" selected="0">
            <x v="122"/>
          </reference>
        </references>
      </pivotArea>
    </format>
    <format dxfId="333">
      <pivotArea collapsedLevelsAreSubtotals="1" fieldPosition="0">
        <references count="2">
          <reference field="15" count="1" selected="0">
            <x v="1"/>
          </reference>
          <reference field="16" count="1" selected="0">
            <x v="107"/>
          </reference>
        </references>
      </pivotArea>
    </format>
    <format dxfId="334">
      <pivotArea collapsedLevelsAreSubtotals="1" fieldPosition="0">
        <references count="2">
          <reference field="15" count="1" selected="0">
            <x v="1"/>
          </reference>
          <reference field="16" count="1" selected="0">
            <x v="112"/>
          </reference>
        </references>
      </pivotArea>
    </format>
    <format dxfId="335">
      <pivotArea collapsedLevelsAreSubtotals="1" fieldPosition="0">
        <references count="2">
          <reference field="15" count="1" selected="0">
            <x v="1"/>
          </reference>
          <reference field="16" count="1" selected="0">
            <x v="164"/>
          </reference>
        </references>
      </pivotArea>
    </format>
    <format dxfId="336">
      <pivotArea collapsedLevelsAreSubtotals="1" fieldPosition="0">
        <references count="2">
          <reference field="15" count="1" selected="0">
            <x v="1"/>
          </reference>
          <reference field="16" count="1" selected="0">
            <x v="153"/>
          </reference>
        </references>
      </pivotArea>
    </format>
    <format dxfId="337">
      <pivotArea collapsedLevelsAreSubtotals="1" fieldPosition="0">
        <references count="2">
          <reference field="15" count="1" selected="0">
            <x v="1"/>
          </reference>
          <reference field="16" count="1" selected="0">
            <x v="131"/>
          </reference>
        </references>
      </pivotArea>
    </format>
    <format dxfId="338">
      <pivotArea collapsedLevelsAreSubtotals="1" fieldPosition="0">
        <references count="2">
          <reference field="15" count="1" selected="0">
            <x v="1"/>
          </reference>
          <reference field="16" count="1" selected="0">
            <x v="170"/>
          </reference>
        </references>
      </pivotArea>
    </format>
    <format dxfId="339">
      <pivotArea collapsedLevelsAreSubtotals="1" fieldPosition="0">
        <references count="2">
          <reference field="15" count="1" selected="0">
            <x v="1"/>
          </reference>
          <reference field="16" count="1" selected="0">
            <x v="109"/>
          </reference>
        </references>
      </pivotArea>
    </format>
    <format dxfId="340">
      <pivotArea collapsedLevelsAreSubtotals="1" fieldPosition="0">
        <references count="2">
          <reference field="15" count="1" selected="0">
            <x v="1"/>
          </reference>
          <reference field="16" count="1" selected="0">
            <x v="144"/>
          </reference>
        </references>
      </pivotArea>
    </format>
    <format dxfId="341">
      <pivotArea collapsedLevelsAreSubtotals="1" fieldPosition="0">
        <references count="2">
          <reference field="15" count="1" selected="0">
            <x v="1"/>
          </reference>
          <reference field="16" count="1" selected="0">
            <x v="130"/>
          </reference>
        </references>
      </pivotArea>
    </format>
    <format dxfId="342">
      <pivotArea collapsedLevelsAreSubtotals="1" fieldPosition="0">
        <references count="2">
          <reference field="15" count="1" selected="0">
            <x v="1"/>
          </reference>
          <reference field="16" count="1" selected="0">
            <x v="89"/>
          </reference>
        </references>
      </pivotArea>
    </format>
    <format dxfId="343">
      <pivotArea collapsedLevelsAreSubtotals="1" fieldPosition="0">
        <references count="2">
          <reference field="15" count="1" selected="0">
            <x v="1"/>
          </reference>
          <reference field="16" count="1" selected="0">
            <x v="93"/>
          </reference>
        </references>
      </pivotArea>
    </format>
    <format dxfId="344">
      <pivotArea collapsedLevelsAreSubtotals="1" fieldPosition="0">
        <references count="2">
          <reference field="15" count="1" selected="0">
            <x v="1"/>
          </reference>
          <reference field="16" count="1" selected="0">
            <x v="101"/>
          </reference>
        </references>
      </pivotArea>
    </format>
    <format dxfId="345">
      <pivotArea collapsedLevelsAreSubtotals="1" fieldPosition="0">
        <references count="2">
          <reference field="15" count="1" selected="0">
            <x v="1"/>
          </reference>
          <reference field="16" count="1" selected="0">
            <x v="136"/>
          </reference>
        </references>
      </pivotArea>
    </format>
    <format dxfId="346">
      <pivotArea collapsedLevelsAreSubtotals="1" fieldPosition="0">
        <references count="2">
          <reference field="15" count="1" selected="0">
            <x v="1"/>
          </reference>
          <reference field="16" count="1" selected="0">
            <x v="146"/>
          </reference>
        </references>
      </pivotArea>
    </format>
    <format dxfId="347">
      <pivotArea collapsedLevelsAreSubtotals="1" fieldPosition="0">
        <references count="2">
          <reference field="15" count="1" selected="0">
            <x v="1"/>
          </reference>
          <reference field="16" count="1" selected="0">
            <x v="106"/>
          </reference>
        </references>
      </pivotArea>
    </format>
    <format dxfId="348">
      <pivotArea collapsedLevelsAreSubtotals="1" fieldPosition="0">
        <references count="2">
          <reference field="15" count="1" selected="0">
            <x v="1"/>
          </reference>
          <reference field="16" count="1" selected="0">
            <x v="135"/>
          </reference>
        </references>
      </pivotArea>
    </format>
    <format dxfId="349">
      <pivotArea collapsedLevelsAreSubtotals="1" fieldPosition="0">
        <references count="2">
          <reference field="15" count="1" selected="0">
            <x v="1"/>
          </reference>
          <reference field="16" count="1" selected="0">
            <x v="141"/>
          </reference>
        </references>
      </pivotArea>
    </format>
    <format dxfId="350">
      <pivotArea collapsedLevelsAreSubtotals="1" fieldPosition="0">
        <references count="2">
          <reference field="15" count="1" selected="0">
            <x v="1"/>
          </reference>
          <reference field="16" count="1" selected="0">
            <x v="177"/>
          </reference>
        </references>
      </pivotArea>
    </format>
    <format dxfId="351">
      <pivotArea collapsedLevelsAreSubtotals="1" fieldPosition="0">
        <references count="2">
          <reference field="15" count="1" selected="0">
            <x v="1"/>
          </reference>
          <reference field="16" count="1" selected="0">
            <x v="150"/>
          </reference>
        </references>
      </pivotArea>
    </format>
    <format dxfId="352">
      <pivotArea collapsedLevelsAreSubtotals="1" fieldPosition="0">
        <references count="2">
          <reference field="15" count="1" selected="0">
            <x v="1"/>
          </reference>
          <reference field="16" count="1" selected="0">
            <x v="126"/>
          </reference>
        </references>
      </pivotArea>
    </format>
    <format dxfId="353">
      <pivotArea collapsedLevelsAreSubtotals="1" fieldPosition="0">
        <references count="2">
          <reference field="15" count="1" selected="0">
            <x v="1"/>
          </reference>
          <reference field="16" count="1" selected="0">
            <x v="173"/>
          </reference>
        </references>
      </pivotArea>
    </format>
    <format dxfId="354">
      <pivotArea collapsedLevelsAreSubtotals="1" fieldPosition="0">
        <references count="2">
          <reference field="15" count="1" selected="0">
            <x v="1"/>
          </reference>
          <reference field="16" count="1" selected="0">
            <x v="96"/>
          </reference>
        </references>
      </pivotArea>
    </format>
    <format dxfId="355">
      <pivotArea collapsedLevelsAreSubtotals="1" fieldPosition="0">
        <references count="2">
          <reference field="15" count="1" selected="0">
            <x v="2"/>
          </reference>
          <reference field="16" count="1" selected="0">
            <x v="248"/>
          </reference>
        </references>
      </pivotArea>
    </format>
    <format dxfId="356">
      <pivotArea collapsedLevelsAreSubtotals="1" fieldPosition="0">
        <references count="2">
          <reference field="15" count="1" selected="0">
            <x v="2"/>
          </reference>
          <reference field="16" count="1" selected="0">
            <x v="207"/>
          </reference>
        </references>
      </pivotArea>
    </format>
    <format dxfId="357">
      <pivotArea collapsedLevelsAreSubtotals="1" fieldPosition="0">
        <references count="2">
          <reference field="15" count="1" selected="0">
            <x v="2"/>
          </reference>
          <reference field="16" count="1" selected="0">
            <x v="241"/>
          </reference>
        </references>
      </pivotArea>
    </format>
    <format dxfId="358">
      <pivotArea collapsedLevelsAreSubtotals="1" fieldPosition="0">
        <references count="2">
          <reference field="15" count="1" selected="0">
            <x v="2"/>
          </reference>
          <reference field="16" count="1" selected="0">
            <x v="223"/>
          </reference>
        </references>
      </pivotArea>
    </format>
    <format dxfId="359">
      <pivotArea collapsedLevelsAreSubtotals="1" fieldPosition="0">
        <references count="2">
          <reference field="15" count="1" selected="0">
            <x v="2"/>
          </reference>
          <reference field="16" count="1" selected="0">
            <x v="226"/>
          </reference>
        </references>
      </pivotArea>
    </format>
    <format dxfId="360">
      <pivotArea collapsedLevelsAreSubtotals="1" fieldPosition="0">
        <references count="2">
          <reference field="15" count="1" selected="0">
            <x v="2"/>
          </reference>
          <reference field="16" count="1" selected="0">
            <x v="185"/>
          </reference>
        </references>
      </pivotArea>
    </format>
    <format dxfId="361">
      <pivotArea collapsedLevelsAreSubtotals="1" fieldPosition="0">
        <references count="2">
          <reference field="15" count="1" selected="0">
            <x v="2"/>
          </reference>
          <reference field="16" count="1" selected="0">
            <x v="247"/>
          </reference>
        </references>
      </pivotArea>
    </format>
    <format dxfId="362">
      <pivotArea collapsedLevelsAreSubtotals="1" fieldPosition="0">
        <references count="2">
          <reference field="15" count="1" selected="0">
            <x v="2"/>
          </reference>
          <reference field="16" count="1" selected="0">
            <x v="236"/>
          </reference>
        </references>
      </pivotArea>
    </format>
    <format dxfId="363">
      <pivotArea collapsedLevelsAreSubtotals="1" fieldPosition="0">
        <references count="2">
          <reference field="15" count="1" selected="0">
            <x v="2"/>
          </reference>
          <reference field="16" count="1" selected="0">
            <x v="180"/>
          </reference>
        </references>
      </pivotArea>
    </format>
    <format dxfId="364">
      <pivotArea collapsedLevelsAreSubtotals="1" fieldPosition="0">
        <references count="2">
          <reference field="15" count="1" selected="0">
            <x v="2"/>
          </reference>
          <reference field="16" count="1" selected="0">
            <x v="179"/>
          </reference>
        </references>
      </pivotArea>
    </format>
    <format dxfId="365">
      <pivotArea collapsedLevelsAreSubtotals="1" fieldPosition="0">
        <references count="2">
          <reference field="15" count="1" selected="0">
            <x v="2"/>
          </reference>
          <reference field="16" count="1" selected="0">
            <x v="209"/>
          </reference>
        </references>
      </pivotArea>
    </format>
    <format dxfId="366">
      <pivotArea collapsedLevelsAreSubtotals="1" fieldPosition="0">
        <references count="2">
          <reference field="15" count="1" selected="0">
            <x v="2"/>
          </reference>
          <reference field="16" count="1" selected="0">
            <x v="201"/>
          </reference>
        </references>
      </pivotArea>
    </format>
    <format dxfId="367">
      <pivotArea collapsedLevelsAreSubtotals="1" fieldPosition="0">
        <references count="2">
          <reference field="15" count="1" selected="0">
            <x v="2"/>
          </reference>
          <reference field="16" count="1" selected="0">
            <x v="199"/>
          </reference>
        </references>
      </pivotArea>
    </format>
    <format dxfId="368">
      <pivotArea collapsedLevelsAreSubtotals="1" fieldPosition="0">
        <references count="2">
          <reference field="15" count="1" selected="0">
            <x v="2"/>
          </reference>
          <reference field="16" count="1" selected="0">
            <x v="197"/>
          </reference>
        </references>
      </pivotArea>
    </format>
    <format dxfId="369">
      <pivotArea collapsedLevelsAreSubtotals="1" fieldPosition="0">
        <references count="2">
          <reference field="15" count="1" selected="0">
            <x v="2"/>
          </reference>
          <reference field="16" count="1" selected="0">
            <x v="214"/>
          </reference>
        </references>
      </pivotArea>
    </format>
    <format dxfId="370">
      <pivotArea collapsedLevelsAreSubtotals="1" fieldPosition="0">
        <references count="2">
          <reference field="15" count="1" selected="0">
            <x v="2"/>
          </reference>
          <reference field="16" count="1" selected="0">
            <x v="246"/>
          </reference>
        </references>
      </pivotArea>
    </format>
    <format dxfId="371">
      <pivotArea collapsedLevelsAreSubtotals="1" fieldPosition="0">
        <references count="2">
          <reference field="15" count="1" selected="0">
            <x v="2"/>
          </reference>
          <reference field="16" count="1" selected="0">
            <x v="232"/>
          </reference>
        </references>
      </pivotArea>
    </format>
    <format dxfId="372">
      <pivotArea collapsedLevelsAreSubtotals="1" fieldPosition="0">
        <references count="2">
          <reference field="15" count="1" selected="0">
            <x v="2"/>
          </reference>
          <reference field="16" count="1" selected="0">
            <x v="237"/>
          </reference>
        </references>
      </pivotArea>
    </format>
    <format dxfId="373">
      <pivotArea collapsedLevelsAreSubtotals="1" fieldPosition="0">
        <references count="2">
          <reference field="15" count="1" selected="0">
            <x v="2"/>
          </reference>
          <reference field="16" count="1" selected="0">
            <x v="252"/>
          </reference>
        </references>
      </pivotArea>
    </format>
    <format dxfId="374">
      <pivotArea collapsedLevelsAreSubtotals="1" fieldPosition="0">
        <references count="2">
          <reference field="15" count="1" selected="0">
            <x v="2"/>
          </reference>
          <reference field="16" count="1" selected="0">
            <x v="229"/>
          </reference>
        </references>
      </pivotArea>
    </format>
    <format dxfId="375">
      <pivotArea collapsedLevelsAreSubtotals="1" fieldPosition="0">
        <references count="2">
          <reference field="15" count="1" selected="0">
            <x v="2"/>
          </reference>
          <reference field="16" count="1" selected="0">
            <x v="250"/>
          </reference>
        </references>
      </pivotArea>
    </format>
    <format dxfId="376">
      <pivotArea collapsedLevelsAreSubtotals="1" fieldPosition="0">
        <references count="2">
          <reference field="15" count="1" selected="0">
            <x v="2"/>
          </reference>
          <reference field="16" count="1" selected="0">
            <x v="200"/>
          </reference>
        </references>
      </pivotArea>
    </format>
    <format dxfId="377">
      <pivotArea collapsedLevelsAreSubtotals="1" fieldPosition="0">
        <references count="2">
          <reference field="15" count="1" selected="0">
            <x v="2"/>
          </reference>
          <reference field="16" count="1" selected="0">
            <x v="205"/>
          </reference>
        </references>
      </pivotArea>
    </format>
    <format dxfId="378">
      <pivotArea collapsedLevelsAreSubtotals="1" fieldPosition="0">
        <references count="2">
          <reference field="15" count="1" selected="0">
            <x v="2"/>
          </reference>
          <reference field="16" count="1" selected="0">
            <x v="239"/>
          </reference>
        </references>
      </pivotArea>
    </format>
    <format dxfId="379">
      <pivotArea collapsedLevelsAreSubtotals="1" fieldPosition="0">
        <references count="2">
          <reference field="15" count="1" selected="0">
            <x v="2"/>
          </reference>
          <reference field="16" count="1" selected="0">
            <x v="218"/>
          </reference>
        </references>
      </pivotArea>
    </format>
    <format dxfId="380">
      <pivotArea collapsedLevelsAreSubtotals="1" fieldPosition="0">
        <references count="2">
          <reference field="15" count="1" selected="0">
            <x v="2"/>
          </reference>
          <reference field="16" count="1" selected="0">
            <x v="255"/>
          </reference>
        </references>
      </pivotArea>
    </format>
    <format dxfId="381">
      <pivotArea collapsedLevelsAreSubtotals="1" fieldPosition="0">
        <references count="2">
          <reference field="15" count="1" selected="0">
            <x v="2"/>
          </reference>
          <reference field="16" count="1" selected="0">
            <x v="193"/>
          </reference>
        </references>
      </pivotArea>
    </format>
    <format dxfId="382">
      <pivotArea collapsedLevelsAreSubtotals="1" fieldPosition="0">
        <references count="2">
          <reference field="15" count="1" selected="0">
            <x v="2"/>
          </reference>
          <reference field="16" count="1" selected="0">
            <x v="225"/>
          </reference>
        </references>
      </pivotArea>
    </format>
    <format dxfId="383">
      <pivotArea collapsedLevelsAreSubtotals="1" fieldPosition="0">
        <references count="2">
          <reference field="15" count="1" selected="0">
            <x v="2"/>
          </reference>
          <reference field="16" count="1" selected="0">
            <x v="183"/>
          </reference>
        </references>
      </pivotArea>
    </format>
    <format dxfId="384">
      <pivotArea collapsedLevelsAreSubtotals="1" fieldPosition="0">
        <references count="2">
          <reference field="15" count="1" selected="0">
            <x v="2"/>
          </reference>
          <reference field="16" count="1" selected="0">
            <x v="217"/>
          </reference>
        </references>
      </pivotArea>
    </format>
    <format dxfId="385">
      <pivotArea collapsedLevelsAreSubtotals="1" fieldPosition="0">
        <references count="2">
          <reference field="15" count="1" selected="0">
            <x v="2"/>
          </reference>
          <reference field="16" count="1" selected="0">
            <x v="244"/>
          </reference>
        </references>
      </pivotArea>
    </format>
    <format dxfId="386">
      <pivotArea collapsedLevelsAreSubtotals="1" fieldPosition="0">
        <references count="2">
          <reference field="15" count="1" selected="0">
            <x v="2"/>
          </reference>
          <reference field="16" count="1" selected="0">
            <x v="251"/>
          </reference>
        </references>
      </pivotArea>
    </format>
    <format dxfId="387">
      <pivotArea collapsedLevelsAreSubtotals="1" fieldPosition="0">
        <references count="2">
          <reference field="15" count="1" selected="0">
            <x v="2"/>
          </reference>
          <reference field="16" count="1" selected="0">
            <x v="188"/>
          </reference>
        </references>
      </pivotArea>
    </format>
    <format dxfId="388">
      <pivotArea collapsedLevelsAreSubtotals="1" fieldPosition="0">
        <references count="2">
          <reference field="15" count="1" selected="0">
            <x v="2"/>
          </reference>
          <reference field="16" count="1" selected="0">
            <x v="221"/>
          </reference>
        </references>
      </pivotArea>
    </format>
    <format dxfId="389">
      <pivotArea collapsedLevelsAreSubtotals="1" fieldPosition="0">
        <references count="2">
          <reference field="15" count="1" selected="0">
            <x v="2"/>
          </reference>
          <reference field="16" count="1" selected="0">
            <x v="203"/>
          </reference>
        </references>
      </pivotArea>
    </format>
    <format dxfId="390">
      <pivotArea collapsedLevelsAreSubtotals="1" fieldPosition="0">
        <references count="2">
          <reference field="15" count="1" selected="0">
            <x v="2"/>
          </reference>
          <reference field="16" count="1" selected="0">
            <x v="242"/>
          </reference>
        </references>
      </pivotArea>
    </format>
    <format dxfId="391">
      <pivotArea collapsedLevelsAreSubtotals="1" fieldPosition="0">
        <references count="2">
          <reference field="15" count="1" selected="0">
            <x v="2"/>
          </reference>
          <reference field="16" count="1" selected="0">
            <x v="224"/>
          </reference>
        </references>
      </pivotArea>
    </format>
    <format dxfId="392">
      <pivotArea collapsedLevelsAreSubtotals="1" fieldPosition="0">
        <references count="2">
          <reference field="15" count="1" selected="0">
            <x v="2"/>
          </reference>
          <reference field="16" count="1" selected="0">
            <x v="257"/>
          </reference>
        </references>
      </pivotArea>
    </format>
    <format dxfId="393">
      <pivotArea collapsedLevelsAreSubtotals="1" fieldPosition="0">
        <references count="2">
          <reference field="15" count="1" selected="0">
            <x v="2"/>
          </reference>
          <reference field="16" count="1" selected="0">
            <x v="253"/>
          </reference>
        </references>
      </pivotArea>
    </format>
    <format dxfId="394">
      <pivotArea collapsedLevelsAreSubtotals="1" fieldPosition="0">
        <references count="2">
          <reference field="15" count="1" selected="0">
            <x v="2"/>
          </reference>
          <reference field="16" count="1" selected="0">
            <x v="243"/>
          </reference>
        </references>
      </pivotArea>
    </format>
    <format dxfId="395">
      <pivotArea collapsedLevelsAreSubtotals="1" fieldPosition="0">
        <references count="2">
          <reference field="15" count="1" selected="0">
            <x v="2"/>
          </reference>
          <reference field="16" count="1" selected="0">
            <x v="235"/>
          </reference>
        </references>
      </pivotArea>
    </format>
    <format dxfId="396">
      <pivotArea collapsedLevelsAreSubtotals="1" fieldPosition="0">
        <references count="2">
          <reference field="15" count="1" selected="0">
            <x v="2"/>
          </reference>
          <reference field="16" count="1" selected="0">
            <x v="227"/>
          </reference>
        </references>
      </pivotArea>
    </format>
    <format dxfId="397">
      <pivotArea collapsedLevelsAreSubtotals="1" fieldPosition="0">
        <references count="2">
          <reference field="15" count="1" selected="0">
            <x v="2"/>
          </reference>
          <reference field="16" count="1" selected="0">
            <x v="181"/>
          </reference>
        </references>
      </pivotArea>
    </format>
    <format dxfId="398">
      <pivotArea collapsedLevelsAreSubtotals="1" fieldPosition="0">
        <references count="2">
          <reference field="15" count="1" selected="0">
            <x v="2"/>
          </reference>
          <reference field="16" count="1" selected="0">
            <x v="213"/>
          </reference>
        </references>
      </pivotArea>
    </format>
    <format dxfId="399">
      <pivotArea collapsedLevelsAreSubtotals="1" fieldPosition="0">
        <references count="2">
          <reference field="15" count="1" selected="0">
            <x v="2"/>
          </reference>
          <reference field="16" count="1" selected="0">
            <x v="228"/>
          </reference>
        </references>
      </pivotArea>
    </format>
    <format dxfId="400">
      <pivotArea collapsedLevelsAreSubtotals="1" fieldPosition="0">
        <references count="2">
          <reference field="15" count="1" selected="0">
            <x v="2"/>
          </reference>
          <reference field="16" count="1" selected="0">
            <x v="233"/>
          </reference>
        </references>
      </pivotArea>
    </format>
    <format dxfId="401">
      <pivotArea collapsedLevelsAreSubtotals="1" fieldPosition="0">
        <references count="2">
          <reference field="15" count="1" selected="0">
            <x v="2"/>
          </reference>
          <reference field="16" count="1" selected="0">
            <x v="204"/>
          </reference>
        </references>
      </pivotArea>
    </format>
    <format dxfId="402">
      <pivotArea collapsedLevelsAreSubtotals="1" fieldPosition="0">
        <references count="2">
          <reference field="15" count="1" selected="0">
            <x v="2"/>
          </reference>
          <reference field="16" count="1" selected="0">
            <x v="258"/>
          </reference>
        </references>
      </pivotArea>
    </format>
    <format dxfId="403">
      <pivotArea collapsedLevelsAreSubtotals="1" fieldPosition="0">
        <references count="2">
          <reference field="15" count="1" selected="0">
            <x v="2"/>
          </reference>
          <reference field="16" count="1" selected="0">
            <x v="182"/>
          </reference>
        </references>
      </pivotArea>
    </format>
    <format dxfId="404">
      <pivotArea collapsedLevelsAreSubtotals="1" fieldPosition="0">
        <references count="2">
          <reference field="15" count="1" selected="0">
            <x v="2"/>
          </reference>
          <reference field="16" count="1" selected="0">
            <x v="220"/>
          </reference>
        </references>
      </pivotArea>
    </format>
    <format dxfId="405">
      <pivotArea collapsedLevelsAreSubtotals="1" fieldPosition="0">
        <references count="2">
          <reference field="15" count="1" selected="0">
            <x v="2"/>
          </reference>
          <reference field="16" count="1" selected="0">
            <x v="189"/>
          </reference>
        </references>
      </pivotArea>
    </format>
    <format dxfId="406">
      <pivotArea collapsedLevelsAreSubtotals="1" fieldPosition="0">
        <references count="2">
          <reference field="15" count="1" selected="0">
            <x v="2"/>
          </reference>
          <reference field="16" count="1" selected="0">
            <x v="249"/>
          </reference>
        </references>
      </pivotArea>
    </format>
    <format dxfId="407">
      <pivotArea collapsedLevelsAreSubtotals="1" fieldPosition="0">
        <references count="2">
          <reference field="15" count="1" selected="0">
            <x v="2"/>
          </reference>
          <reference field="16" count="1" selected="0">
            <x v="208"/>
          </reference>
        </references>
      </pivotArea>
    </format>
    <format dxfId="408">
      <pivotArea collapsedLevelsAreSubtotals="1" fieldPosition="0">
        <references count="2">
          <reference field="15" count="1" selected="0">
            <x v="2"/>
          </reference>
          <reference field="16" count="1" selected="0">
            <x v="211"/>
          </reference>
        </references>
      </pivotArea>
    </format>
    <format dxfId="409">
      <pivotArea collapsedLevelsAreSubtotals="1" fieldPosition="0">
        <references count="2">
          <reference field="15" count="1" selected="0">
            <x v="2"/>
          </reference>
          <reference field="16" count="1" selected="0">
            <x v="192"/>
          </reference>
        </references>
      </pivotArea>
    </format>
    <format dxfId="410">
      <pivotArea collapsedLevelsAreSubtotals="1" fieldPosition="0">
        <references count="2">
          <reference field="15" count="1" selected="0">
            <x v="2"/>
          </reference>
          <reference field="16" count="1" selected="0">
            <x v="186"/>
          </reference>
        </references>
      </pivotArea>
    </format>
    <format dxfId="411">
      <pivotArea collapsedLevelsAreSubtotals="1" fieldPosition="0">
        <references count="2">
          <reference field="15" count="1" selected="0">
            <x v="2"/>
          </reference>
          <reference field="16" count="1" selected="0">
            <x v="191"/>
          </reference>
        </references>
      </pivotArea>
    </format>
    <format dxfId="412">
      <pivotArea collapsedLevelsAreSubtotals="1" fieldPosition="0">
        <references count="2">
          <reference field="15" count="1" selected="0">
            <x v="2"/>
          </reference>
          <reference field="16" count="1" selected="0">
            <x v="231"/>
          </reference>
        </references>
      </pivotArea>
    </format>
    <format dxfId="413">
      <pivotArea collapsedLevelsAreSubtotals="1" fieldPosition="0">
        <references count="2">
          <reference field="15" count="1" selected="0">
            <x v="2"/>
          </reference>
          <reference field="16" count="1" selected="0">
            <x v="254"/>
          </reference>
        </references>
      </pivotArea>
    </format>
    <format dxfId="414">
      <pivotArea collapsedLevelsAreSubtotals="1" fieldPosition="0">
        <references count="2">
          <reference field="15" count="1" selected="0">
            <x v="2"/>
          </reference>
          <reference field="16" count="1" selected="0">
            <x v="219"/>
          </reference>
        </references>
      </pivotArea>
    </format>
    <format dxfId="415">
      <pivotArea collapsedLevelsAreSubtotals="1" fieldPosition="0">
        <references count="2">
          <reference field="15" count="1" selected="0">
            <x v="2"/>
          </reference>
          <reference field="16" count="1" selected="0">
            <x v="215"/>
          </reference>
        </references>
      </pivotArea>
    </format>
    <format dxfId="416">
      <pivotArea collapsedLevelsAreSubtotals="1" fieldPosition="0">
        <references count="2">
          <reference field="15" count="1" selected="0">
            <x v="2"/>
          </reference>
          <reference field="16" count="1" selected="0">
            <x v="184"/>
          </reference>
        </references>
      </pivotArea>
    </format>
    <format dxfId="417">
      <pivotArea collapsedLevelsAreSubtotals="1" fieldPosition="0">
        <references count="2">
          <reference field="15" count="1" selected="0">
            <x v="2"/>
          </reference>
          <reference field="16" count="1" selected="0">
            <x v="216"/>
          </reference>
        </references>
      </pivotArea>
    </format>
    <format dxfId="418">
      <pivotArea collapsedLevelsAreSubtotals="1" fieldPosition="0">
        <references count="2">
          <reference field="15" count="1" selected="0">
            <x v="2"/>
          </reference>
          <reference field="16" count="1" selected="0">
            <x v="210"/>
          </reference>
        </references>
      </pivotArea>
    </format>
    <format dxfId="419">
      <pivotArea collapsedLevelsAreSubtotals="1" fieldPosition="0">
        <references count="2">
          <reference field="15" count="1" selected="0">
            <x v="2"/>
          </reference>
          <reference field="16" count="1" selected="0">
            <x v="212"/>
          </reference>
        </references>
      </pivotArea>
    </format>
    <format dxfId="420">
      <pivotArea collapsedLevelsAreSubtotals="1" fieldPosition="0">
        <references count="2">
          <reference field="15" count="1" selected="0">
            <x v="2"/>
          </reference>
          <reference field="16" count="1" selected="0">
            <x v="238"/>
          </reference>
        </references>
      </pivotArea>
    </format>
    <format dxfId="421">
      <pivotArea collapsedLevelsAreSubtotals="1" fieldPosition="0">
        <references count="2">
          <reference field="15" count="1" selected="0">
            <x v="2"/>
          </reference>
          <reference field="16" count="1" selected="0">
            <x v="230"/>
          </reference>
        </references>
      </pivotArea>
    </format>
    <format dxfId="422">
      <pivotArea collapsedLevelsAreSubtotals="1" fieldPosition="0">
        <references count="2">
          <reference field="15" count="1" selected="0">
            <x v="2"/>
          </reference>
          <reference field="16" count="1" selected="0">
            <x v="256"/>
          </reference>
        </references>
      </pivotArea>
    </format>
    <format dxfId="423">
      <pivotArea collapsedLevelsAreSubtotals="1" fieldPosition="0">
        <references count="2">
          <reference field="15" count="1" selected="0">
            <x v="2"/>
          </reference>
          <reference field="16" count="1" selected="0">
            <x v="240"/>
          </reference>
        </references>
      </pivotArea>
    </format>
    <format dxfId="424">
      <pivotArea collapsedLevelsAreSubtotals="1" fieldPosition="0">
        <references count="2">
          <reference field="15" count="1" selected="0">
            <x v="2"/>
          </reference>
          <reference field="16" count="1" selected="0">
            <x v="222"/>
          </reference>
        </references>
      </pivotArea>
    </format>
    <format dxfId="425">
      <pivotArea collapsedLevelsAreSubtotals="1" fieldPosition="0">
        <references count="2">
          <reference field="15" count="1" selected="0">
            <x v="2"/>
          </reference>
          <reference field="16" count="1" selected="0">
            <x v="245"/>
          </reference>
        </references>
      </pivotArea>
    </format>
    <format dxfId="426">
      <pivotArea collapsedLevelsAreSubtotals="1" fieldPosition="0">
        <references count="2">
          <reference field="15" count="1" selected="0">
            <x v="2"/>
          </reference>
          <reference field="16" count="1" selected="0">
            <x v="195"/>
          </reference>
        </references>
      </pivotArea>
    </format>
    <format dxfId="427">
      <pivotArea collapsedLevelsAreSubtotals="1" fieldPosition="0">
        <references count="2">
          <reference field="15" count="1" selected="0">
            <x v="2"/>
          </reference>
          <reference field="16" count="1" selected="0">
            <x v="202"/>
          </reference>
        </references>
      </pivotArea>
    </format>
    <format dxfId="428">
      <pivotArea collapsedLevelsAreSubtotals="1" fieldPosition="0">
        <references count="2">
          <reference field="15" count="1" selected="0">
            <x v="2"/>
          </reference>
          <reference field="16" count="1" selected="0">
            <x v="187"/>
          </reference>
        </references>
      </pivotArea>
    </format>
    <format dxfId="429">
      <pivotArea collapsedLevelsAreSubtotals="1" fieldPosition="0">
        <references count="2">
          <reference field="15" count="1" selected="0">
            <x v="2"/>
          </reference>
          <reference field="16" count="1" selected="0">
            <x v="194"/>
          </reference>
        </references>
      </pivotArea>
    </format>
    <format dxfId="430">
      <pivotArea collapsedLevelsAreSubtotals="1" fieldPosition="0">
        <references count="2">
          <reference field="15" count="1" selected="0">
            <x v="2"/>
          </reference>
          <reference field="16" count="1" selected="0">
            <x v="198"/>
          </reference>
        </references>
      </pivotArea>
    </format>
    <format dxfId="431">
      <pivotArea collapsedLevelsAreSubtotals="1" fieldPosition="0">
        <references count="2">
          <reference field="15" count="1" selected="0">
            <x v="2"/>
          </reference>
          <reference field="16" count="1" selected="0">
            <x v="206"/>
          </reference>
        </references>
      </pivotArea>
    </format>
    <format dxfId="432">
      <pivotArea collapsedLevelsAreSubtotals="1" fieldPosition="0">
        <references count="2">
          <reference field="15" count="1" selected="0">
            <x v="2"/>
          </reference>
          <reference field="16" count="1" selected="0">
            <x v="178"/>
          </reference>
        </references>
      </pivotArea>
    </format>
    <format dxfId="433">
      <pivotArea collapsedLevelsAreSubtotals="1" fieldPosition="0">
        <references count="2">
          <reference field="15" count="1" selected="0">
            <x v="2"/>
          </reference>
          <reference field="16" count="1" selected="0">
            <x v="190"/>
          </reference>
        </references>
      </pivotArea>
    </format>
    <format dxfId="434">
      <pivotArea collapsedLevelsAreSubtotals="1" fieldPosition="0">
        <references count="2">
          <reference field="15" count="1" selected="0">
            <x v="2"/>
          </reference>
          <reference field="16" count="1" selected="0">
            <x v="234"/>
          </reference>
        </references>
      </pivotArea>
    </format>
    <format dxfId="435">
      <pivotArea collapsedLevelsAreSubtotals="1" fieldPosition="0">
        <references count="2">
          <reference field="15" count="1" selected="0">
            <x v="2"/>
          </reference>
          <reference field="16" count="1" selected="0">
            <x v="196"/>
          </reference>
        </references>
      </pivotArea>
    </format>
    <format dxfId="436">
      <pivotArea collapsedLevelsAreSubtotals="1" fieldPosition="0"/>
    </format>
    <format dxfId="437">
      <pivotArea grandRow="1" collapsedLevelsAreSubtotals="1" fieldPosition="0"/>
    </format>
    <format dxfId="438">
      <pivotArea field="15" type="button" dataOnly="0" labelOnly="1" outline="0" fieldPosition="0"/>
    </format>
    <format dxfId="439">
      <pivotArea field="16" type="button" dataOnly="0" labelOnly="1" outline="0" fieldPosition="0"/>
    </format>
    <format dxfId="440">
      <pivotArea field="15" type="button" dataOnly="0" labelOnly="1" outline="0" fieldPosition="0"/>
    </format>
    <format dxfId="441">
      <pivotArea field="16" type="button" dataOnly="0" labelOnly="1" outline="0" fieldPosition="0"/>
    </format>
    <format dxfId="442">
      <pivotArea field="15" type="button" dataOnly="0" labelOnly="1" outline="0" fieldPosition="0"/>
    </format>
    <format dxfId="443">
      <pivotArea field="16" type="button" dataOnly="0" labelOnly="1" outline="0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E20" firstHeaderRow="0" firstDataRow="1" firstDataCol="1"/>
  <pivotFields count="34">
    <pivotField dataField="1" compact="0" showAll="0">
      <items count="632">
        <item x="605"/>
        <item x="449"/>
        <item x="7"/>
        <item x="518"/>
        <item x="573"/>
        <item x="46"/>
        <item x="367"/>
        <item x="201"/>
        <item x="551"/>
        <item x="324"/>
        <item x="438"/>
        <item x="166"/>
        <item x="80"/>
        <item x="361"/>
        <item x="328"/>
        <item x="300"/>
        <item x="453"/>
        <item x="577"/>
        <item x="193"/>
        <item x="122"/>
        <item x="332"/>
        <item x="439"/>
        <item x="457"/>
        <item x="148"/>
        <item x="224"/>
        <item x="190"/>
        <item x="347"/>
        <item x="278"/>
        <item x="350"/>
        <item x="535"/>
        <item x="54"/>
        <item x="65"/>
        <item x="163"/>
        <item x="470"/>
        <item x="580"/>
        <item x="625"/>
        <item x="106"/>
        <item x="269"/>
        <item x="256"/>
        <item x="89"/>
        <item x="339"/>
        <item x="24"/>
        <item x="220"/>
        <item x="281"/>
        <item x="250"/>
        <item x="376"/>
        <item x="540"/>
        <item x="172"/>
        <item x="225"/>
        <item x="78"/>
        <item x="49"/>
        <item x="603"/>
        <item x="226"/>
        <item x="168"/>
        <item x="45"/>
        <item x="144"/>
        <item x="183"/>
        <item x="574"/>
        <item x="81"/>
        <item x="512"/>
        <item x="562"/>
        <item x="315"/>
        <item x="391"/>
        <item x="288"/>
        <item x="272"/>
        <item x="2"/>
        <item x="92"/>
        <item x="292"/>
        <item x="434"/>
        <item x="585"/>
        <item x="199"/>
        <item x="74"/>
        <item x="363"/>
        <item x="204"/>
        <item x="185"/>
        <item x="497"/>
        <item x="52"/>
        <item x="99"/>
        <item x="118"/>
        <item x="132"/>
        <item x="215"/>
        <item x="495"/>
        <item x="171"/>
        <item x="613"/>
        <item x="543"/>
        <item x="629"/>
        <item x="520"/>
        <item x="547"/>
        <item x="255"/>
        <item x="351"/>
        <item x="64"/>
        <item x="546"/>
        <item x="151"/>
        <item x="223"/>
        <item x="615"/>
        <item x="239"/>
        <item x="260"/>
        <item x="129"/>
        <item x="532"/>
        <item x="326"/>
        <item x="459"/>
        <item x="371"/>
        <item x="66"/>
        <item x="626"/>
        <item x="604"/>
        <item x="624"/>
        <item x="31"/>
        <item x="515"/>
        <item x="477"/>
        <item x="344"/>
        <item x="499"/>
        <item x="197"/>
        <item x="121"/>
        <item x="445"/>
        <item x="455"/>
        <item x="202"/>
        <item x="474"/>
        <item x="301"/>
        <item x="382"/>
        <item x="152"/>
        <item x="485"/>
        <item x="296"/>
        <item x="124"/>
        <item x="229"/>
        <item x="478"/>
        <item x="284"/>
        <item x="137"/>
        <item x="216"/>
        <item x="387"/>
        <item x="591"/>
        <item x="316"/>
        <item x="537"/>
        <item x="419"/>
        <item x="261"/>
        <item x="266"/>
        <item x="259"/>
        <item x="528"/>
        <item x="39"/>
        <item x="213"/>
        <item x="431"/>
        <item x="337"/>
        <item x="176"/>
        <item x="609"/>
        <item x="291"/>
        <item x="408"/>
        <item x="384"/>
        <item x="596"/>
        <item x="526"/>
        <item x="198"/>
        <item x="460"/>
        <item x="221"/>
        <item x="576"/>
        <item x="279"/>
        <item x="75"/>
        <item x="5"/>
        <item x="589"/>
        <item x="466"/>
        <item x="412"/>
        <item x="349"/>
        <item x="501"/>
        <item x="243"/>
        <item x="68"/>
        <item x="436"/>
        <item x="619"/>
        <item x="340"/>
        <item x="444"/>
        <item x="450"/>
        <item x="476"/>
        <item x="437"/>
        <item x="69"/>
        <item x="539"/>
        <item x="369"/>
        <item x="4"/>
        <item x="338"/>
        <item x="145"/>
        <item x="187"/>
        <item x="318"/>
        <item x="388"/>
        <item x="85"/>
        <item x="154"/>
        <item x="441"/>
        <item x="160"/>
        <item x="404"/>
        <item x="370"/>
        <item x="581"/>
        <item x="35"/>
        <item x="507"/>
        <item x="483"/>
        <item x="135"/>
        <item x="21"/>
        <item x="570"/>
        <item x="95"/>
        <item x="115"/>
        <item x="456"/>
        <item x="125"/>
        <item x="308"/>
        <item x="165"/>
        <item x="623"/>
        <item x="258"/>
        <item x="321"/>
        <item x="311"/>
        <item x="28"/>
        <item x="346"/>
        <item x="140"/>
        <item x="142"/>
        <item x="509"/>
        <item x="205"/>
        <item x="627"/>
        <item x="192"/>
        <item x="393"/>
        <item x="469"/>
        <item x="411"/>
        <item x="15"/>
        <item x="331"/>
        <item x="233"/>
        <item x="228"/>
        <item x="555"/>
        <item x="542"/>
        <item x="628"/>
        <item x="237"/>
        <item x="267"/>
        <item x="538"/>
        <item x="114"/>
        <item x="414"/>
        <item x="178"/>
        <item x="396"/>
        <item x="479"/>
        <item x="336"/>
        <item x="164"/>
        <item x="155"/>
        <item x="549"/>
        <item x="325"/>
        <item x="105"/>
        <item x="134"/>
        <item x="309"/>
        <item x="109"/>
        <item x="34"/>
        <item x="401"/>
        <item x="30"/>
        <item x="79"/>
        <item x="214"/>
        <item x="153"/>
        <item x="458"/>
        <item x="548"/>
        <item x="16"/>
        <item x="322"/>
        <item x="523"/>
        <item x="297"/>
        <item x="564"/>
        <item x="480"/>
        <item x="10"/>
        <item x="147"/>
        <item x="191"/>
        <item x="25"/>
        <item x="162"/>
        <item x="251"/>
        <item x="111"/>
        <item x="353"/>
        <item x="139"/>
        <item x="181"/>
        <item x="586"/>
        <item x="489"/>
        <item x="63"/>
        <item x="560"/>
        <item x="392"/>
        <item x="454"/>
        <item x="51"/>
        <item x="607"/>
        <item x="0"/>
        <item x="287"/>
        <item x="234"/>
        <item x="107"/>
        <item x="70"/>
        <item x="57"/>
        <item x="41"/>
        <item x="252"/>
        <item x="390"/>
        <item x="504"/>
        <item x="247"/>
        <item x="167"/>
        <item x="561"/>
        <item x="610"/>
        <item x="334"/>
        <item x="341"/>
        <item x="6"/>
        <item x="612"/>
        <item x="362"/>
        <item x="67"/>
        <item x="253"/>
        <item x="536"/>
        <item x="572"/>
        <item x="461"/>
        <item x="161"/>
        <item x="1"/>
        <item x="524"/>
        <item x="283"/>
        <item x="486"/>
        <item x="410"/>
        <item x="429"/>
        <item x="484"/>
        <item x="143"/>
        <item x="44"/>
        <item x="405"/>
        <item x="383"/>
        <item x="517"/>
        <item x="310"/>
        <item x="545"/>
        <item x="231"/>
        <item x="313"/>
        <item x="494"/>
        <item x="568"/>
        <item x="149"/>
        <item x="594"/>
        <item x="194"/>
        <item x="440"/>
        <item x="76"/>
        <item x="77"/>
        <item x="413"/>
        <item x="50"/>
        <item x="521"/>
        <item x="423"/>
        <item x="117"/>
        <item x="103"/>
        <item x="578"/>
        <item x="274"/>
        <item x="23"/>
        <item x="265"/>
        <item x="323"/>
        <item x="188"/>
        <item x="464"/>
        <item x="443"/>
        <item x="356"/>
        <item x="424"/>
        <item x="492"/>
        <item x="386"/>
        <item x="529"/>
        <item x="554"/>
        <item x="409"/>
        <item x="245"/>
        <item x="47"/>
        <item x="600"/>
        <item x="157"/>
        <item x="558"/>
        <item x="448"/>
        <item x="500"/>
        <item x="232"/>
        <item x="335"/>
        <item x="587"/>
        <item x="493"/>
        <item x="277"/>
        <item x="433"/>
        <item x="126"/>
        <item x="598"/>
        <item x="123"/>
        <item x="8"/>
        <item x="582"/>
        <item x="86"/>
        <item x="38"/>
        <item x="88"/>
        <item x="128"/>
        <item x="170"/>
        <item x="400"/>
        <item x="541"/>
        <item x="33"/>
        <item x="40"/>
        <item x="97"/>
        <item x="184"/>
        <item x="475"/>
        <item x="342"/>
        <item x="472"/>
        <item x="430"/>
        <item x="415"/>
        <item x="249"/>
        <item x="195"/>
        <item x="402"/>
        <item x="209"/>
        <item x="557"/>
        <item x="207"/>
        <item x="583"/>
        <item x="373"/>
        <item x="36"/>
        <item x="359"/>
        <item x="527"/>
        <item x="320"/>
        <item x="217"/>
        <item x="496"/>
        <item x="506"/>
        <item x="611"/>
        <item x="442"/>
        <item x="271"/>
        <item x="418"/>
        <item x="618"/>
        <item x="189"/>
        <item x="156"/>
        <item x="567"/>
        <item x="104"/>
        <item x="508"/>
        <item x="218"/>
        <item x="138"/>
        <item x="465"/>
        <item x="26"/>
        <item x="295"/>
        <item x="490"/>
        <item x="108"/>
        <item x="20"/>
        <item x="73"/>
        <item x="235"/>
        <item x="427"/>
        <item x="621"/>
        <item x="365"/>
        <item x="319"/>
        <item x="522"/>
        <item x="273"/>
        <item x="136"/>
        <item x="432"/>
        <item x="608"/>
        <item x="101"/>
        <item x="451"/>
        <item x="244"/>
        <item x="27"/>
        <item x="254"/>
        <item x="286"/>
        <item x="242"/>
        <item x="374"/>
        <item x="559"/>
        <item x="303"/>
        <item x="268"/>
        <item x="447"/>
        <item x="13"/>
        <item x="358"/>
        <item x="519"/>
        <item x="343"/>
        <item x="238"/>
        <item x="345"/>
        <item x="141"/>
        <item x="60"/>
        <item x="599"/>
        <item x="110"/>
        <item x="352"/>
        <item x="112"/>
        <item x="354"/>
        <item x="312"/>
        <item x="616"/>
        <item x="72"/>
        <item x="169"/>
        <item x="592"/>
        <item x="275"/>
        <item x="177"/>
        <item x="510"/>
        <item x="357"/>
        <item x="511"/>
        <item x="48"/>
        <item x="196"/>
        <item x="174"/>
        <item x="435"/>
        <item x="398"/>
        <item x="487"/>
        <item x="565"/>
        <item x="211"/>
        <item x="426"/>
        <item x="93"/>
        <item x="42"/>
        <item x="200"/>
        <item x="82"/>
        <item x="364"/>
        <item x="236"/>
        <item x="513"/>
        <item x="304"/>
        <item x="206"/>
        <item x="534"/>
        <item x="617"/>
        <item x="579"/>
        <item x="3"/>
        <item x="569"/>
        <item x="571"/>
        <item x="120"/>
        <item x="257"/>
        <item x="375"/>
        <item x="601"/>
        <item x="299"/>
        <item x="379"/>
        <item x="417"/>
        <item x="314"/>
        <item x="17"/>
        <item x="146"/>
        <item x="150"/>
        <item x="584"/>
        <item x="248"/>
        <item x="482"/>
        <item x="488"/>
        <item x="606"/>
        <item x="96"/>
        <item x="372"/>
        <item x="420"/>
        <item x="302"/>
        <item x="588"/>
        <item x="575"/>
        <item x="227"/>
        <item x="462"/>
        <item x="368"/>
        <item x="533"/>
        <item x="333"/>
        <item x="100"/>
        <item x="84"/>
        <item x="502"/>
        <item x="553"/>
        <item x="552"/>
        <item x="133"/>
        <item x="306"/>
        <item x="294"/>
        <item x="416"/>
        <item x="307"/>
        <item x="481"/>
        <item x="452"/>
        <item x="159"/>
        <item x="550"/>
        <item x="263"/>
        <item x="525"/>
        <item x="446"/>
        <item x="505"/>
        <item x="32"/>
        <item x="348"/>
        <item x="270"/>
        <item x="389"/>
        <item x="394"/>
        <item x="293"/>
        <item x="12"/>
        <item x="83"/>
        <item x="463"/>
        <item x="131"/>
        <item x="240"/>
        <item x="407"/>
        <item x="11"/>
        <item x="62"/>
        <item x="91"/>
        <item x="614"/>
        <item x="127"/>
        <item x="285"/>
        <item x="98"/>
        <item x="186"/>
        <item x="29"/>
        <item x="212"/>
        <item x="53"/>
        <item x="22"/>
        <item x="210"/>
        <item x="397"/>
        <item x="360"/>
        <item x="399"/>
        <item x="366"/>
        <item x="90"/>
        <item x="208"/>
        <item x="514"/>
        <item x="377"/>
        <item x="58"/>
        <item x="71"/>
        <item x="241"/>
        <item x="113"/>
        <item x="622"/>
        <item x="130"/>
        <item x="421"/>
        <item x="179"/>
        <item x="329"/>
        <item x="563"/>
        <item x="102"/>
        <item x="180"/>
        <item x="428"/>
        <item x="395"/>
        <item x="276"/>
        <item x="222"/>
        <item x="503"/>
        <item x="473"/>
        <item x="597"/>
        <item x="280"/>
        <item x="116"/>
        <item x="173"/>
        <item x="491"/>
        <item x="595"/>
        <item x="37"/>
        <item x="94"/>
        <item x="630"/>
        <item x="330"/>
        <item x="19"/>
        <item x="602"/>
        <item x="290"/>
        <item x="230"/>
        <item x="219"/>
        <item x="59"/>
        <item x="55"/>
        <item x="158"/>
        <item x="531"/>
        <item x="327"/>
        <item x="61"/>
        <item x="471"/>
        <item x="381"/>
        <item x="467"/>
        <item x="425"/>
        <item x="43"/>
        <item x="380"/>
        <item x="498"/>
        <item x="516"/>
        <item x="422"/>
        <item x="14"/>
        <item x="18"/>
        <item x="175"/>
        <item x="593"/>
        <item x="317"/>
        <item x="87"/>
        <item x="385"/>
        <item x="556"/>
        <item x="406"/>
        <item x="264"/>
        <item x="182"/>
        <item x="620"/>
        <item x="262"/>
        <item x="403"/>
        <item x="378"/>
        <item x="289"/>
        <item x="530"/>
        <item x="566"/>
        <item x="56"/>
        <item x="298"/>
        <item x="305"/>
        <item x="246"/>
        <item x="468"/>
        <item x="355"/>
        <item x="119"/>
        <item x="544"/>
        <item x="203"/>
        <item x="282"/>
        <item x="590"/>
        <item x="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dataField="1" compact="0" showAll="0">
      <items count="13">
        <item x="4"/>
        <item x="2"/>
        <item x="0"/>
        <item x="7"/>
        <item x="5"/>
        <item x="9"/>
        <item x="8"/>
        <item x="11"/>
        <item x="6"/>
        <item x="1"/>
        <item x="10"/>
        <item x="3"/>
        <item t="default"/>
      </items>
    </pivotField>
    <pivotField compact="0" showAll="0">
      <items count="469">
        <item x="5"/>
        <item x="455"/>
        <item x="271"/>
        <item x="415"/>
        <item x="181"/>
        <item x="7"/>
        <item x="371"/>
        <item x="184"/>
        <item x="119"/>
        <item x="424"/>
        <item x="122"/>
        <item x="171"/>
        <item x="180"/>
        <item x="312"/>
        <item x="23"/>
        <item x="77"/>
        <item x="426"/>
        <item x="62"/>
        <item x="152"/>
        <item x="147"/>
        <item x="361"/>
        <item x="29"/>
        <item x="159"/>
        <item x="452"/>
        <item x="2"/>
        <item x="107"/>
        <item x="432"/>
        <item x="226"/>
        <item x="336"/>
        <item x="206"/>
        <item x="315"/>
        <item x="211"/>
        <item x="342"/>
        <item x="64"/>
        <item x="278"/>
        <item x="150"/>
        <item x="33"/>
        <item x="50"/>
        <item x="451"/>
        <item x="163"/>
        <item x="89"/>
        <item x="458"/>
        <item x="125"/>
        <item x="290"/>
        <item x="27"/>
        <item x="387"/>
        <item x="153"/>
        <item x="43"/>
        <item x="67"/>
        <item x="460"/>
        <item x="15"/>
        <item x="441"/>
        <item x="410"/>
        <item x="129"/>
        <item x="449"/>
        <item x="177"/>
        <item x="275"/>
        <item x="239"/>
        <item x="406"/>
        <item x="20"/>
        <item x="382"/>
        <item x="362"/>
        <item x="72"/>
        <item x="207"/>
        <item x="373"/>
        <item x="234"/>
        <item x="328"/>
        <item x="408"/>
        <item x="446"/>
        <item x="308"/>
        <item x="109"/>
        <item x="280"/>
        <item x="367"/>
        <item x="75"/>
        <item x="251"/>
        <item x="37"/>
        <item x="264"/>
        <item x="169"/>
        <item x="44"/>
        <item x="87"/>
        <item x="85"/>
        <item x="306"/>
        <item x="186"/>
        <item x="140"/>
        <item x="133"/>
        <item x="422"/>
        <item x="425"/>
        <item x="376"/>
        <item x="47"/>
        <item x="289"/>
        <item x="386"/>
        <item x="256"/>
        <item x="172"/>
        <item x="370"/>
        <item x="245"/>
        <item x="288"/>
        <item x="131"/>
        <item x="203"/>
        <item x="443"/>
        <item x="242"/>
        <item x="235"/>
        <item x="174"/>
        <item x="389"/>
        <item x="115"/>
        <item x="183"/>
        <item x="419"/>
        <item x="66"/>
        <item x="114"/>
        <item x="260"/>
        <item x="417"/>
        <item x="343"/>
        <item x="200"/>
        <item x="161"/>
        <item x="345"/>
        <item x="52"/>
        <item x="429"/>
        <item x="137"/>
        <item x="459"/>
        <item x="73"/>
        <item x="216"/>
        <item x="364"/>
        <item x="158"/>
        <item x="199"/>
        <item x="323"/>
        <item x="204"/>
        <item x="231"/>
        <item x="155"/>
        <item x="327"/>
        <item x="233"/>
        <item x="348"/>
        <item x="176"/>
        <item x="358"/>
        <item x="259"/>
        <item x="282"/>
        <item x="391"/>
        <item x="324"/>
        <item x="250"/>
        <item x="143"/>
        <item x="193"/>
        <item x="276"/>
        <item x="285"/>
        <item x="112"/>
        <item x="106"/>
        <item x="214"/>
        <item x="134"/>
        <item x="294"/>
        <item x="297"/>
        <item x="63"/>
        <item x="374"/>
        <item x="4"/>
        <item x="141"/>
        <item x="340"/>
        <item x="380"/>
        <item x="202"/>
        <item x="195"/>
        <item x="295"/>
        <item x="81"/>
        <item x="240"/>
        <item x="311"/>
        <item x="423"/>
        <item x="113"/>
        <item x="360"/>
        <item x="300"/>
        <item x="279"/>
        <item x="435"/>
        <item x="241"/>
        <item x="39"/>
        <item x="182"/>
        <item x="94"/>
        <item x="347"/>
        <item x="303"/>
        <item x="13"/>
        <item x="84"/>
        <item x="436"/>
        <item x="247"/>
        <item x="10"/>
        <item x="145"/>
        <item x="162"/>
        <item x="383"/>
        <item x="437"/>
        <item x="179"/>
        <item x="128"/>
        <item x="221"/>
        <item x="292"/>
        <item x="142"/>
        <item x="351"/>
        <item x="439"/>
        <item x="354"/>
        <item x="352"/>
        <item x="194"/>
        <item x="397"/>
        <item x="263"/>
        <item x="314"/>
        <item x="428"/>
        <item x="220"/>
        <item x="34"/>
        <item x="307"/>
        <item x="58"/>
        <item x="0"/>
        <item x="450"/>
        <item x="227"/>
        <item x="246"/>
        <item x="68"/>
        <item x="363"/>
        <item x="265"/>
        <item x="248"/>
        <item x="215"/>
        <item x="244"/>
        <item x="149"/>
        <item x="136"/>
        <item x="403"/>
        <item x="82"/>
        <item x="286"/>
        <item x="70"/>
        <item x="413"/>
        <item x="31"/>
        <item x="36"/>
        <item x="395"/>
        <item x="412"/>
        <item x="400"/>
        <item x="230"/>
        <item x="372"/>
        <item x="8"/>
        <item x="375"/>
        <item x="322"/>
        <item x="385"/>
        <item x="393"/>
        <item x="45"/>
        <item x="313"/>
        <item x="22"/>
        <item x="173"/>
        <item x="42"/>
        <item x="98"/>
        <item x="65"/>
        <item x="154"/>
        <item x="398"/>
        <item x="91"/>
        <item x="118"/>
        <item x="101"/>
        <item x="368"/>
        <item x="151"/>
        <item x="416"/>
        <item x="344"/>
        <item x="116"/>
        <item x="274"/>
        <item x="102"/>
        <item x="103"/>
        <item x="369"/>
        <item x="132"/>
        <item x="249"/>
        <item x="269"/>
        <item x="304"/>
        <item x="463"/>
        <item x="104"/>
        <item x="24"/>
        <item x="411"/>
        <item x="287"/>
        <item x="293"/>
        <item x="157"/>
        <item x="320"/>
        <item x="26"/>
        <item x="334"/>
        <item x="19"/>
        <item x="465"/>
        <item x="228"/>
        <item x="453"/>
        <item x="447"/>
        <item x="399"/>
        <item x="144"/>
        <item x="298"/>
        <item x="326"/>
        <item x="175"/>
        <item x="99"/>
        <item x="421"/>
        <item x="456"/>
        <item x="353"/>
        <item x="396"/>
        <item x="365"/>
        <item x="32"/>
        <item x="38"/>
        <item x="74"/>
        <item x="341"/>
        <item x="434"/>
        <item x="225"/>
        <item x="209"/>
        <item x="210"/>
        <item x="331"/>
        <item x="255"/>
        <item x="191"/>
        <item x="187"/>
        <item x="212"/>
        <item x="97"/>
        <item x="197"/>
        <item x="178"/>
        <item x="138"/>
        <item x="366"/>
        <item x="189"/>
        <item x="166"/>
        <item x="88"/>
        <item x="238"/>
        <item x="156"/>
        <item x="407"/>
        <item x="196"/>
        <item x="464"/>
        <item x="46"/>
        <item x="100"/>
        <item x="49"/>
        <item x="462"/>
        <item x="168"/>
        <item x="1"/>
        <item x="404"/>
        <item x="40"/>
        <item x="229"/>
        <item x="291"/>
        <item x="148"/>
        <item x="356"/>
        <item x="61"/>
        <item x="273"/>
        <item x="333"/>
        <item x="48"/>
        <item x="299"/>
        <item x="223"/>
        <item x="444"/>
        <item x="405"/>
        <item x="392"/>
        <item x="127"/>
        <item x="76"/>
        <item x="379"/>
        <item x="302"/>
        <item x="461"/>
        <item x="25"/>
        <item x="219"/>
        <item x="96"/>
        <item x="430"/>
        <item x="390"/>
        <item x="16"/>
        <item x="330"/>
        <item x="126"/>
        <item x="71"/>
        <item x="55"/>
        <item x="337"/>
        <item x="124"/>
        <item x="130"/>
        <item x="359"/>
        <item x="6"/>
        <item x="357"/>
        <item x="272"/>
        <item x="11"/>
        <item x="409"/>
        <item x="316"/>
        <item x="123"/>
        <item x="420"/>
        <item x="283"/>
        <item x="170"/>
        <item x="105"/>
        <item x="335"/>
        <item x="51"/>
        <item x="266"/>
        <item x="93"/>
        <item x="192"/>
        <item x="318"/>
        <item x="167"/>
        <item x="185"/>
        <item x="317"/>
        <item x="414"/>
        <item x="54"/>
        <item x="120"/>
        <item x="146"/>
        <item x="433"/>
        <item x="454"/>
        <item x="243"/>
        <item x="338"/>
        <item x="349"/>
        <item x="467"/>
        <item x="121"/>
        <item x="12"/>
        <item x="339"/>
        <item x="402"/>
        <item x="418"/>
        <item x="252"/>
        <item x="310"/>
        <item x="309"/>
        <item x="381"/>
        <item x="401"/>
        <item x="80"/>
        <item x="3"/>
        <item x="258"/>
        <item x="95"/>
        <item x="277"/>
        <item x="254"/>
        <item x="53"/>
        <item x="28"/>
        <item x="69"/>
        <item x="377"/>
        <item x="261"/>
        <item x="332"/>
        <item x="440"/>
        <item x="160"/>
        <item x="139"/>
        <item x="448"/>
        <item x="222"/>
        <item x="79"/>
        <item x="208"/>
        <item x="60"/>
        <item x="86"/>
        <item x="57"/>
        <item x="355"/>
        <item x="267"/>
        <item x="321"/>
        <item x="78"/>
        <item x="394"/>
        <item x="217"/>
        <item x="253"/>
        <item x="270"/>
        <item x="281"/>
        <item x="9"/>
        <item x="329"/>
        <item x="41"/>
        <item x="262"/>
        <item x="108"/>
        <item x="346"/>
        <item x="56"/>
        <item x="21"/>
        <item x="325"/>
        <item x="296"/>
        <item x="111"/>
        <item x="236"/>
        <item x="268"/>
        <item x="35"/>
        <item x="305"/>
        <item x="438"/>
        <item x="232"/>
        <item x="350"/>
        <item x="110"/>
        <item x="445"/>
        <item x="190"/>
        <item x="201"/>
        <item x="213"/>
        <item x="466"/>
        <item x="18"/>
        <item x="188"/>
        <item x="92"/>
        <item x="319"/>
        <item x="30"/>
        <item x="378"/>
        <item x="90"/>
        <item x="218"/>
        <item x="442"/>
        <item x="117"/>
        <item x="431"/>
        <item x="83"/>
        <item x="205"/>
        <item x="457"/>
        <item x="384"/>
        <item x="301"/>
        <item x="427"/>
        <item x="164"/>
        <item x="198"/>
        <item x="257"/>
        <item x="388"/>
        <item x="14"/>
        <item x="237"/>
        <item x="17"/>
        <item x="59"/>
        <item x="135"/>
        <item x="224"/>
        <item x="284"/>
        <item x="165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numFmtId="181" showAll="0">
      <items count="470">
        <item x="5"/>
        <item x="7"/>
        <item x="185"/>
        <item x="199"/>
        <item x="411"/>
        <item x="270"/>
        <item x="125"/>
        <item x="128"/>
        <item x="187"/>
        <item x="441"/>
        <item x="78"/>
        <item x="24"/>
        <item x="419"/>
        <item x="183"/>
        <item x="62"/>
        <item x="279"/>
        <item x="174"/>
        <item x="152"/>
        <item x="111"/>
        <item x="422"/>
        <item x="297"/>
        <item x="162"/>
        <item x="157"/>
        <item x="384"/>
        <item x="96"/>
        <item x="223"/>
        <item x="2"/>
        <item x="155"/>
        <item x="214"/>
        <item x="211"/>
        <item x="314"/>
        <item x="50"/>
        <item x="339"/>
        <item x="310"/>
        <item x="64"/>
        <item x="290"/>
        <item x="132"/>
        <item x="277"/>
        <item x="166"/>
        <item x="130"/>
        <item x="357"/>
        <item x="400"/>
        <item x="15"/>
        <item x="453"/>
        <item x="450"/>
        <item x="437"/>
        <item x="92"/>
        <item x="189"/>
        <item x="43"/>
        <item x="430"/>
        <item x="235"/>
        <item x="206"/>
        <item x="67"/>
        <item x="184"/>
        <item x="28"/>
        <item x="295"/>
        <item x="72"/>
        <item x="370"/>
        <item x="426"/>
        <item x="379"/>
        <item x="383"/>
        <item x="180"/>
        <item x="408"/>
        <item x="21"/>
        <item x="281"/>
        <item x="435"/>
        <item x="359"/>
        <item x="103"/>
        <item x="403"/>
        <item x="212"/>
        <item x="374"/>
        <item x="76"/>
        <item x="282"/>
        <item x="114"/>
        <item x="326"/>
        <item x="367"/>
        <item x="271"/>
        <item x="90"/>
        <item x="37"/>
        <item x="305"/>
        <item x="440"/>
        <item x="87"/>
        <item x="44"/>
        <item x="393"/>
        <item x="260"/>
        <item x="420"/>
        <item x="416"/>
        <item x="438"/>
        <item x="418"/>
        <item x="138"/>
        <item x="467"/>
        <item x="373"/>
        <item x="172"/>
        <item x="264"/>
        <item x="145"/>
        <item x="175"/>
        <item x="47"/>
        <item x="464"/>
        <item x="208"/>
        <item x="254"/>
        <item x="241"/>
        <item x="238"/>
        <item x="386"/>
        <item x="289"/>
        <item x="177"/>
        <item x="170"/>
        <item x="230"/>
        <item x="136"/>
        <item x="466"/>
        <item x="52"/>
        <item x="286"/>
        <item x="120"/>
        <item x="121"/>
        <item x="66"/>
        <item x="204"/>
        <item x="165"/>
        <item x="79"/>
        <item x="340"/>
        <item x="460"/>
        <item x="142"/>
        <item x="380"/>
        <item x="413"/>
        <item x="258"/>
        <item x="360"/>
        <item x="203"/>
        <item x="322"/>
        <item x="227"/>
        <item x="73"/>
        <item x="308"/>
        <item x="161"/>
        <item x="456"/>
        <item x="229"/>
        <item x="355"/>
        <item x="353"/>
        <item x="159"/>
        <item x="325"/>
        <item x="395"/>
        <item x="209"/>
        <item x="406"/>
        <item x="263"/>
        <item x="147"/>
        <item x="323"/>
        <item x="257"/>
        <item x="179"/>
        <item x="247"/>
        <item x="284"/>
        <item x="388"/>
        <item x="196"/>
        <item x="139"/>
        <item x="275"/>
        <item x="110"/>
        <item x="287"/>
        <item x="217"/>
        <item x="371"/>
        <item x="369"/>
        <item x="117"/>
        <item x="298"/>
        <item x="293"/>
        <item x="336"/>
        <item x="207"/>
        <item x="83"/>
        <item x="63"/>
        <item x="4"/>
        <item x="236"/>
        <item x="436"/>
        <item x="309"/>
        <item x="296"/>
        <item x="358"/>
        <item x="429"/>
        <item x="362"/>
        <item x="198"/>
        <item x="385"/>
        <item x="465"/>
        <item x="118"/>
        <item x="98"/>
        <item x="237"/>
        <item x="86"/>
        <item x="243"/>
        <item x="186"/>
        <item x="253"/>
        <item x="454"/>
        <item x="39"/>
        <item x="303"/>
        <item x="431"/>
        <item x="250"/>
        <item x="414"/>
        <item x="10"/>
        <item x="344"/>
        <item x="13"/>
        <item x="134"/>
        <item x="176"/>
        <item x="433"/>
        <item x="149"/>
        <item x="381"/>
        <item x="391"/>
        <item x="182"/>
        <item x="146"/>
        <item x="348"/>
        <item x="351"/>
        <item x="280"/>
        <item x="259"/>
        <item x="312"/>
        <item x="68"/>
        <item x="447"/>
        <item x="402"/>
        <item x="34"/>
        <item x="221"/>
        <item x="427"/>
        <item x="197"/>
        <item x="375"/>
        <item x="261"/>
        <item x="0"/>
        <item x="154"/>
        <item x="58"/>
        <item x="244"/>
        <item x="242"/>
        <item x="240"/>
        <item x="288"/>
        <item x="301"/>
        <item x="141"/>
        <item x="84"/>
        <item x="410"/>
        <item x="36"/>
        <item x="70"/>
        <item x="32"/>
        <item x="409"/>
        <item x="321"/>
        <item x="365"/>
        <item x="372"/>
        <item x="226"/>
        <item x="338"/>
        <item x="428"/>
        <item x="23"/>
        <item x="390"/>
        <item x="94"/>
        <item x="102"/>
        <item x="45"/>
        <item x="8"/>
        <item x="42"/>
        <item x="163"/>
        <item x="65"/>
        <item x="105"/>
        <item x="421"/>
        <item x="107"/>
        <item x="124"/>
        <item x="158"/>
        <item x="307"/>
        <item x="156"/>
        <item x="392"/>
        <item x="278"/>
        <item x="266"/>
        <item x="443"/>
        <item x="412"/>
        <item x="273"/>
        <item x="304"/>
        <item x="122"/>
        <item x="75"/>
        <item x="455"/>
        <item x="246"/>
        <item x="137"/>
        <item x="106"/>
        <item x="364"/>
        <item x="292"/>
        <item x="25"/>
        <item x="160"/>
        <item x="27"/>
        <item x="446"/>
        <item x="20"/>
        <item x="108"/>
        <item x="224"/>
        <item x="294"/>
        <item x="423"/>
        <item x="319"/>
        <item x="332"/>
        <item x="442"/>
        <item x="331"/>
        <item x="148"/>
        <item x="299"/>
        <item x="33"/>
        <item x="462"/>
        <item x="417"/>
        <item x="448"/>
        <item x="178"/>
        <item x="104"/>
        <item x="337"/>
        <item x="252"/>
        <item x="213"/>
        <item x="350"/>
        <item x="394"/>
        <item x="150"/>
        <item x="38"/>
        <item x="74"/>
        <item x="425"/>
        <item x="181"/>
        <item x="215"/>
        <item x="361"/>
        <item x="330"/>
        <item x="101"/>
        <item x="191"/>
        <item x="234"/>
        <item x="168"/>
        <item x="201"/>
        <item x="143"/>
        <item x="1"/>
        <item x="193"/>
        <item x="459"/>
        <item x="399"/>
        <item x="171"/>
        <item x="91"/>
        <item x="291"/>
        <item x="272"/>
        <item x="49"/>
        <item x="432"/>
        <item x="46"/>
        <item x="200"/>
        <item x="352"/>
        <item x="40"/>
        <item x="61"/>
        <item x="225"/>
        <item x="401"/>
        <item x="48"/>
        <item x="153"/>
        <item x="300"/>
        <item x="389"/>
        <item x="119"/>
        <item x="302"/>
        <item x="387"/>
        <item x="341"/>
        <item x="220"/>
        <item x="133"/>
        <item x="55"/>
        <item x="354"/>
        <item x="71"/>
        <item x="77"/>
        <item x="452"/>
        <item x="129"/>
        <item x="100"/>
        <item x="368"/>
        <item x="26"/>
        <item x="113"/>
        <item x="404"/>
        <item x="16"/>
        <item x="135"/>
        <item x="131"/>
        <item x="356"/>
        <item x="6"/>
        <item x="30"/>
        <item x="457"/>
        <item x="315"/>
        <item x="262"/>
        <item x="11"/>
        <item x="109"/>
        <item x="333"/>
        <item x="269"/>
        <item x="195"/>
        <item x="173"/>
        <item x="190"/>
        <item x="97"/>
        <item x="51"/>
        <item x="316"/>
        <item x="188"/>
        <item x="444"/>
        <item x="126"/>
        <item x="54"/>
        <item x="169"/>
        <item x="239"/>
        <item x="468"/>
        <item x="335"/>
        <item x="345"/>
        <item x="334"/>
        <item x="127"/>
        <item x="397"/>
        <item x="268"/>
        <item x="398"/>
        <item x="248"/>
        <item x="12"/>
        <item x="3"/>
        <item x="99"/>
        <item x="256"/>
        <item x="343"/>
        <item x="306"/>
        <item x="311"/>
        <item x="29"/>
        <item x="267"/>
        <item x="251"/>
        <item x="434"/>
        <item x="82"/>
        <item x="376"/>
        <item x="81"/>
        <item x="232"/>
        <item x="276"/>
        <item x="363"/>
        <item x="53"/>
        <item x="222"/>
        <item x="461"/>
        <item x="164"/>
        <item x="69"/>
        <item x="415"/>
        <item x="57"/>
        <item x="88"/>
        <item x="144"/>
        <item x="283"/>
        <item x="449"/>
        <item x="19"/>
        <item x="80"/>
        <item x="60"/>
        <item x="320"/>
        <item x="218"/>
        <item x="249"/>
        <item x="407"/>
        <item x="378"/>
        <item x="274"/>
        <item x="327"/>
        <item x="9"/>
        <item x="112"/>
        <item x="342"/>
        <item x="56"/>
        <item x="41"/>
        <item x="451"/>
        <item x="366"/>
        <item x="89"/>
        <item x="231"/>
        <item x="22"/>
        <item x="324"/>
        <item x="228"/>
        <item x="346"/>
        <item x="265"/>
        <item x="35"/>
        <item x="313"/>
        <item x="116"/>
        <item x="245"/>
        <item x="458"/>
        <item x="205"/>
        <item x="115"/>
        <item x="216"/>
        <item x="463"/>
        <item x="439"/>
        <item x="194"/>
        <item x="18"/>
        <item x="31"/>
        <item x="192"/>
        <item x="219"/>
        <item x="123"/>
        <item x="377"/>
        <item x="93"/>
        <item x="318"/>
        <item x="95"/>
        <item x="85"/>
        <item x="151"/>
        <item x="424"/>
        <item x="255"/>
        <item x="405"/>
        <item x="210"/>
        <item x="382"/>
        <item x="349"/>
        <item x="317"/>
        <item x="233"/>
        <item x="59"/>
        <item x="328"/>
        <item x="17"/>
        <item x="167"/>
        <item x="445"/>
        <item x="329"/>
        <item x="202"/>
        <item x="347"/>
        <item x="285"/>
        <item x="140"/>
        <item x="14"/>
        <item x="396"/>
        <item t="default"/>
      </items>
    </pivotField>
    <pivotField compact="0" numFmtId="181" showAll="0">
      <items count="473">
        <item x="5"/>
        <item x="185"/>
        <item x="7"/>
        <item x="412"/>
        <item x="199"/>
        <item x="123"/>
        <item x="126"/>
        <item x="187"/>
        <item x="443"/>
        <item x="78"/>
        <item x="24"/>
        <item x="420"/>
        <item x="183"/>
        <item x="62"/>
        <item x="174"/>
        <item x="152"/>
        <item x="109"/>
        <item x="424"/>
        <item x="276"/>
        <item x="294"/>
        <item x="162"/>
        <item x="157"/>
        <item x="381"/>
        <item x="95"/>
        <item x="222"/>
        <item x="2"/>
        <item x="155"/>
        <item x="214"/>
        <item x="211"/>
        <item x="311"/>
        <item x="50"/>
        <item x="335"/>
        <item x="307"/>
        <item x="64"/>
        <item x="130"/>
        <item x="273"/>
        <item x="166"/>
        <item x="128"/>
        <item x="382"/>
        <item x="287"/>
        <item x="34"/>
        <item x="457"/>
        <item x="454"/>
        <item x="440"/>
        <item x="91"/>
        <item x="189"/>
        <item x="15"/>
        <item x="433"/>
        <item x="206"/>
        <item x="67"/>
        <item x="184"/>
        <item x="28"/>
        <item x="292"/>
        <item x="133"/>
        <item x="366"/>
        <item x="428"/>
        <item x="376"/>
        <item x="380"/>
        <item x="180"/>
        <item x="72"/>
        <item x="21"/>
        <item x="278"/>
        <item x="438"/>
        <item x="354"/>
        <item x="102"/>
        <item x="403"/>
        <item x="212"/>
        <item x="370"/>
        <item x="76"/>
        <item x="279"/>
        <item x="112"/>
        <item x="322"/>
        <item x="363"/>
        <item x="246"/>
        <item x="38"/>
        <item x="302"/>
        <item x="89"/>
        <item x="86"/>
        <item x="44"/>
        <item x="392"/>
        <item x="258"/>
        <item x="421"/>
        <item x="417"/>
        <item x="441"/>
        <item x="419"/>
        <item x="137"/>
        <item x="470"/>
        <item x="369"/>
        <item x="172"/>
        <item x="262"/>
        <item x="144"/>
        <item x="360"/>
        <item x="175"/>
        <item x="47"/>
        <item x="208"/>
        <item x="252"/>
        <item x="239"/>
        <item x="236"/>
        <item x="385"/>
        <item x="286"/>
        <item x="177"/>
        <item x="170"/>
        <item x="229"/>
        <item x="135"/>
        <item x="469"/>
        <item x="52"/>
        <item x="283"/>
        <item x="118"/>
        <item x="119"/>
        <item x="66"/>
        <item x="204"/>
        <item x="165"/>
        <item x="79"/>
        <item x="336"/>
        <item x="464"/>
        <item x="141"/>
        <item x="377"/>
        <item x="414"/>
        <item x="256"/>
        <item x="355"/>
        <item x="203"/>
        <item x="318"/>
        <item x="226"/>
        <item x="73"/>
        <item x="305"/>
        <item x="161"/>
        <item x="460"/>
        <item x="228"/>
        <item x="351"/>
        <item x="349"/>
        <item x="159"/>
        <item x="321"/>
        <item x="394"/>
        <item x="209"/>
        <item x="406"/>
        <item x="261"/>
        <item x="147"/>
        <item x="319"/>
        <item x="255"/>
        <item x="179"/>
        <item x="245"/>
        <item x="281"/>
        <item x="387"/>
        <item x="196"/>
        <item x="271"/>
        <item x="108"/>
        <item x="284"/>
        <item x="138"/>
        <item x="367"/>
        <item x="365"/>
        <item x="115"/>
        <item x="145"/>
        <item x="295"/>
        <item x="290"/>
        <item x="332"/>
        <item x="207"/>
        <item x="82"/>
        <item x="63"/>
        <item x="4"/>
        <item x="234"/>
        <item x="439"/>
        <item x="306"/>
        <item x="293"/>
        <item x="353"/>
        <item x="275"/>
        <item x="432"/>
        <item x="357"/>
        <item x="198"/>
        <item x="383"/>
        <item x="468"/>
        <item x="116"/>
        <item x="97"/>
        <item x="235"/>
        <item x="85"/>
        <item x="241"/>
        <item x="186"/>
        <item x="251"/>
        <item x="458"/>
        <item x="40"/>
        <item x="300"/>
        <item x="434"/>
        <item x="248"/>
        <item x="415"/>
        <item x="10"/>
        <item x="340"/>
        <item x="13"/>
        <item x="132"/>
        <item x="176"/>
        <item x="436"/>
        <item x="149"/>
        <item x="378"/>
        <item x="182"/>
        <item x="146"/>
        <item x="344"/>
        <item x="390"/>
        <item x="347"/>
        <item x="277"/>
        <item x="257"/>
        <item x="309"/>
        <item x="68"/>
        <item x="451"/>
        <item x="402"/>
        <item x="35"/>
        <item x="220"/>
        <item x="430"/>
        <item x="197"/>
        <item x="371"/>
        <item x="259"/>
        <item x="0"/>
        <item x="154"/>
        <item x="58"/>
        <item x="242"/>
        <item x="240"/>
        <item x="238"/>
        <item x="285"/>
        <item x="298"/>
        <item x="140"/>
        <item x="83"/>
        <item x="411"/>
        <item x="396"/>
        <item x="37"/>
        <item x="70"/>
        <item x="32"/>
        <item x="410"/>
        <item x="317"/>
        <item x="361"/>
        <item x="368"/>
        <item x="225"/>
        <item x="334"/>
        <item x="431"/>
        <item x="23"/>
        <item x="389"/>
        <item x="408"/>
        <item x="101"/>
        <item x="45"/>
        <item x="8"/>
        <item x="43"/>
        <item x="163"/>
        <item x="93"/>
        <item x="65"/>
        <item x="104"/>
        <item x="422"/>
        <item x="105"/>
        <item x="122"/>
        <item x="158"/>
        <item x="304"/>
        <item x="156"/>
        <item x="391"/>
        <item x="274"/>
        <item x="264"/>
        <item x="445"/>
        <item x="413"/>
        <item x="269"/>
        <item x="301"/>
        <item x="120"/>
        <item x="374"/>
        <item x="459"/>
        <item x="244"/>
        <item x="136"/>
        <item x="75"/>
        <item x="359"/>
        <item x="409"/>
        <item x="25"/>
        <item x="160"/>
        <item x="27"/>
        <item x="289"/>
        <item x="448"/>
        <item x="106"/>
        <item x="223"/>
        <item x="20"/>
        <item x="291"/>
        <item x="425"/>
        <item x="316"/>
        <item x="328"/>
        <item x="444"/>
        <item x="327"/>
        <item x="148"/>
        <item x="296"/>
        <item x="466"/>
        <item x="450"/>
        <item x="418"/>
        <item x="33"/>
        <item x="452"/>
        <item x="178"/>
        <item x="103"/>
        <item x="333"/>
        <item x="250"/>
        <item x="213"/>
        <item x="346"/>
        <item x="393"/>
        <item x="150"/>
        <item x="39"/>
        <item x="74"/>
        <item x="427"/>
        <item x="181"/>
        <item x="215"/>
        <item x="356"/>
        <item x="326"/>
        <item x="100"/>
        <item x="191"/>
        <item x="233"/>
        <item x="168"/>
        <item x="201"/>
        <item x="142"/>
        <item x="193"/>
        <item x="463"/>
        <item x="400"/>
        <item x="171"/>
        <item x="1"/>
        <item x="90"/>
        <item x="288"/>
        <item x="268"/>
        <item x="49"/>
        <item x="435"/>
        <item x="46"/>
        <item x="200"/>
        <item x="348"/>
        <item x="41"/>
        <item x="61"/>
        <item x="224"/>
        <item x="401"/>
        <item x="48"/>
        <item x="153"/>
        <item x="297"/>
        <item x="388"/>
        <item x="117"/>
        <item x="299"/>
        <item x="386"/>
        <item x="337"/>
        <item x="219"/>
        <item x="131"/>
        <item x="55"/>
        <item x="350"/>
        <item x="71"/>
        <item x="77"/>
        <item x="456"/>
        <item x="127"/>
        <item x="99"/>
        <item x="364"/>
        <item x="26"/>
        <item x="111"/>
        <item x="404"/>
        <item x="16"/>
        <item x="134"/>
        <item x="129"/>
        <item x="352"/>
        <item x="6"/>
        <item x="30"/>
        <item x="461"/>
        <item x="312"/>
        <item x="260"/>
        <item x="11"/>
        <item x="107"/>
        <item x="329"/>
        <item x="267"/>
        <item x="195"/>
        <item x="173"/>
        <item x="190"/>
        <item x="96"/>
        <item x="51"/>
        <item x="313"/>
        <item x="449"/>
        <item x="188"/>
        <item x="446"/>
        <item x="124"/>
        <item x="54"/>
        <item x="169"/>
        <item x="237"/>
        <item x="471"/>
        <item x="331"/>
        <item x="341"/>
        <item x="330"/>
        <item x="125"/>
        <item x="397"/>
        <item x="266"/>
        <item x="398"/>
        <item x="247"/>
        <item x="12"/>
        <item x="3"/>
        <item x="98"/>
        <item x="254"/>
        <item x="339"/>
        <item x="303"/>
        <item x="308"/>
        <item x="29"/>
        <item x="265"/>
        <item x="249"/>
        <item x="437"/>
        <item x="81"/>
        <item x="372"/>
        <item x="231"/>
        <item x="272"/>
        <item x="358"/>
        <item x="53"/>
        <item x="221"/>
        <item x="465"/>
        <item x="164"/>
        <item x="69"/>
        <item x="416"/>
        <item x="57"/>
        <item x="87"/>
        <item x="143"/>
        <item x="399"/>
        <item x="453"/>
        <item x="384"/>
        <item x="429"/>
        <item x="80"/>
        <item x="60"/>
        <item x="280"/>
        <item x="217"/>
        <item x="19"/>
        <item x="407"/>
        <item x="375"/>
        <item x="270"/>
        <item x="323"/>
        <item x="9"/>
        <item x="110"/>
        <item x="338"/>
        <item x="56"/>
        <item x="42"/>
        <item x="455"/>
        <item x="362"/>
        <item x="88"/>
        <item x="230"/>
        <item x="22"/>
        <item x="320"/>
        <item x="227"/>
        <item x="342"/>
        <item x="263"/>
        <item x="36"/>
        <item x="310"/>
        <item x="114"/>
        <item x="243"/>
        <item x="462"/>
        <item x="205"/>
        <item x="113"/>
        <item x="216"/>
        <item x="467"/>
        <item x="442"/>
        <item x="194"/>
        <item x="18"/>
        <item x="31"/>
        <item x="192"/>
        <item x="218"/>
        <item x="121"/>
        <item x="373"/>
        <item x="92"/>
        <item x="315"/>
        <item x="94"/>
        <item x="84"/>
        <item x="151"/>
        <item x="426"/>
        <item x="423"/>
        <item x="405"/>
        <item x="210"/>
        <item x="379"/>
        <item x="253"/>
        <item x="345"/>
        <item x="314"/>
        <item x="232"/>
        <item x="59"/>
        <item x="324"/>
        <item x="17"/>
        <item x="167"/>
        <item x="447"/>
        <item x="325"/>
        <item x="202"/>
        <item x="343"/>
        <item x="282"/>
        <item x="139"/>
        <item x="14"/>
        <item x="395"/>
        <item t="default"/>
      </items>
    </pivotField>
    <pivotField compact="0" numFmtId="1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compact="0" showAll="0">
      <items count="4">
        <item m="1" x="2"/>
        <item x="0"/>
        <item x="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compact="0" showAll="0">
      <items count="41">
        <item x="7"/>
        <item x="36"/>
        <item x="38"/>
        <item x="6"/>
        <item x="9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4"/>
        <item x="28"/>
        <item x="1"/>
        <item x="30"/>
        <item x="24"/>
        <item x="8"/>
        <item x="23"/>
        <item x="14"/>
        <item x="27"/>
        <item x="5"/>
        <item x="35"/>
        <item x="26"/>
        <item t="default"/>
      </items>
    </pivotField>
    <pivotField compact="0" showAll="0">
      <items count="7">
        <item x="3"/>
        <item x="0"/>
        <item x="1"/>
        <item x="5"/>
        <item x="2"/>
        <item x="4"/>
        <item t="default"/>
      </items>
    </pivotField>
    <pivotField compact="0" showAll="0">
      <items count="7">
        <item x="4"/>
        <item x="3"/>
        <item x="2"/>
        <item x="5"/>
        <item x="1"/>
        <item x="0"/>
        <item t="default"/>
      </items>
    </pivotField>
    <pivotField axis="axisRow" compact="0" showAll="0">
      <items count="17">
        <item x="8"/>
        <item x="5"/>
        <item x="0"/>
        <item x="14"/>
        <item x="6"/>
        <item x="9"/>
        <item x="3"/>
        <item x="10"/>
        <item x="2"/>
        <item x="1"/>
        <item x="11"/>
        <item x="4"/>
        <item x="12"/>
        <item x="13"/>
        <item x="7"/>
        <item x="15"/>
        <item t="default"/>
      </items>
    </pivotField>
    <pivotField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showAll="0">
      <items count="631">
        <item x="139"/>
        <item x="621"/>
        <item x="333"/>
        <item x="415"/>
        <item x="340"/>
        <item x="394"/>
        <item x="441"/>
        <item x="293"/>
        <item x="491"/>
        <item x="587"/>
        <item x="207"/>
        <item x="14"/>
        <item x="478"/>
        <item x="58"/>
        <item x="261"/>
        <item x="59"/>
        <item x="325"/>
        <item x="103"/>
        <item x="170"/>
        <item x="70"/>
        <item x="497"/>
        <item x="416"/>
        <item x="312"/>
        <item x="319"/>
        <item x="489"/>
        <item x="332"/>
        <item x="355"/>
        <item x="516"/>
        <item x="185"/>
        <item x="545"/>
        <item x="221"/>
        <item x="259"/>
        <item x="450"/>
        <item x="521"/>
        <item x="576"/>
        <item x="270"/>
        <item x="22"/>
        <item x="158"/>
        <item x="131"/>
        <item x="154"/>
        <item x="290"/>
        <item x="76"/>
        <item x="113"/>
        <item x="569"/>
        <item x="187"/>
        <item x="618"/>
        <item x="588"/>
        <item x="227"/>
        <item x="552"/>
        <item x="551"/>
        <item x="97"/>
        <item x="460"/>
        <item x="214"/>
        <item x="352"/>
        <item x="299"/>
        <item x="57"/>
        <item x="288"/>
        <item x="50"/>
        <item x="147"/>
        <item x="437"/>
        <item x="346"/>
        <item x="180"/>
        <item x="358"/>
        <item x="142"/>
        <item x="493"/>
        <item x="557"/>
        <item x="465"/>
        <item x="604"/>
        <item x="360"/>
        <item x="592"/>
        <item x="10"/>
        <item x="277"/>
        <item x="18"/>
        <item x="338"/>
        <item x="541"/>
        <item x="292"/>
        <item x="454"/>
        <item x="25"/>
        <item x="209"/>
        <item x="93"/>
        <item x="66"/>
        <item x="77"/>
        <item x="554"/>
        <item x="536"/>
        <item x="306"/>
        <item x="182"/>
        <item x="408"/>
        <item x="109"/>
        <item x="75"/>
        <item x="169"/>
        <item x="513"/>
        <item x="471"/>
        <item x="579"/>
        <item x="607"/>
        <item x="624"/>
        <item x="34"/>
        <item x="172"/>
        <item x="627"/>
        <item x="401"/>
        <item x="126"/>
        <item x="391"/>
        <item x="124"/>
        <item x="484"/>
        <item x="523"/>
        <item x="377"/>
        <item x="24"/>
        <item x="87"/>
        <item x="82"/>
        <item x="324"/>
        <item x="510"/>
        <item x="367"/>
        <item x="458"/>
        <item x="12"/>
        <item x="136"/>
        <item x="9"/>
        <item x="294"/>
        <item x="157"/>
        <item x="464"/>
        <item x="210"/>
        <item x="315"/>
        <item x="467"/>
        <item x="85"/>
        <item x="161"/>
        <item x="260"/>
        <item x="348"/>
        <item x="256"/>
        <item x="573"/>
        <item x="220"/>
        <item x="617"/>
        <item x="594"/>
        <item x="326"/>
        <item x="74"/>
        <item x="171"/>
        <item x="589"/>
        <item x="490"/>
        <item x="518"/>
        <item x="463"/>
        <item x="78"/>
        <item x="519"/>
        <item x="564"/>
        <item x="44"/>
        <item x="127"/>
        <item x="125"/>
        <item x="110"/>
        <item x="568"/>
        <item x="504"/>
        <item x="459"/>
        <item x="451"/>
        <item x="397"/>
        <item x="30"/>
        <item x="230"/>
        <item x="61"/>
        <item x="365"/>
        <item x="222"/>
        <item x="206"/>
        <item x="69"/>
        <item x="250"/>
        <item x="36"/>
        <item x="60"/>
        <item x="105"/>
        <item x="511"/>
        <item x="101"/>
        <item x="86"/>
        <item x="234"/>
        <item x="0"/>
        <item x="37"/>
        <item x="393"/>
        <item x="436"/>
        <item x="403"/>
        <item x="289"/>
        <item x="476"/>
        <item x="237"/>
        <item x="585"/>
        <item x="177"/>
        <item x="300"/>
        <item x="267"/>
        <item x="559"/>
        <item x="323"/>
        <item x="475"/>
        <item x="477"/>
        <item x="533"/>
        <item x="166"/>
        <item x="145"/>
        <item x="295"/>
        <item x="15"/>
        <item x="527"/>
        <item x="445"/>
        <item x="582"/>
        <item x="539"/>
        <item x="349"/>
        <item x="119"/>
        <item x="279"/>
        <item x="246"/>
        <item x="384"/>
        <item x="239"/>
        <item x="370"/>
        <item x="629"/>
        <item x="481"/>
        <item x="146"/>
        <item x="19"/>
        <item x="64"/>
        <item x="264"/>
        <item x="507"/>
        <item x="571"/>
        <item x="345"/>
        <item x="99"/>
        <item x="53"/>
        <item x="362"/>
        <item x="514"/>
        <item x="581"/>
        <item x="71"/>
        <item x="309"/>
        <item x="304"/>
        <item x="542"/>
        <item x="242"/>
        <item x="457"/>
        <item x="603"/>
        <item x="23"/>
        <item x="255"/>
        <item x="508"/>
        <item x="104"/>
        <item x="190"/>
        <item x="563"/>
        <item x="387"/>
        <item x="251"/>
        <item x="151"/>
        <item x="520"/>
        <item x="593"/>
        <item x="368"/>
        <item x="56"/>
        <item x="409"/>
        <item x="275"/>
        <item x="173"/>
        <item x="102"/>
        <item x="388"/>
        <item x="534"/>
        <item x="565"/>
        <item x="425"/>
        <item x="52"/>
        <item x="192"/>
        <item x="407"/>
        <item x="117"/>
        <item x="396"/>
        <item x="424"/>
        <item x="72"/>
        <item x="5"/>
        <item x="598"/>
        <item x="430"/>
        <item x="421"/>
        <item x="283"/>
        <item x="329"/>
        <item x="386"/>
        <item x="111"/>
        <item x="224"/>
        <item x="132"/>
        <item x="20"/>
        <item x="402"/>
        <item x="284"/>
        <item x="33"/>
        <item x="339"/>
        <item x="566"/>
        <item x="314"/>
        <item x="271"/>
        <item x="591"/>
        <item x="216"/>
        <item x="186"/>
        <item x="205"/>
        <item x="96"/>
        <item x="404"/>
        <item x="167"/>
        <item x="140"/>
        <item x="68"/>
        <item x="472"/>
        <item x="509"/>
        <item x="217"/>
        <item x="115"/>
        <item x="247"/>
        <item x="597"/>
        <item x="89"/>
        <item x="328"/>
        <item x="249"/>
        <item x="135"/>
        <item x="273"/>
        <item x="427"/>
        <item x="83"/>
        <item x="398"/>
        <item x="121"/>
        <item x="625"/>
        <item x="418"/>
        <item x="615"/>
        <item x="189"/>
        <item x="351"/>
        <item x="549"/>
        <item x="297"/>
        <item x="51"/>
        <item x="252"/>
        <item x="372"/>
        <item x="432"/>
        <item x="499"/>
        <item x="55"/>
        <item x="204"/>
        <item x="456"/>
        <item x="130"/>
        <item x="63"/>
        <item x="233"/>
        <item x="178"/>
        <item x="305"/>
        <item x="447"/>
        <item x="280"/>
        <item x="298"/>
        <item x="183"/>
        <item x="363"/>
        <item x="389"/>
        <item x="561"/>
        <item x="572"/>
        <item x="522"/>
        <item x="547"/>
        <item x="310"/>
        <item x="195"/>
        <item x="165"/>
        <item x="67"/>
        <item x="453"/>
        <item x="8"/>
        <item x="175"/>
        <item x="556"/>
        <item x="446"/>
        <item x="580"/>
        <item x="191"/>
        <item x="168"/>
        <item x="383"/>
        <item x="258"/>
        <item x="211"/>
        <item x="188"/>
        <item x="79"/>
        <item x="610"/>
        <item x="544"/>
        <item x="6"/>
        <item x="272"/>
        <item x="540"/>
        <item x="431"/>
        <item x="184"/>
        <item x="494"/>
        <item x="254"/>
        <item x="88"/>
        <item x="118"/>
        <item x="531"/>
        <item x="163"/>
        <item x="498"/>
        <item x="318"/>
        <item x="395"/>
        <item x="266"/>
        <item x="160"/>
        <item x="40"/>
        <item x="496"/>
        <item x="311"/>
        <item x="495"/>
        <item x="590"/>
        <item x="380"/>
        <item x="41"/>
        <item x="223"/>
        <item x="226"/>
        <item x="302"/>
        <item x="98"/>
        <item x="341"/>
        <item x="73"/>
        <item x="479"/>
        <item x="90"/>
        <item x="45"/>
        <item x="47"/>
        <item x="144"/>
        <item x="257"/>
        <item x="623"/>
        <item x="438"/>
        <item x="562"/>
        <item x="248"/>
        <item x="483"/>
        <item x="577"/>
        <item x="114"/>
        <item x="21"/>
        <item x="399"/>
        <item x="198"/>
        <item x="376"/>
        <item x="575"/>
        <item x="506"/>
        <item x="307"/>
        <item x="574"/>
        <item x="382"/>
        <item x="357"/>
        <item x="317"/>
        <item x="129"/>
        <item x="517"/>
        <item x="112"/>
        <item x="548"/>
        <item x="321"/>
        <item x="620"/>
        <item x="622"/>
        <item x="80"/>
        <item x="322"/>
        <item x="543"/>
        <item x="48"/>
        <item x="462"/>
        <item x="612"/>
        <item x="379"/>
        <item x="276"/>
        <item x="194"/>
        <item x="611"/>
        <item x="466"/>
        <item x="203"/>
        <item x="600"/>
        <item x="503"/>
        <item x="120"/>
        <item x="108"/>
        <item x="535"/>
        <item x="413"/>
        <item x="84"/>
        <item x="550"/>
        <item x="215"/>
        <item x="378"/>
        <item x="155"/>
        <item x="32"/>
        <item x="433"/>
        <item x="502"/>
        <item x="281"/>
        <item x="123"/>
        <item x="619"/>
        <item x="156"/>
        <item x="538"/>
        <item x="614"/>
        <item x="353"/>
        <item x="331"/>
        <item x="262"/>
        <item x="567"/>
        <item x="529"/>
        <item x="344"/>
        <item x="2"/>
        <item x="29"/>
        <item x="435"/>
        <item x="287"/>
        <item x="54"/>
        <item x="420"/>
        <item x="17"/>
        <item x="282"/>
        <item x="347"/>
        <item x="213"/>
        <item x="343"/>
        <item x="28"/>
        <item x="560"/>
        <item x="512"/>
        <item x="202"/>
        <item x="371"/>
        <item x="327"/>
        <item x="107"/>
        <item x="448"/>
        <item x="238"/>
        <item x="482"/>
        <item x="231"/>
        <item x="422"/>
        <item x="133"/>
        <item x="530"/>
        <item x="268"/>
        <item x="426"/>
        <item x="200"/>
        <item x="392"/>
        <item x="91"/>
        <item x="241"/>
        <item x="286"/>
        <item x="263"/>
        <item x="334"/>
        <item x="412"/>
        <item x="440"/>
        <item x="128"/>
        <item x="570"/>
        <item x="3"/>
        <item x="583"/>
        <item x="149"/>
        <item x="65"/>
        <item x="626"/>
        <item x="245"/>
        <item x="31"/>
        <item x="375"/>
        <item x="197"/>
        <item x="303"/>
        <item x="584"/>
        <item x="361"/>
        <item x="162"/>
        <item x="452"/>
        <item x="428"/>
        <item x="406"/>
        <item x="485"/>
        <item x="553"/>
        <item x="316"/>
        <item x="330"/>
        <item x="488"/>
        <item x="455"/>
        <item x="285"/>
        <item x="278"/>
        <item x="27"/>
        <item x="366"/>
        <item x="94"/>
        <item x="11"/>
        <item x="244"/>
        <item x="225"/>
        <item x="605"/>
        <item x="181"/>
        <item x="578"/>
        <item x="336"/>
        <item x="492"/>
        <item x="122"/>
        <item x="374"/>
        <item x="137"/>
        <item x="141"/>
        <item x="532"/>
        <item x="62"/>
        <item x="100"/>
        <item x="419"/>
        <item x="411"/>
        <item x="505"/>
        <item x="236"/>
        <item x="434"/>
        <item x="106"/>
        <item x="500"/>
        <item x="628"/>
        <item x="159"/>
        <item x="320"/>
        <item x="473"/>
        <item x="586"/>
        <item x="196"/>
        <item x="501"/>
        <item x="335"/>
        <item x="232"/>
        <item x="390"/>
        <item x="474"/>
        <item x="265"/>
        <item x="486"/>
        <item x="49"/>
        <item x="526"/>
        <item x="537"/>
        <item x="410"/>
        <item x="515"/>
        <item x="525"/>
        <item x="439"/>
        <item x="228"/>
        <item x="313"/>
        <item x="449"/>
        <item x="555"/>
        <item x="429"/>
        <item x="46"/>
        <item x="524"/>
        <item x="219"/>
        <item x="253"/>
        <item x="308"/>
        <item x="212"/>
        <item x="42"/>
        <item x="468"/>
        <item x="364"/>
        <item x="369"/>
        <item x="174"/>
        <item x="480"/>
        <item x="164"/>
        <item x="26"/>
        <item x="148"/>
        <item x="143"/>
        <item x="35"/>
        <item x="528"/>
        <item x="595"/>
        <item x="134"/>
        <item x="442"/>
        <item x="342"/>
        <item x="609"/>
        <item x="138"/>
        <item x="193"/>
        <item x="240"/>
        <item x="602"/>
        <item x="176"/>
        <item x="613"/>
        <item x="337"/>
        <item x="243"/>
        <item x="606"/>
        <item x="400"/>
        <item x="218"/>
        <item x="616"/>
        <item x="487"/>
        <item x="417"/>
        <item x="381"/>
        <item x="208"/>
        <item x="601"/>
        <item x="150"/>
        <item x="7"/>
        <item x="423"/>
        <item x="116"/>
        <item x="92"/>
        <item x="301"/>
        <item x="39"/>
        <item x="558"/>
        <item x="359"/>
        <item x="269"/>
        <item x="16"/>
        <item x="461"/>
        <item x="199"/>
        <item x="229"/>
        <item x="470"/>
        <item x="153"/>
        <item x="38"/>
        <item x="350"/>
        <item x="235"/>
        <item x="296"/>
        <item x="444"/>
        <item x="4"/>
        <item x="179"/>
        <item x="152"/>
        <item x="13"/>
        <item x="201"/>
        <item x="373"/>
        <item x="274"/>
        <item x="291"/>
        <item x="385"/>
        <item x="95"/>
        <item x="608"/>
        <item x="1"/>
        <item x="405"/>
        <item x="469"/>
        <item x="356"/>
        <item x="443"/>
        <item x="546"/>
        <item x="81"/>
        <item x="43"/>
        <item x="599"/>
        <item x="596"/>
        <item x="354"/>
        <item x="414"/>
        <item t="default"/>
      </items>
    </pivotField>
    <pivotField compact="0" numFmtId="44" showAll="0">
      <items count="633">
        <item x="493"/>
        <item x="112"/>
        <item x="180"/>
        <item x="298"/>
        <item x="172"/>
        <item x="286"/>
        <item x="106"/>
        <item x="247"/>
        <item x="389"/>
        <item x="83"/>
        <item x="572"/>
        <item x="96"/>
        <item x="7"/>
        <item x="341"/>
        <item x="177"/>
        <item x="461"/>
        <item x="127"/>
        <item x="582"/>
        <item x="481"/>
        <item x="54"/>
        <item x="311"/>
        <item x="631"/>
        <item x="230"/>
        <item x="354"/>
        <item x="89"/>
        <item x="119"/>
        <item x="532"/>
        <item x="586"/>
        <item x="245"/>
        <item x="139"/>
        <item x="517"/>
        <item x="291"/>
        <item x="243"/>
        <item x="51"/>
        <item x="116"/>
        <item x="347"/>
        <item x="323"/>
        <item x="418"/>
        <item x="575"/>
        <item x="108"/>
        <item x="551"/>
        <item x="305"/>
        <item x="443"/>
        <item x="211"/>
        <item x="526"/>
        <item x="282"/>
        <item x="263"/>
        <item x="330"/>
        <item x="344"/>
        <item x="103"/>
        <item x="609"/>
        <item x="488"/>
        <item x="463"/>
        <item x="531"/>
        <item x="26"/>
        <item x="308"/>
        <item x="436"/>
        <item x="163"/>
        <item x="206"/>
        <item x="570"/>
        <item x="460"/>
        <item x="113"/>
        <item x="608"/>
        <item x="221"/>
        <item x="217"/>
        <item x="318"/>
        <item x="128"/>
        <item x="239"/>
        <item x="579"/>
        <item x="599"/>
        <item x="621"/>
        <item x="82"/>
        <item x="458"/>
        <item x="577"/>
        <item x="124"/>
        <item x="35"/>
        <item x="174"/>
        <item x="434"/>
        <item x="490"/>
        <item x="447"/>
        <item x="233"/>
        <item x="232"/>
        <item x="53"/>
        <item x="28"/>
        <item x="293"/>
        <item x="476"/>
        <item x="178"/>
        <item x="511"/>
        <item x="627"/>
        <item x="508"/>
        <item x="391"/>
        <item x="215"/>
        <item x="304"/>
        <item x="270"/>
        <item x="222"/>
        <item x="466"/>
        <item x="445"/>
        <item x="296"/>
        <item x="194"/>
        <item x="620"/>
        <item x="369"/>
        <item x="485"/>
        <item x="3"/>
        <item x="71"/>
        <item x="464"/>
        <item x="145"/>
        <item x="0"/>
        <item x="274"/>
        <item x="486"/>
        <item x="373"/>
        <item x="316"/>
        <item x="109"/>
        <item x="491"/>
        <item x="597"/>
        <item x="160"/>
        <item x="137"/>
        <item x="133"/>
        <item x="350"/>
        <item x="456"/>
        <item x="326"/>
        <item x="101"/>
        <item x="39"/>
        <item x="258"/>
        <item x="5"/>
        <item x="254"/>
        <item x="594"/>
        <item x="386"/>
        <item x="428"/>
        <item x="271"/>
        <item x="519"/>
        <item x="166"/>
        <item x="12"/>
        <item x="297"/>
        <item x="46"/>
        <item x="118"/>
        <item x="169"/>
        <item x="57"/>
        <item x="483"/>
        <item x="439"/>
        <item x="179"/>
        <item x="495"/>
        <item x="114"/>
        <item x="78"/>
        <item x="148"/>
        <item x="380"/>
        <item x="315"/>
        <item x="441"/>
        <item x="307"/>
        <item x="328"/>
        <item x="432"/>
        <item x="277"/>
        <item x="240"/>
        <item x="219"/>
        <item x="214"/>
        <item x="580"/>
        <item x="616"/>
        <item x="218"/>
        <item x="231"/>
        <item x="505"/>
        <item x="453"/>
        <item x="525"/>
        <item x="309"/>
        <item x="321"/>
        <item x="604"/>
        <item x="93"/>
        <item x="129"/>
        <item x="130"/>
        <item x="602"/>
        <item x="331"/>
        <item x="470"/>
        <item x="378"/>
        <item x="155"/>
        <item x="546"/>
        <item x="573"/>
        <item x="561"/>
        <item x="191"/>
        <item x="544"/>
        <item x="250"/>
        <item x="494"/>
        <item x="410"/>
        <item x="312"/>
        <item x="477"/>
        <item x="500"/>
        <item x="408"/>
        <item x="536"/>
        <item x="334"/>
        <item x="251"/>
        <item x="43"/>
        <item x="433"/>
        <item x="540"/>
        <item x="370"/>
        <item x="201"/>
        <item x="68"/>
        <item x="30"/>
        <item x="64"/>
        <item x="403"/>
        <item x="141"/>
        <item x="419"/>
        <item x="338"/>
        <item x="498"/>
        <item x="523"/>
        <item x="197"/>
        <item x="257"/>
        <item x="290"/>
        <item x="88"/>
        <item x="565"/>
        <item x="268"/>
        <item x="91"/>
        <item x="52"/>
        <item x="361"/>
        <item x="98"/>
        <item x="110"/>
        <item x="479"/>
        <item x="285"/>
        <item x="131"/>
        <item x="444"/>
        <item x="144"/>
        <item x="262"/>
        <item x="6"/>
        <item x="564"/>
        <item x="220"/>
        <item x="202"/>
        <item x="299"/>
        <item x="186"/>
        <item x="314"/>
        <item x="430"/>
        <item x="87"/>
        <item x="62"/>
        <item x="474"/>
        <item x="364"/>
        <item x="437"/>
        <item x="538"/>
        <item x="417"/>
        <item x="623"/>
        <item x="339"/>
        <item x="510"/>
        <item x="283"/>
        <item x="337"/>
        <item x="446"/>
        <item x="515"/>
        <item x="584"/>
        <item x="13"/>
        <item x="10"/>
        <item x="33"/>
        <item x="336"/>
        <item x="472"/>
        <item x="252"/>
        <item x="516"/>
        <item x="301"/>
        <item x="395"/>
        <item x="325"/>
        <item x="156"/>
        <item x="355"/>
        <item x="499"/>
        <item x="340"/>
        <item x="4"/>
        <item x="469"/>
        <item x="411"/>
        <item x="591"/>
        <item x="359"/>
        <item x="255"/>
        <item x="571"/>
        <item x="563"/>
        <item x="67"/>
        <item x="44"/>
        <item x="533"/>
        <item x="147"/>
        <item x="605"/>
        <item x="475"/>
        <item x="90"/>
        <item x="412"/>
        <item x="576"/>
        <item x="238"/>
        <item x="134"/>
        <item x="549"/>
        <item x="558"/>
        <item x="36"/>
        <item x="457"/>
        <item x="611"/>
        <item x="259"/>
        <item x="73"/>
        <item x="585"/>
        <item x="269"/>
        <item x="372"/>
        <item x="617"/>
        <item x="535"/>
        <item x="553"/>
        <item x="22"/>
        <item x="185"/>
        <item x="462"/>
        <item x="568"/>
        <item x="522"/>
        <item x="578"/>
        <item x="595"/>
        <item x="29"/>
        <item x="15"/>
        <item x="37"/>
        <item x="150"/>
        <item x="182"/>
        <item x="358"/>
        <item x="502"/>
        <item x="435"/>
        <item x="14"/>
        <item x="598"/>
        <item x="471"/>
        <item x="294"/>
        <item x="590"/>
        <item x="183"/>
        <item x="192"/>
        <item x="288"/>
        <item x="253"/>
        <item x="120"/>
        <item x="170"/>
        <item x="560"/>
        <item x="248"/>
        <item x="92"/>
        <item x="513"/>
        <item x="342"/>
        <item x="628"/>
        <item x="630"/>
        <item x="161"/>
        <item x="454"/>
        <item x="158"/>
        <item x="619"/>
        <item x="143"/>
        <item x="75"/>
        <item x="45"/>
        <item x="200"/>
        <item x="381"/>
        <item x="362"/>
        <item x="473"/>
        <item x="379"/>
        <item x="313"/>
        <item x="171"/>
        <item x="401"/>
        <item x="416"/>
        <item x="55"/>
        <item x="574"/>
        <item x="27"/>
        <item x="559"/>
        <item x="48"/>
        <item x="581"/>
        <item x="438"/>
        <item x="102"/>
        <item x="300"/>
        <item x="38"/>
        <item x="154"/>
        <item x="451"/>
        <item x="319"/>
        <item x="351"/>
        <item x="548"/>
        <item x="69"/>
        <item x="557"/>
        <item x="203"/>
        <item x="16"/>
        <item x="146"/>
        <item x="303"/>
        <item x="327"/>
        <item x="449"/>
        <item x="492"/>
        <item x="157"/>
        <item x="452"/>
        <item x="509"/>
        <item x="168"/>
        <item x="11"/>
        <item x="70"/>
        <item x="74"/>
        <item x="241"/>
        <item x="164"/>
        <item x="153"/>
        <item x="618"/>
        <item x="518"/>
        <item x="506"/>
        <item x="348"/>
        <item x="228"/>
        <item x="367"/>
        <item x="429"/>
        <item x="530"/>
        <item x="132"/>
        <item x="384"/>
        <item x="612"/>
        <item x="176"/>
        <item x="543"/>
        <item x="450"/>
        <item x="24"/>
        <item x="125"/>
        <item x="360"/>
        <item x="279"/>
        <item x="352"/>
        <item x="404"/>
        <item x="440"/>
        <item x="349"/>
        <item x="600"/>
        <item x="193"/>
        <item x="346"/>
        <item x="320"/>
        <item x="375"/>
        <item x="190"/>
        <item x="504"/>
        <item x="151"/>
        <item x="487"/>
        <item x="94"/>
        <item x="324"/>
        <item x="244"/>
        <item x="19"/>
        <item x="592"/>
        <item x="204"/>
        <item x="317"/>
        <item x="284"/>
        <item x="388"/>
        <item x="402"/>
        <item x="624"/>
        <item x="184"/>
        <item x="162"/>
        <item x="40"/>
        <item x="229"/>
        <item x="272"/>
        <item x="589"/>
        <item x="363"/>
        <item x="207"/>
        <item x="425"/>
        <item x="550"/>
        <item x="478"/>
        <item x="365"/>
        <item x="59"/>
        <item x="524"/>
        <item x="520"/>
        <item x="126"/>
        <item x="287"/>
        <item x="18"/>
        <item x="629"/>
        <item x="189"/>
        <item x="225"/>
        <item x="66"/>
        <item x="332"/>
        <item x="273"/>
        <item x="527"/>
        <item x="1"/>
        <item x="95"/>
        <item x="216"/>
        <item x="135"/>
        <item x="224"/>
        <item x="210"/>
        <item x="280"/>
        <item x="152"/>
        <item x="610"/>
        <item x="420"/>
        <item x="281"/>
        <item x="266"/>
        <item x="77"/>
        <item x="377"/>
        <item x="400"/>
        <item x="260"/>
        <item x="79"/>
        <item x="405"/>
        <item x="392"/>
        <item x="181"/>
        <item x="503"/>
        <item x="497"/>
        <item x="596"/>
        <item x="393"/>
        <item x="107"/>
        <item x="539"/>
        <item x="382"/>
        <item x="292"/>
        <item x="198"/>
        <item x="603"/>
        <item x="383"/>
        <item x="455"/>
        <item x="534"/>
        <item x="427"/>
        <item x="56"/>
        <item x="105"/>
        <item x="385"/>
        <item x="554"/>
        <item x="387"/>
        <item x="212"/>
        <item x="567"/>
        <item x="552"/>
        <item x="468"/>
        <item x="278"/>
        <item x="399"/>
        <item x="60"/>
        <item x="357"/>
        <item x="205"/>
        <item x="81"/>
        <item x="333"/>
        <item x="85"/>
        <item x="111"/>
        <item x="555"/>
        <item x="562"/>
        <item x="413"/>
        <item x="223"/>
        <item x="99"/>
        <item x="431"/>
        <item x="397"/>
        <item x="356"/>
        <item x="138"/>
        <item x="209"/>
        <item x="421"/>
        <item x="448"/>
        <item x="41"/>
        <item x="265"/>
        <item x="528"/>
        <item x="606"/>
        <item x="249"/>
        <item x="371"/>
        <item x="480"/>
        <item x="159"/>
        <item x="58"/>
        <item x="17"/>
        <item x="242"/>
        <item x="97"/>
        <item x="376"/>
        <item x="343"/>
        <item x="501"/>
        <item x="587"/>
        <item x="353"/>
        <item x="566"/>
        <item x="63"/>
        <item x="165"/>
        <item x="235"/>
        <item x="227"/>
        <item x="31"/>
        <item x="208"/>
        <item x="593"/>
        <item x="100"/>
        <item x="414"/>
        <item x="541"/>
        <item x="142"/>
        <item x="187"/>
        <item x="173"/>
        <item x="459"/>
        <item x="302"/>
        <item x="267"/>
        <item x="426"/>
        <item x="289"/>
        <item x="23"/>
        <item x="368"/>
        <item x="521"/>
        <item x="482"/>
        <item x="415"/>
        <item x="335"/>
        <item x="537"/>
        <item x="496"/>
        <item x="366"/>
        <item x="8"/>
        <item x="394"/>
        <item x="149"/>
        <item x="121"/>
        <item x="547"/>
        <item x="322"/>
        <item x="65"/>
        <item x="49"/>
        <item x="545"/>
        <item x="484"/>
        <item x="234"/>
        <item x="398"/>
        <item x="422"/>
        <item x="615"/>
        <item x="199"/>
        <item x="613"/>
        <item x="21"/>
        <item x="9"/>
        <item x="507"/>
        <item x="188"/>
        <item x="465"/>
        <item x="601"/>
        <item x="276"/>
        <item x="236"/>
        <item x="622"/>
        <item x="626"/>
        <item x="625"/>
        <item x="246"/>
        <item x="226"/>
        <item x="406"/>
        <item x="442"/>
        <item x="295"/>
        <item x="123"/>
        <item x="237"/>
        <item x="86"/>
        <item x="588"/>
        <item x="583"/>
        <item x="542"/>
        <item x="329"/>
        <item x="72"/>
        <item x="195"/>
        <item x="512"/>
        <item x="117"/>
        <item x="76"/>
        <item x="122"/>
        <item x="42"/>
        <item x="396"/>
        <item x="529"/>
        <item x="310"/>
        <item x="104"/>
        <item x="196"/>
        <item x="569"/>
        <item x="467"/>
        <item x="80"/>
        <item x="275"/>
        <item x="136"/>
        <item x="175"/>
        <item x="409"/>
        <item x="614"/>
        <item x="47"/>
        <item x="84"/>
        <item x="514"/>
        <item x="34"/>
        <item x="407"/>
        <item x="556"/>
        <item x="213"/>
        <item x="306"/>
        <item x="50"/>
        <item x="264"/>
        <item x="2"/>
        <item x="32"/>
        <item x="140"/>
        <item x="607"/>
        <item x="489"/>
        <item x="61"/>
        <item x="256"/>
        <item x="261"/>
        <item x="115"/>
        <item x="424"/>
        <item x="167"/>
        <item x="374"/>
        <item x="390"/>
        <item x="423"/>
        <item x="25"/>
        <item x="20"/>
        <item x="345"/>
        <item t="default"/>
      </items>
    </pivotField>
    <pivotField compact="0" numFmtId="44" showAll="0">
      <items count="631">
        <item x="615"/>
        <item x="2"/>
        <item x="58"/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numFmtId="44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numFmtId="184" showAll="0">
      <items count="229">
        <item x="5"/>
        <item x="140"/>
        <item x="10"/>
        <item x="20"/>
        <item x="99"/>
        <item x="19"/>
        <item x="84"/>
        <item x="170"/>
        <item x="212"/>
        <item x="108"/>
        <item x="205"/>
        <item x="113"/>
        <item x="106"/>
        <item x="118"/>
        <item x="109"/>
        <item x="179"/>
        <item x="134"/>
        <item x="71"/>
        <item x="8"/>
        <item x="195"/>
        <item x="76"/>
        <item x="42"/>
        <item x="32"/>
        <item x="16"/>
        <item x="188"/>
        <item x="208"/>
        <item x="174"/>
        <item x="89"/>
        <item x="221"/>
        <item x="107"/>
        <item x="215"/>
        <item x="58"/>
        <item x="216"/>
        <item x="54"/>
        <item x="130"/>
        <item x="114"/>
        <item x="223"/>
        <item x="133"/>
        <item x="121"/>
        <item x="92"/>
        <item x="193"/>
        <item x="163"/>
        <item x="227"/>
        <item x="96"/>
        <item x="201"/>
        <item x="176"/>
        <item x="72"/>
        <item x="143"/>
        <item x="55"/>
        <item x="90"/>
        <item x="68"/>
        <item x="88"/>
        <item x="3"/>
        <item x="93"/>
        <item x="13"/>
        <item x="43"/>
        <item x="171"/>
        <item x="202"/>
        <item x="117"/>
        <item x="164"/>
        <item x="226"/>
        <item x="104"/>
        <item x="200"/>
        <item x="26"/>
        <item x="147"/>
        <item x="24"/>
        <item x="167"/>
        <item x="25"/>
        <item x="168"/>
        <item x="119"/>
        <item x="77"/>
        <item x="142"/>
        <item x="12"/>
        <item x="148"/>
        <item x="73"/>
        <item x="224"/>
        <item x="199"/>
        <item x="74"/>
        <item x="165"/>
        <item x="27"/>
        <item x="4"/>
        <item x="172"/>
        <item x="67"/>
        <item x="52"/>
        <item x="192"/>
        <item x="105"/>
        <item x="86"/>
        <item x="14"/>
        <item x="46"/>
        <item x="95"/>
        <item x="0"/>
        <item x="139"/>
        <item x="60"/>
        <item x="158"/>
        <item x="144"/>
        <item x="85"/>
        <item x="45"/>
        <item x="18"/>
        <item x="173"/>
        <item x="153"/>
        <item x="82"/>
        <item x="213"/>
        <item x="22"/>
        <item x="38"/>
        <item x="110"/>
        <item x="137"/>
        <item x="31"/>
        <item x="49"/>
        <item x="2"/>
        <item x="191"/>
        <item x="112"/>
        <item x="61"/>
        <item x="157"/>
        <item x="29"/>
        <item x="81"/>
        <item x="159"/>
        <item x="23"/>
        <item x="78"/>
        <item x="169"/>
        <item x="56"/>
        <item x="17"/>
        <item x="41"/>
        <item x="180"/>
        <item x="34"/>
        <item x="6"/>
        <item x="135"/>
        <item x="9"/>
        <item x="209"/>
        <item x="102"/>
        <item x="136"/>
        <item x="125"/>
        <item x="69"/>
        <item x="131"/>
        <item x="161"/>
        <item x="87"/>
        <item x="181"/>
        <item x="129"/>
        <item x="75"/>
        <item x="64"/>
        <item x="196"/>
        <item x="156"/>
        <item x="211"/>
        <item x="150"/>
        <item x="21"/>
        <item x="36"/>
        <item x="189"/>
        <item x="225"/>
        <item x="145"/>
        <item x="122"/>
        <item x="155"/>
        <item x="30"/>
        <item x="166"/>
        <item x="120"/>
        <item x="94"/>
        <item x="79"/>
        <item x="111"/>
        <item x="35"/>
        <item x="15"/>
        <item x="50"/>
        <item x="57"/>
        <item x="63"/>
        <item x="37"/>
        <item x="70"/>
        <item x="51"/>
        <item x="197"/>
        <item x="98"/>
        <item x="7"/>
        <item x="124"/>
        <item x="115"/>
        <item x="47"/>
        <item x="138"/>
        <item x="91"/>
        <item x="53"/>
        <item x="44"/>
        <item x="162"/>
        <item x="222"/>
        <item x="219"/>
        <item x="182"/>
        <item x="126"/>
        <item x="123"/>
        <item x="207"/>
        <item x="66"/>
        <item x="154"/>
        <item x="203"/>
        <item x="218"/>
        <item x="97"/>
        <item x="217"/>
        <item x="152"/>
        <item x="204"/>
        <item x="83"/>
        <item x="214"/>
        <item x="127"/>
        <item x="146"/>
        <item x="128"/>
        <item x="1"/>
        <item x="149"/>
        <item x="177"/>
        <item x="183"/>
        <item x="65"/>
        <item x="28"/>
        <item x="103"/>
        <item x="220"/>
        <item x="11"/>
        <item x="116"/>
        <item x="48"/>
        <item x="194"/>
        <item x="62"/>
        <item x="132"/>
        <item x="101"/>
        <item x="187"/>
        <item x="151"/>
        <item x="100"/>
        <item x="141"/>
        <item x="178"/>
        <item x="190"/>
        <item x="80"/>
        <item x="186"/>
        <item x="39"/>
        <item x="210"/>
        <item x="40"/>
        <item x="184"/>
        <item x="206"/>
        <item x="160"/>
        <item x="33"/>
        <item x="59"/>
        <item x="175"/>
        <item x="198"/>
        <item x="18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04">
        <item x="5"/>
        <item x="130"/>
        <item x="10"/>
        <item x="20"/>
        <item x="93"/>
        <item x="19"/>
        <item x="78"/>
        <item x="157"/>
        <item x="188"/>
        <item x="100"/>
        <item x="183"/>
        <item x="105"/>
        <item x="98"/>
        <item x="109"/>
        <item x="101"/>
        <item x="164"/>
        <item x="124"/>
        <item x="66"/>
        <item x="8"/>
        <item x="174"/>
        <item x="71"/>
        <item x="40"/>
        <item x="32"/>
        <item x="16"/>
        <item x="169"/>
        <item x="185"/>
        <item x="161"/>
        <item x="83"/>
        <item x="196"/>
        <item x="99"/>
        <item x="190"/>
        <item x="55"/>
        <item x="191"/>
        <item x="51"/>
        <item x="121"/>
        <item x="106"/>
        <item x="198"/>
        <item x="123"/>
        <item x="112"/>
        <item x="86"/>
        <item x="173"/>
        <item x="150"/>
        <item x="202"/>
        <item x="90"/>
        <item x="179"/>
        <item x="162"/>
        <item x="67"/>
        <item x="132"/>
        <item x="52"/>
        <item x="84"/>
        <item x="63"/>
        <item x="82"/>
        <item x="3"/>
        <item x="87"/>
        <item x="13"/>
        <item x="41"/>
        <item x="158"/>
        <item x="180"/>
        <item x="108"/>
        <item x="151"/>
        <item x="201"/>
        <item x="96"/>
        <item x="178"/>
        <item x="26"/>
        <item x="136"/>
        <item x="24"/>
        <item x="154"/>
        <item x="25"/>
        <item x="155"/>
        <item x="110"/>
        <item x="72"/>
        <item x="131"/>
        <item x="12"/>
        <item x="137"/>
        <item x="68"/>
        <item x="199"/>
        <item x="177"/>
        <item x="69"/>
        <item x="152"/>
        <item x="27"/>
        <item x="4"/>
        <item x="159"/>
        <item x="62"/>
        <item x="49"/>
        <item x="172"/>
        <item x="97"/>
        <item x="80"/>
        <item x="14"/>
        <item x="44"/>
        <item x="89"/>
        <item x="0"/>
        <item x="129"/>
        <item x="56"/>
        <item x="146"/>
        <item x="133"/>
        <item x="79"/>
        <item x="43"/>
        <item x="18"/>
        <item x="160"/>
        <item x="141"/>
        <item x="76"/>
        <item x="189"/>
        <item x="22"/>
        <item x="38"/>
        <item x="102"/>
        <item x="127"/>
        <item x="31"/>
        <item x="46"/>
        <item x="2"/>
        <item x="171"/>
        <item x="104"/>
        <item x="57"/>
        <item x="145"/>
        <item x="29"/>
        <item x="75"/>
        <item x="147"/>
        <item x="23"/>
        <item x="73"/>
        <item x="156"/>
        <item x="53"/>
        <item x="17"/>
        <item x="39"/>
        <item x="165"/>
        <item x="34"/>
        <item x="6"/>
        <item x="125"/>
        <item x="9"/>
        <item x="186"/>
        <item x="94"/>
        <item x="126"/>
        <item x="116"/>
        <item x="64"/>
        <item x="122"/>
        <item x="148"/>
        <item x="81"/>
        <item x="166"/>
        <item x="120"/>
        <item x="70"/>
        <item x="59"/>
        <item x="175"/>
        <item x="144"/>
        <item x="187"/>
        <item x="139"/>
        <item x="21"/>
        <item x="36"/>
        <item x="170"/>
        <item x="200"/>
        <item x="134"/>
        <item x="113"/>
        <item x="143"/>
        <item x="30"/>
        <item x="153"/>
        <item x="111"/>
        <item x="88"/>
        <item x="74"/>
        <item x="103"/>
        <item x="35"/>
        <item x="15"/>
        <item x="47"/>
        <item x="54"/>
        <item x="58"/>
        <item x="37"/>
        <item x="65"/>
        <item x="48"/>
        <item x="176"/>
        <item x="92"/>
        <item x="7"/>
        <item x="115"/>
        <item x="107"/>
        <item x="45"/>
        <item x="128"/>
        <item x="85"/>
        <item x="50"/>
        <item x="42"/>
        <item x="149"/>
        <item x="197"/>
        <item x="194"/>
        <item x="167"/>
        <item x="117"/>
        <item x="114"/>
        <item x="184"/>
        <item x="61"/>
        <item x="142"/>
        <item x="181"/>
        <item x="193"/>
        <item x="91"/>
        <item x="192"/>
        <item x="140"/>
        <item x="182"/>
        <item x="77"/>
        <item x="33"/>
        <item x="118"/>
        <item x="135"/>
        <item x="119"/>
        <item x="1"/>
        <item x="138"/>
        <item x="163"/>
        <item x="168"/>
        <item x="60"/>
        <item x="28"/>
        <item x="95"/>
        <item x="195"/>
        <item x="11"/>
        <item t="default"/>
      </items>
    </pivotField>
    <pivotField compact="0" numFmtId="183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dataField="1"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51"/>
        <item x="247"/>
        <item x="531"/>
        <item x="89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41"/>
        <item x="354"/>
        <item x="139"/>
        <item x="114"/>
        <item x="490"/>
        <item x="305"/>
        <item x="87"/>
        <item x="108"/>
        <item x="460"/>
        <item x="26"/>
        <item x="211"/>
        <item x="582"/>
        <item x="464"/>
        <item x="551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137"/>
        <item x="258"/>
        <item x="193"/>
        <item x="598"/>
        <item x="131"/>
        <item x="179"/>
        <item x="74"/>
        <item x="240"/>
        <item x="222"/>
        <item x="369"/>
        <item x="59"/>
        <item x="571"/>
        <item x="201"/>
        <item x="408"/>
        <item x="495"/>
        <item x="543"/>
        <item x="481"/>
        <item x="57"/>
        <item x="361"/>
        <item x="546"/>
        <item x="186"/>
        <item x="334"/>
        <item x="0"/>
        <item x="79"/>
        <item x="12"/>
        <item x="314"/>
        <item x="627"/>
        <item x="483"/>
        <item x="486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447"/>
        <item x="333"/>
        <item x="161"/>
        <item x="593"/>
        <item x="118"/>
        <item x="52"/>
        <item x="231"/>
        <item x="304"/>
        <item x="443"/>
        <item x="103"/>
        <item x="599"/>
        <item x="485"/>
        <item x="277"/>
        <item x="581"/>
        <item x="328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332"/>
        <item x="271"/>
        <item x="46"/>
        <item x="580"/>
        <item x="156"/>
        <item x="270"/>
        <item x="363"/>
        <item x="437"/>
        <item x="293"/>
        <item x="520"/>
        <item x="501"/>
        <item x="229"/>
        <item x="601"/>
        <item x="321"/>
        <item x="492"/>
        <item x="259"/>
        <item x="14"/>
        <item x="458"/>
        <item x="269"/>
        <item x="182"/>
        <item x="130"/>
        <item x="216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343"/>
        <item x="590"/>
        <item x="316"/>
        <item x="510"/>
        <item x="612"/>
        <item x="530"/>
        <item x="73"/>
        <item x="419"/>
        <item x="386"/>
        <item x="489"/>
        <item x="32"/>
        <item x="241"/>
        <item x="136"/>
        <item x="446"/>
        <item x="246"/>
        <item x="30"/>
        <item x="518"/>
        <item x="325"/>
        <item x="309"/>
        <item x="301"/>
        <item x="143"/>
        <item x="421"/>
        <item x="92"/>
        <item x="564"/>
        <item x="504"/>
        <item x="610"/>
        <item x="11"/>
        <item x="158"/>
        <item x="185"/>
        <item x="470"/>
        <item x="78"/>
        <item x="289"/>
        <item x="615"/>
        <item x="558"/>
        <item x="41"/>
        <item x="70"/>
        <item x="43"/>
        <item x="623"/>
        <item x="616"/>
        <item x="545"/>
        <item x="123"/>
        <item x="515"/>
        <item x="502"/>
        <item x="416"/>
        <item x="22"/>
        <item x="549"/>
        <item x="62"/>
        <item x="4"/>
        <item x="154"/>
        <item x="312"/>
        <item x="393"/>
        <item x="197"/>
        <item x="380"/>
        <item x="527"/>
        <item x="274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105"/>
        <item x="576"/>
        <item x="65"/>
        <item x="250"/>
        <item x="163"/>
        <item x="349"/>
        <item x="244"/>
        <item x="449"/>
        <item x="104"/>
        <item x="167"/>
        <item x="450"/>
        <item x="265"/>
        <item x="441"/>
        <item x="299"/>
        <item x="364"/>
        <item x="630"/>
        <item x="381"/>
        <item x="145"/>
        <item x="430"/>
        <item x="433"/>
        <item x="399"/>
        <item x="281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170"/>
        <item x="8"/>
        <item x="455"/>
        <item x="359"/>
        <item x="148"/>
        <item x="50"/>
        <item x="595"/>
        <item x="200"/>
        <item x="38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335"/>
        <item x="469"/>
        <item x="317"/>
        <item x="351"/>
        <item x="499"/>
        <item x="228"/>
        <item x="371"/>
        <item x="402"/>
        <item x="340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427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99"/>
        <item x="204"/>
        <item x="300"/>
        <item x="144"/>
        <item x="16"/>
        <item x="324"/>
        <item x="339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329"/>
        <item x="188"/>
        <item x="219"/>
        <item x="336"/>
        <item x="207"/>
        <item x="487"/>
        <item x="607"/>
        <item x="159"/>
        <item x="273"/>
        <item x="423"/>
        <item x="153"/>
        <item x="56"/>
        <item x="550"/>
        <item x="111"/>
        <item x="622"/>
        <item x="426"/>
        <item x="226"/>
        <item x="42"/>
        <item x="542"/>
        <item x="496"/>
        <item x="310"/>
        <item x="374"/>
        <item x="195"/>
        <item x="442"/>
        <item x="414"/>
        <item x="173"/>
        <item x="55"/>
        <item x="548"/>
        <item x="142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92"/>
        <item x="357"/>
        <item x="624"/>
        <item x="512"/>
        <item x="557"/>
        <item x="537"/>
        <item x="592"/>
        <item x="100"/>
        <item x="319"/>
        <item x="199"/>
        <item x="396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247"/>
        <item x="531"/>
        <item x="89"/>
        <item x="51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54"/>
        <item x="341"/>
        <item x="114"/>
        <item x="139"/>
        <item x="490"/>
        <item x="305"/>
        <item x="87"/>
        <item x="108"/>
        <item x="460"/>
        <item x="26"/>
        <item x="211"/>
        <item x="582"/>
        <item x="551"/>
        <item x="464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258"/>
        <item x="193"/>
        <item x="598"/>
        <item x="131"/>
        <item x="179"/>
        <item x="240"/>
        <item x="222"/>
        <item x="137"/>
        <item x="369"/>
        <item x="59"/>
        <item x="571"/>
        <item x="408"/>
        <item x="495"/>
        <item x="543"/>
        <item x="481"/>
        <item x="57"/>
        <item x="361"/>
        <item x="201"/>
        <item x="546"/>
        <item x="186"/>
        <item x="334"/>
        <item x="0"/>
        <item x="79"/>
        <item x="12"/>
        <item x="314"/>
        <item x="627"/>
        <item x="483"/>
        <item x="486"/>
        <item x="74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333"/>
        <item x="161"/>
        <item x="593"/>
        <item x="118"/>
        <item x="52"/>
        <item x="231"/>
        <item x="304"/>
        <item x="443"/>
        <item x="103"/>
        <item x="599"/>
        <item x="447"/>
        <item x="485"/>
        <item x="277"/>
        <item x="581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271"/>
        <item x="46"/>
        <item x="580"/>
        <item x="156"/>
        <item x="270"/>
        <item x="328"/>
        <item x="437"/>
        <item x="293"/>
        <item x="520"/>
        <item x="501"/>
        <item x="229"/>
        <item x="601"/>
        <item x="321"/>
        <item x="332"/>
        <item x="492"/>
        <item x="259"/>
        <item x="14"/>
        <item x="458"/>
        <item x="269"/>
        <item x="182"/>
        <item x="130"/>
        <item x="216"/>
        <item x="363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590"/>
        <item x="316"/>
        <item x="510"/>
        <item x="612"/>
        <item x="530"/>
        <item x="343"/>
        <item x="73"/>
        <item x="419"/>
        <item x="386"/>
        <item x="489"/>
        <item x="32"/>
        <item x="241"/>
        <item x="136"/>
        <item x="446"/>
        <item x="30"/>
        <item x="518"/>
        <item x="325"/>
        <item x="309"/>
        <item x="301"/>
        <item x="143"/>
        <item x="421"/>
        <item x="92"/>
        <item x="564"/>
        <item x="504"/>
        <item x="246"/>
        <item x="610"/>
        <item x="11"/>
        <item x="158"/>
        <item x="185"/>
        <item x="470"/>
        <item x="289"/>
        <item x="615"/>
        <item x="558"/>
        <item x="41"/>
        <item x="70"/>
        <item x="43"/>
        <item x="623"/>
        <item x="616"/>
        <item x="545"/>
        <item x="123"/>
        <item x="78"/>
        <item x="515"/>
        <item x="502"/>
        <item x="416"/>
        <item x="22"/>
        <item x="549"/>
        <item x="62"/>
        <item x="4"/>
        <item x="154"/>
        <item x="312"/>
        <item x="197"/>
        <item x="380"/>
        <item x="527"/>
        <item x="274"/>
        <item x="393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576"/>
        <item x="65"/>
        <item x="250"/>
        <item x="163"/>
        <item x="349"/>
        <item x="244"/>
        <item x="449"/>
        <item x="104"/>
        <item x="450"/>
        <item x="265"/>
        <item x="441"/>
        <item x="299"/>
        <item x="364"/>
        <item x="630"/>
        <item x="167"/>
        <item x="381"/>
        <item x="105"/>
        <item x="145"/>
        <item x="430"/>
        <item x="433"/>
        <item x="399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281"/>
        <item x="8"/>
        <item x="455"/>
        <item x="359"/>
        <item x="148"/>
        <item x="595"/>
        <item x="200"/>
        <item x="38"/>
        <item x="170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50"/>
        <item x="335"/>
        <item x="469"/>
        <item x="317"/>
        <item x="351"/>
        <item x="499"/>
        <item x="228"/>
        <item x="371"/>
        <item x="402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427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204"/>
        <item x="300"/>
        <item x="144"/>
        <item x="16"/>
        <item x="324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99"/>
        <item x="329"/>
        <item x="188"/>
        <item x="336"/>
        <item x="207"/>
        <item x="339"/>
        <item x="487"/>
        <item x="607"/>
        <item x="159"/>
        <item x="273"/>
        <item x="219"/>
        <item x="423"/>
        <item x="153"/>
        <item x="56"/>
        <item x="550"/>
        <item x="111"/>
        <item x="340"/>
        <item x="622"/>
        <item x="426"/>
        <item x="226"/>
        <item x="542"/>
        <item x="496"/>
        <item x="310"/>
        <item x="195"/>
        <item x="442"/>
        <item x="414"/>
        <item x="173"/>
        <item x="55"/>
        <item x="548"/>
        <item x="142"/>
        <item x="374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42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57"/>
        <item x="624"/>
        <item x="512"/>
        <item x="557"/>
        <item x="537"/>
        <item x="592"/>
        <item x="100"/>
        <item x="319"/>
        <item x="199"/>
        <item x="396"/>
        <item x="392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493"/>
        <item x="172"/>
        <item x="286"/>
        <item x="298"/>
        <item x="96"/>
        <item x="586"/>
        <item x="389"/>
        <item x="54"/>
        <item x="83"/>
        <item x="247"/>
        <item x="631"/>
        <item x="119"/>
        <item x="575"/>
        <item x="89"/>
        <item x="572"/>
        <item x="418"/>
        <item x="106"/>
        <item x="177"/>
        <item x="7"/>
        <item x="517"/>
        <item x="532"/>
        <item x="282"/>
        <item x="354"/>
        <item x="263"/>
        <item x="243"/>
        <item x="51"/>
        <item x="531"/>
        <item x="109"/>
        <item x="305"/>
        <item x="461"/>
        <item x="341"/>
        <item x="221"/>
        <item x="620"/>
        <item x="291"/>
        <item x="311"/>
        <item x="108"/>
        <item x="602"/>
        <item x="230"/>
        <item x="490"/>
        <item x="551"/>
        <item x="127"/>
        <item x="519"/>
        <item x="445"/>
        <item x="323"/>
        <item x="476"/>
        <item x="464"/>
        <item x="582"/>
        <item x="391"/>
        <item x="347"/>
        <item x="26"/>
        <item x="621"/>
        <item x="217"/>
        <item x="330"/>
        <item x="326"/>
        <item x="460"/>
        <item x="116"/>
        <item x="211"/>
        <item x="412"/>
        <item x="128"/>
        <item x="124"/>
        <item x="174"/>
        <item x="466"/>
        <item x="344"/>
        <item x="463"/>
        <item x="597"/>
        <item x="245"/>
        <item x="139"/>
        <item x="113"/>
        <item x="570"/>
        <item x="169"/>
        <item x="87"/>
        <item x="28"/>
        <item x="526"/>
        <item x="232"/>
        <item x="608"/>
        <item x="318"/>
        <item x="257"/>
        <item x="609"/>
        <item x="565"/>
        <item x="439"/>
        <item x="114"/>
        <item x="5"/>
        <item x="508"/>
        <item x="579"/>
        <item x="6"/>
        <item x="297"/>
        <item x="434"/>
        <item x="481"/>
        <item x="334"/>
        <item x="222"/>
        <item x="133"/>
        <item x="495"/>
        <item x="627"/>
        <item x="403"/>
        <item x="0"/>
        <item x="258"/>
        <item x="82"/>
        <item x="584"/>
        <item x="581"/>
        <item x="546"/>
        <item x="53"/>
        <item x="327"/>
        <item x="511"/>
        <item x="296"/>
        <item x="239"/>
        <item x="231"/>
        <item x="57"/>
        <item x="436"/>
        <item x="304"/>
        <item x="39"/>
        <item x="604"/>
        <item x="254"/>
        <item x="443"/>
        <item x="370"/>
        <item x="491"/>
        <item x="194"/>
        <item x="378"/>
        <item x="307"/>
        <item x="277"/>
        <item x="240"/>
        <item x="233"/>
        <item x="598"/>
        <item x="293"/>
        <item x="486"/>
        <item x="71"/>
        <item x="178"/>
        <item x="103"/>
        <item x="248"/>
        <item x="488"/>
        <item x="156"/>
        <item x="12"/>
        <item x="130"/>
        <item x="571"/>
        <item x="79"/>
        <item x="350"/>
        <item x="118"/>
        <item x="308"/>
        <item x="186"/>
        <item x="458"/>
        <item x="462"/>
        <item x="410"/>
        <item x="182"/>
        <item x="328"/>
        <item x="432"/>
        <item x="358"/>
        <item x="483"/>
        <item x="285"/>
        <item x="513"/>
        <item x="563"/>
        <item x="161"/>
        <item x="498"/>
        <item x="369"/>
        <item x="599"/>
        <item x="594"/>
        <item x="314"/>
        <item x="171"/>
        <item x="59"/>
        <item x="524"/>
        <item x="437"/>
        <item x="332"/>
        <item x="46"/>
        <item x="69"/>
        <item x="191"/>
        <item x="141"/>
        <item x="509"/>
        <item x="338"/>
        <item x="137"/>
        <item x="179"/>
        <item x="74"/>
        <item x="214"/>
        <item x="616"/>
        <item x="279"/>
        <item x="90"/>
        <item x="447"/>
        <item x="158"/>
        <item x="540"/>
        <item x="373"/>
        <item x="315"/>
        <item x="201"/>
        <item x="227"/>
        <item x="446"/>
        <item x="473"/>
        <item x="206"/>
        <item x="218"/>
        <item x="27"/>
        <item x="470"/>
        <item x="271"/>
        <item x="525"/>
        <item x="408"/>
        <item x="578"/>
        <item x="43"/>
        <item x="146"/>
        <item x="502"/>
        <item x="168"/>
        <item x="331"/>
        <item x="183"/>
        <item x="309"/>
        <item x="503"/>
        <item x="596"/>
        <item x="543"/>
        <item x="3"/>
        <item x="88"/>
        <item x="386"/>
        <item x="75"/>
        <item x="270"/>
        <item x="262"/>
        <item x="301"/>
        <item x="32"/>
        <item x="489"/>
        <item x="349"/>
        <item x="193"/>
        <item x="485"/>
        <item x="333"/>
        <item x="25"/>
        <item x="102"/>
        <item x="274"/>
        <item x="94"/>
        <item x="37"/>
        <item x="131"/>
        <item x="589"/>
        <item x="593"/>
        <item x="145"/>
        <item x="163"/>
        <item x="520"/>
        <item x="368"/>
        <item x="558"/>
        <item x="316"/>
        <item x="92"/>
        <item x="544"/>
        <item x="33"/>
        <item x="630"/>
        <item x="220"/>
        <item x="250"/>
        <item x="518"/>
        <item x="398"/>
        <item x="152"/>
        <item x="430"/>
        <item x="35"/>
        <item x="477"/>
        <item x="580"/>
        <item x="450"/>
        <item x="62"/>
        <item x="561"/>
        <item x="536"/>
        <item x="533"/>
        <item x="595"/>
        <item x="417"/>
        <item x="15"/>
        <item x="433"/>
        <item x="101"/>
        <item x="238"/>
        <item x="212"/>
        <item x="515"/>
        <item x="104"/>
        <item x="312"/>
        <item x="294"/>
        <item x="361"/>
        <item x="78"/>
        <item x="162"/>
        <item x="269"/>
        <item x="421"/>
        <item x="197"/>
        <item x="41"/>
        <item x="411"/>
        <item x="22"/>
        <item x="241"/>
        <item x="164"/>
        <item x="143"/>
        <item x="268"/>
        <item x="343"/>
        <item x="129"/>
        <item x="345"/>
        <item x="283"/>
        <item x="189"/>
        <item x="577"/>
        <item x="419"/>
        <item x="216"/>
        <item x="453"/>
        <item x="98"/>
        <item x="523"/>
        <item x="559"/>
        <item x="281"/>
        <item x="472"/>
        <item x="8"/>
        <item x="325"/>
        <item x="405"/>
        <item x="615"/>
        <item x="507"/>
        <item x="52"/>
        <item x="198"/>
        <item x="246"/>
        <item x="70"/>
        <item x="425"/>
        <item x="155"/>
        <item x="413"/>
        <item x="367"/>
        <item x="30"/>
        <item x="530"/>
        <item x="549"/>
        <item x="275"/>
        <item x="136"/>
        <item x="612"/>
        <item x="176"/>
        <item x="457"/>
        <item x="499"/>
        <item x="359"/>
        <item x="527"/>
        <item x="623"/>
        <item x="154"/>
        <item x="535"/>
        <item x="510"/>
        <item x="451"/>
        <item x="67"/>
        <item x="564"/>
        <item x="610"/>
        <item x="541"/>
        <item x="185"/>
        <item x="494"/>
        <item x="342"/>
        <item x="68"/>
        <item x="321"/>
        <item x="303"/>
        <item x="605"/>
        <item x="504"/>
        <item x="415"/>
        <item x="335"/>
        <item x="455"/>
        <item x="538"/>
        <item x="363"/>
        <item x="601"/>
        <item x="14"/>
        <item x="290"/>
        <item x="148"/>
        <item x="380"/>
        <item x="93"/>
        <item x="295"/>
        <item x="147"/>
        <item x="287"/>
        <item x="13"/>
        <item x="249"/>
        <item x="404"/>
        <item x="492"/>
        <item x="467"/>
        <item x="210"/>
        <item x="320"/>
        <item x="280"/>
        <item x="441"/>
        <item x="4"/>
        <item x="591"/>
        <item x="611"/>
        <item x="255"/>
        <item x="267"/>
        <item x="23"/>
        <item x="393"/>
        <item x="229"/>
        <item x="261"/>
        <item x="366"/>
        <item x="394"/>
        <item x="547"/>
        <item x="545"/>
        <item x="500"/>
        <item x="20"/>
        <item x="576"/>
        <item x="29"/>
        <item x="399"/>
        <item x="21"/>
        <item x="440"/>
        <item x="225"/>
        <item x="452"/>
        <item x="474"/>
        <item x="123"/>
        <item x="428"/>
        <item x="420"/>
        <item x="324"/>
        <item x="38"/>
        <item x="469"/>
        <item x="614"/>
        <item x="24"/>
        <item x="259"/>
        <item x="364"/>
        <item x="251"/>
        <item x="50"/>
        <item x="381"/>
        <item x="121"/>
        <item x="444"/>
        <item x="115"/>
        <item x="590"/>
        <item x="209"/>
        <item x="228"/>
        <item x="204"/>
        <item x="454"/>
        <item x="150"/>
        <item x="284"/>
        <item x="377"/>
        <item x="501"/>
        <item x="395"/>
        <item x="568"/>
        <item x="56"/>
        <item x="253"/>
        <item x="170"/>
        <item x="552"/>
        <item x="34"/>
        <item x="456"/>
        <item x="73"/>
        <item x="205"/>
        <item x="213"/>
        <item x="299"/>
        <item x="85"/>
        <item x="234"/>
        <item x="91"/>
        <item x="607"/>
        <item x="256"/>
        <item x="606"/>
        <item x="125"/>
        <item x="167"/>
        <item x="371"/>
        <item x="207"/>
        <item x="449"/>
        <item x="260"/>
        <item x="157"/>
        <item x="416"/>
        <item x="86"/>
        <item x="107"/>
        <item x="208"/>
        <item x="414"/>
        <item x="355"/>
        <item x="215"/>
        <item x="105"/>
        <item x="554"/>
        <item x="529"/>
        <item x="135"/>
        <item x="573"/>
        <item x="336"/>
        <item x="288"/>
        <item x="574"/>
        <item x="10"/>
        <item x="110"/>
        <item x="153"/>
        <item x="44"/>
        <item x="348"/>
        <item x="351"/>
        <item x="442"/>
        <item x="160"/>
        <item x="200"/>
        <item x="505"/>
        <item x="132"/>
        <item x="379"/>
        <item x="329"/>
        <item x="585"/>
        <item x="487"/>
        <item x="166"/>
        <item x="475"/>
        <item x="317"/>
        <item x="202"/>
        <item x="555"/>
        <item x="496"/>
        <item x="550"/>
        <item x="400"/>
        <item x="514"/>
        <item x="219"/>
        <item x="340"/>
        <item x="292"/>
        <item x="566"/>
        <item x="553"/>
        <item x="235"/>
        <item x="401"/>
        <item x="144"/>
        <item x="244"/>
        <item x="387"/>
        <item x="402"/>
        <item x="224"/>
        <item x="390"/>
        <item x="300"/>
        <item x="459"/>
        <item x="289"/>
        <item x="372"/>
        <item x="122"/>
        <item x="310"/>
        <item x="569"/>
        <item x="65"/>
        <item x="384"/>
        <item x="409"/>
        <item x="484"/>
        <item x="159"/>
        <item x="522"/>
        <item x="66"/>
        <item x="388"/>
        <item x="339"/>
        <item x="516"/>
        <item x="2"/>
        <item x="468"/>
        <item x="226"/>
        <item x="61"/>
        <item x="374"/>
        <item x="151"/>
        <item x="471"/>
        <item x="76"/>
        <item x="252"/>
        <item x="352"/>
        <item x="11"/>
        <item x="134"/>
        <item x="322"/>
        <item x="479"/>
        <item x="120"/>
        <item x="84"/>
        <item x="628"/>
        <item x="188"/>
        <item x="600"/>
        <item x="190"/>
        <item x="625"/>
        <item x="77"/>
        <item x="81"/>
        <item x="173"/>
        <item x="365"/>
        <item x="406"/>
        <item x="18"/>
        <item x="36"/>
        <item x="19"/>
        <item x="629"/>
        <item x="482"/>
        <item x="603"/>
        <item x="480"/>
        <item x="95"/>
        <item x="42"/>
        <item x="17"/>
        <item x="587"/>
        <item x="31"/>
        <item x="64"/>
        <item x="278"/>
        <item x="560"/>
        <item x="111"/>
        <item x="617"/>
        <item x="397"/>
        <item x="265"/>
        <item x="48"/>
        <item x="438"/>
        <item x="427"/>
        <item x="266"/>
        <item x="100"/>
        <item x="99"/>
        <item x="273"/>
        <item x="356"/>
        <item x="478"/>
        <item x="542"/>
        <item x="97"/>
        <item x="429"/>
        <item x="181"/>
        <item x="313"/>
        <item x="562"/>
        <item x="360"/>
        <item x="626"/>
        <item x="534"/>
        <item x="337"/>
        <item x="45"/>
        <item x="435"/>
        <item x="149"/>
        <item x="72"/>
        <item x="184"/>
        <item x="60"/>
        <item x="557"/>
        <item x="196"/>
        <item x="618"/>
        <item x="353"/>
        <item x="16"/>
        <item x="431"/>
        <item x="548"/>
        <item x="407"/>
        <item x="556"/>
        <item x="506"/>
        <item x="195"/>
        <item x="592"/>
        <item x="138"/>
        <item x="624"/>
        <item x="426"/>
        <item x="567"/>
        <item x="242"/>
        <item x="376"/>
        <item x="537"/>
        <item x="40"/>
        <item x="448"/>
        <item x="302"/>
        <item x="396"/>
        <item x="49"/>
        <item x="272"/>
        <item x="192"/>
        <item x="583"/>
        <item x="223"/>
        <item x="142"/>
        <item x="521"/>
        <item x="497"/>
        <item x="187"/>
        <item x="357"/>
        <item x="382"/>
        <item x="117"/>
        <item x="236"/>
        <item x="622"/>
        <item x="55"/>
        <item x="199"/>
        <item x="264"/>
        <item x="1"/>
        <item x="375"/>
        <item x="588"/>
        <item x="613"/>
        <item x="306"/>
        <item x="619"/>
        <item x="424"/>
        <item x="423"/>
        <item x="385"/>
        <item x="203"/>
        <item x="539"/>
        <item x="80"/>
        <item x="362"/>
        <item x="392"/>
        <item x="126"/>
        <item x="9"/>
        <item x="346"/>
        <item x="47"/>
        <item x="512"/>
        <item x="319"/>
        <item x="383"/>
        <item x="528"/>
        <item x="465"/>
        <item x="276"/>
        <item x="175"/>
        <item x="165"/>
        <item x="422"/>
        <item x="63"/>
        <item x="140"/>
        <item x="58"/>
        <item x="237"/>
        <item t="default"/>
      </items>
    </pivotField>
    <pivotField dataField="1" compact="0" numFmtId="44" showAll="0">
      <items count="633">
        <item x="1"/>
        <item x="385"/>
        <item x="626"/>
        <item x="265"/>
        <item x="11"/>
        <item x="560"/>
        <item x="132"/>
        <item x="134"/>
        <item x="423"/>
        <item x="289"/>
        <item x="497"/>
        <item x="58"/>
        <item x="501"/>
        <item x="187"/>
        <item x="65"/>
        <item x="125"/>
        <item x="192"/>
        <item x="407"/>
        <item x="150"/>
        <item x="244"/>
        <item x="259"/>
        <item x="73"/>
        <item x="72"/>
        <item x="388"/>
        <item x="590"/>
        <item x="229"/>
        <item x="416"/>
        <item x="152"/>
        <item x="477"/>
        <item x="492"/>
        <item x="98"/>
        <item x="361"/>
        <item x="2"/>
        <item x="196"/>
        <item x="52"/>
        <item x="617"/>
        <item x="363"/>
        <item x="622"/>
        <item x="404"/>
        <item x="601"/>
        <item x="605"/>
        <item x="105"/>
        <item x="397"/>
        <item x="14"/>
        <item x="146"/>
        <item x="131"/>
        <item x="384"/>
        <item x="540"/>
        <item x="338"/>
        <item x="193"/>
        <item x="321"/>
        <item x="66"/>
        <item x="432"/>
        <item x="27"/>
        <item x="449"/>
        <item x="427"/>
        <item x="543"/>
        <item x="167"/>
        <item x="224"/>
        <item x="55"/>
        <item x="303"/>
        <item x="373"/>
        <item x="457"/>
        <item x="166"/>
        <item x="81"/>
        <item x="122"/>
        <item x="114"/>
        <item x="101"/>
        <item x="94"/>
        <item x="408"/>
        <item x="593"/>
        <item x="116"/>
        <item x="3"/>
        <item x="252"/>
        <item x="268"/>
        <item x="434"/>
        <item x="411"/>
        <item x="323"/>
        <item x="299"/>
        <item x="333"/>
        <item x="238"/>
        <item x="201"/>
        <item x="36"/>
        <item x="68"/>
        <item x="137"/>
        <item x="390"/>
        <item x="230"/>
        <item x="177"/>
        <item x="179"/>
        <item x="74"/>
        <item x="87"/>
        <item x="53"/>
        <item x="519"/>
        <item x="127"/>
        <item x="631"/>
        <item x="123"/>
        <item x="574"/>
        <item x="139"/>
        <item x="54"/>
        <item x="476"/>
        <item x="200"/>
        <item x="109"/>
        <item x="298"/>
        <item x="286"/>
        <item x="112"/>
        <item x="212"/>
        <item x="609"/>
        <item x="180"/>
        <item x="263"/>
        <item x="532"/>
        <item x="96"/>
        <item x="51"/>
        <item x="106"/>
        <item x="35"/>
        <item x="172"/>
        <item x="531"/>
        <item x="493"/>
        <item x="311"/>
        <item x="561"/>
        <item x="575"/>
        <item x="285"/>
        <item x="85"/>
        <item x="275"/>
        <item x="282"/>
        <item x="216"/>
        <item x="485"/>
        <item x="243"/>
        <item x="7"/>
        <item x="83"/>
        <item x="586"/>
        <item x="89"/>
        <item x="221"/>
        <item x="119"/>
        <item x="389"/>
        <item x="358"/>
        <item x="602"/>
        <item x="461"/>
        <item x="526"/>
        <item x="247"/>
        <item x="418"/>
        <item x="620"/>
        <item x="15"/>
        <item x="291"/>
        <item x="257"/>
        <item x="59"/>
        <item x="198"/>
        <item x="545"/>
        <item x="462"/>
        <item x="248"/>
        <item x="572"/>
        <item x="460"/>
        <item x="463"/>
        <item x="341"/>
        <item x="211"/>
        <item x="269"/>
        <item x="517"/>
        <item x="369"/>
        <item x="174"/>
        <item x="510"/>
        <item x="86"/>
        <item x="6"/>
        <item x="580"/>
        <item x="113"/>
        <item x="606"/>
        <item x="354"/>
        <item x="227"/>
        <item x="26"/>
        <item x="307"/>
        <item x="169"/>
        <item x="490"/>
        <item x="155"/>
        <item x="402"/>
        <item x="124"/>
        <item x="190"/>
        <item x="582"/>
        <item x="412"/>
        <item x="439"/>
        <item x="447"/>
        <item x="464"/>
        <item x="383"/>
        <item x="608"/>
        <item x="39"/>
        <item x="350"/>
        <item x="612"/>
        <item x="488"/>
        <item x="511"/>
        <item x="530"/>
        <item x="297"/>
        <item x="108"/>
        <item x="314"/>
        <item x="318"/>
        <item x="551"/>
        <item x="232"/>
        <item x="194"/>
        <item x="445"/>
        <item x="305"/>
        <item x="162"/>
        <item x="618"/>
        <item x="16"/>
        <item x="4"/>
        <item x="217"/>
        <item x="520"/>
        <item x="317"/>
        <item x="347"/>
        <item x="393"/>
        <item x="133"/>
        <item x="189"/>
        <item x="239"/>
        <item x="75"/>
        <item x="536"/>
        <item x="327"/>
        <item x="326"/>
        <item x="417"/>
        <item x="513"/>
        <item x="234"/>
        <item x="621"/>
        <item x="370"/>
        <item x="10"/>
        <item x="340"/>
        <item x="364"/>
        <item x="381"/>
        <item x="504"/>
        <item x="128"/>
        <item x="136"/>
        <item x="571"/>
        <item x="584"/>
        <item x="186"/>
        <item x="401"/>
        <item x="466"/>
        <item x="483"/>
        <item x="235"/>
        <item x="598"/>
        <item x="330"/>
        <item x="240"/>
        <item x="564"/>
        <item x="391"/>
        <item x="30"/>
        <item x="168"/>
        <item x="215"/>
        <item x="245"/>
        <item x="270"/>
        <item x="218"/>
        <item x="610"/>
        <item x="578"/>
        <item x="566"/>
        <item x="79"/>
        <item x="296"/>
        <item x="351"/>
        <item x="343"/>
        <item x="185"/>
        <item x="410"/>
        <item x="161"/>
        <item x="576"/>
        <item x="206"/>
        <item x="597"/>
        <item x="508"/>
        <item x="12"/>
        <item x="246"/>
        <item x="344"/>
        <item x="570"/>
        <item x="170"/>
        <item x="591"/>
        <item x="294"/>
        <item x="599"/>
        <item x="258"/>
        <item x="380"/>
        <item x="554"/>
        <item x="271"/>
        <item x="308"/>
        <item x="5"/>
        <item x="419"/>
        <item x="579"/>
        <item x="325"/>
        <item x="486"/>
        <item x="395"/>
        <item x="57"/>
        <item x="623"/>
        <item x="28"/>
        <item x="400"/>
        <item x="222"/>
        <item x="208"/>
        <item x="249"/>
        <item x="565"/>
        <item x="233"/>
        <item x="546"/>
        <item x="524"/>
        <item x="495"/>
        <item x="154"/>
        <item x="241"/>
        <item x="0"/>
        <item x="262"/>
        <item x="481"/>
        <item x="118"/>
        <item x="328"/>
        <item x="399"/>
        <item x="334"/>
        <item x="70"/>
        <item x="596"/>
        <item x="428"/>
        <item x="549"/>
        <item x="615"/>
        <item x="365"/>
        <item x="84"/>
        <item x="627"/>
        <item x="143"/>
        <item x="604"/>
        <item x="25"/>
        <item x="316"/>
        <item x="441"/>
        <item x="527"/>
        <item x="403"/>
        <item x="46"/>
        <item x="103"/>
        <item x="421"/>
        <item x="436"/>
        <item x="82"/>
        <item x="332"/>
        <item x="184"/>
        <item x="503"/>
        <item x="277"/>
        <item x="494"/>
        <item x="231"/>
        <item x="44"/>
        <item x="142"/>
        <item x="443"/>
        <item x="437"/>
        <item x="377"/>
        <item x="525"/>
        <item x="304"/>
        <item x="183"/>
        <item x="214"/>
        <item x="71"/>
        <item x="331"/>
        <item x="50"/>
        <item x="284"/>
        <item x="518"/>
        <item x="78"/>
        <item x="473"/>
        <item x="41"/>
        <item x="406"/>
        <item x="387"/>
        <item x="90"/>
        <item x="420"/>
        <item x="371"/>
        <item x="151"/>
        <item x="378"/>
        <item x="581"/>
        <item x="438"/>
        <item x="254"/>
        <item x="22"/>
        <item x="491"/>
        <item x="141"/>
        <item x="38"/>
        <item x="92"/>
        <item x="426"/>
        <item x="489"/>
        <item x="147"/>
        <item x="509"/>
        <item x="32"/>
        <item x="386"/>
        <item x="515"/>
        <item x="315"/>
        <item x="182"/>
        <item x="99"/>
        <item x="178"/>
        <item x="156"/>
        <item x="458"/>
        <item x="301"/>
        <item x="435"/>
        <item x="197"/>
        <item x="553"/>
        <item x="558"/>
        <item x="279"/>
        <item x="312"/>
        <item x="283"/>
        <item x="594"/>
        <item x="309"/>
        <item x="293"/>
        <item x="191"/>
        <item x="62"/>
        <item x="479"/>
        <item x="453"/>
        <item x="130"/>
        <item x="467"/>
        <item x="512"/>
        <item x="228"/>
        <item x="563"/>
        <item x="164"/>
        <item x="69"/>
        <item x="498"/>
        <item x="516"/>
        <item x="171"/>
        <item x="446"/>
        <item x="375"/>
        <item x="236"/>
        <item x="484"/>
        <item x="573"/>
        <item x="469"/>
        <item x="195"/>
        <item x="547"/>
        <item x="533"/>
        <item x="470"/>
        <item x="281"/>
        <item x="104"/>
        <item x="522"/>
        <item x="43"/>
        <item x="274"/>
        <item x="559"/>
        <item x="587"/>
        <item x="148"/>
        <item x="502"/>
        <item x="158"/>
        <item x="67"/>
        <item x="405"/>
        <item x="455"/>
        <item x="382"/>
        <item x="250"/>
        <item x="49"/>
        <item x="209"/>
        <item x="450"/>
        <item x="256"/>
        <item x="163"/>
        <item x="589"/>
        <item x="251"/>
        <item x="272"/>
        <item x="37"/>
        <item x="552"/>
        <item x="88"/>
        <item x="616"/>
        <item x="433"/>
        <item x="359"/>
        <item x="345"/>
        <item x="31"/>
        <item x="619"/>
        <item x="548"/>
        <item x="630"/>
        <item x="91"/>
        <item x="349"/>
        <item x="577"/>
        <item x="430"/>
        <item x="64"/>
        <item x="535"/>
        <item x="145"/>
        <item x="264"/>
        <item x="398"/>
        <item x="319"/>
        <item x="409"/>
        <item x="33"/>
        <item x="8"/>
        <item x="220"/>
        <item x="160"/>
        <item x="425"/>
        <item x="242"/>
        <item x="614"/>
        <item x="176"/>
        <item x="335"/>
        <item x="507"/>
        <item x="292"/>
        <item x="368"/>
        <item x="267"/>
        <item x="280"/>
        <item x="585"/>
        <item x="472"/>
        <item x="102"/>
        <item x="261"/>
        <item x="544"/>
        <item x="468"/>
        <item x="413"/>
        <item x="456"/>
        <item x="459"/>
        <item x="273"/>
        <item x="499"/>
        <item x="611"/>
        <item x="595"/>
        <item x="210"/>
        <item x="306"/>
        <item x="474"/>
        <item x="352"/>
        <item x="523"/>
        <item x="392"/>
        <item x="129"/>
        <item x="506"/>
        <item x="339"/>
        <item x="542"/>
        <item x="138"/>
        <item x="300"/>
        <item x="366"/>
        <item x="21"/>
        <item x="45"/>
        <item x="188"/>
        <item x="355"/>
        <item x="415"/>
        <item x="394"/>
        <item x="260"/>
        <item x="144"/>
        <item x="29"/>
        <item x="290"/>
        <item x="63"/>
        <item x="500"/>
        <item x="440"/>
        <item x="444"/>
        <item x="202"/>
        <item x="111"/>
        <item x="107"/>
        <item x="23"/>
        <item x="61"/>
        <item x="367"/>
        <item x="353"/>
        <item x="60"/>
        <item x="562"/>
        <item x="287"/>
        <item x="93"/>
        <item x="157"/>
        <item x="225"/>
        <item x="541"/>
        <item x="451"/>
        <item x="295"/>
        <item x="454"/>
        <item x="42"/>
        <item x="342"/>
        <item x="213"/>
        <item x="538"/>
        <item x="121"/>
        <item x="528"/>
        <item x="203"/>
        <item x="302"/>
        <item x="583"/>
        <item x="13"/>
        <item x="475"/>
        <item x="97"/>
        <item x="159"/>
        <item x="348"/>
        <item x="360"/>
        <item x="219"/>
        <item x="288"/>
        <item x="568"/>
        <item x="320"/>
        <item x="173"/>
        <item x="329"/>
        <item x="253"/>
        <item x="115"/>
        <item x="110"/>
        <item x="452"/>
        <item x="226"/>
        <item x="205"/>
        <item x="374"/>
        <item x="135"/>
        <item x="20"/>
        <item x="204"/>
        <item x="40"/>
        <item x="24"/>
        <item x="487"/>
        <item x="625"/>
        <item x="310"/>
        <item x="336"/>
        <item x="255"/>
        <item x="77"/>
        <item x="550"/>
        <item x="34"/>
        <item x="628"/>
        <item x="153"/>
        <item x="278"/>
        <item x="324"/>
        <item x="207"/>
        <item x="48"/>
        <item x="496"/>
        <item x="600"/>
        <item x="337"/>
        <item x="372"/>
        <item x="17"/>
        <item x="607"/>
        <item x="442"/>
        <item x="376"/>
        <item x="482"/>
        <item x="56"/>
        <item x="567"/>
        <item x="76"/>
        <item x="505"/>
        <item x="569"/>
        <item x="357"/>
        <item x="514"/>
        <item x="313"/>
        <item x="414"/>
        <item x="266"/>
        <item x="448"/>
        <item x="555"/>
        <item x="379"/>
        <item x="471"/>
        <item x="429"/>
        <item x="181"/>
        <item x="18"/>
        <item x="149"/>
        <item x="534"/>
        <item x="529"/>
        <item x="9"/>
        <item x="19"/>
        <item x="478"/>
        <item x="603"/>
        <item x="556"/>
        <item x="480"/>
        <item x="120"/>
        <item x="629"/>
        <item x="322"/>
        <item x="356"/>
        <item x="424"/>
        <item x="199"/>
        <item x="140"/>
        <item x="624"/>
        <item x="80"/>
        <item x="95"/>
        <item x="537"/>
        <item x="126"/>
        <item x="592"/>
        <item x="276"/>
        <item x="557"/>
        <item x="396"/>
        <item x="539"/>
        <item x="465"/>
        <item x="165"/>
        <item x="100"/>
        <item x="431"/>
        <item x="117"/>
        <item x="588"/>
        <item x="521"/>
        <item x="346"/>
        <item x="223"/>
        <item x="175"/>
        <item x="362"/>
        <item x="422"/>
        <item x="613"/>
        <item x="237"/>
        <item x="47"/>
        <item t="default"/>
      </items>
    </pivotField>
    <pivotField compact="0" numFmtId="44" showAll="0">
      <items count="633">
        <item x="1"/>
        <item x="385"/>
        <item x="11"/>
        <item x="626"/>
        <item x="132"/>
        <item x="265"/>
        <item x="289"/>
        <item x="501"/>
        <item x="560"/>
        <item x="134"/>
        <item x="150"/>
        <item x="125"/>
        <item x="259"/>
        <item x="152"/>
        <item x="477"/>
        <item x="361"/>
        <item x="65"/>
        <item x="146"/>
        <item x="98"/>
        <item x="338"/>
        <item x="540"/>
        <item x="73"/>
        <item x="432"/>
        <item x="116"/>
        <item x="229"/>
        <item x="52"/>
        <item x="131"/>
        <item x="114"/>
        <item x="323"/>
        <item x="177"/>
        <item x="298"/>
        <item x="631"/>
        <item x="193"/>
        <item x="112"/>
        <item x="180"/>
        <item x="286"/>
        <item x="54"/>
        <item x="230"/>
        <item x="96"/>
        <item x="172"/>
        <item x="493"/>
        <item x="109"/>
        <item x="519"/>
        <item x="532"/>
        <item x="127"/>
        <item x="263"/>
        <item x="106"/>
        <item x="27"/>
        <item x="492"/>
        <item x="244"/>
        <item x="531"/>
        <item x="434"/>
        <item x="575"/>
        <item x="590"/>
        <item x="51"/>
        <item x="476"/>
        <item x="586"/>
        <item x="282"/>
        <item x="83"/>
        <item x="389"/>
        <item x="311"/>
        <item x="119"/>
        <item x="89"/>
        <item x="7"/>
        <item x="87"/>
        <item x="243"/>
        <item x="247"/>
        <item x="221"/>
        <item x="139"/>
        <item x="418"/>
        <item x="605"/>
        <item x="461"/>
        <item x="602"/>
        <item x="373"/>
        <item x="620"/>
        <item x="601"/>
        <item x="572"/>
        <item x="291"/>
        <item x="543"/>
        <item x="609"/>
        <item x="53"/>
        <item x="404"/>
        <item x="14"/>
        <item x="517"/>
        <item x="341"/>
        <item x="354"/>
        <item x="460"/>
        <item x="526"/>
        <item x="416"/>
        <item x="211"/>
        <item x="408"/>
        <item x="463"/>
        <item x="490"/>
        <item x="257"/>
        <item x="363"/>
        <item x="321"/>
        <item x="174"/>
        <item x="26"/>
        <item x="113"/>
        <item x="582"/>
        <item x="3"/>
        <item x="94"/>
        <item x="179"/>
        <item x="124"/>
        <item x="412"/>
        <item x="169"/>
        <item x="108"/>
        <item x="464"/>
        <item x="593"/>
        <item x="285"/>
        <item x="305"/>
        <item x="551"/>
        <item x="201"/>
        <item x="6"/>
        <item x="137"/>
        <item x="445"/>
        <item x="101"/>
        <item x="248"/>
        <item x="333"/>
        <item x="358"/>
        <item x="388"/>
        <item x="439"/>
        <item x="608"/>
        <item x="462"/>
        <item x="217"/>
        <item x="347"/>
        <item x="307"/>
        <item x="318"/>
        <item x="232"/>
        <item x="59"/>
        <item x="297"/>
        <item x="303"/>
        <item x="326"/>
        <item x="39"/>
        <item x="268"/>
        <item x="411"/>
        <item x="621"/>
        <item x="457"/>
        <item x="238"/>
        <item x="511"/>
        <item x="369"/>
        <item x="128"/>
        <item x="350"/>
        <item x="488"/>
        <item x="466"/>
        <item x="330"/>
        <item x="485"/>
        <item x="391"/>
        <item x="133"/>
        <item x="194"/>
        <item x="35"/>
        <item x="74"/>
        <item x="212"/>
        <item x="561"/>
        <item x="245"/>
        <item x="239"/>
        <item x="327"/>
        <item x="227"/>
        <item x="584"/>
        <item x="314"/>
        <item x="370"/>
        <item x="597"/>
        <item x="15"/>
        <item x="68"/>
        <item x="598"/>
        <item x="344"/>
        <item x="216"/>
        <item x="571"/>
        <item x="570"/>
        <item x="240"/>
        <item x="186"/>
        <item x="2"/>
        <item x="513"/>
        <item x="296"/>
        <item x="508"/>
        <item x="580"/>
        <item x="483"/>
        <item x="275"/>
        <item x="407"/>
        <item x="449"/>
        <item x="269"/>
        <item x="79"/>
        <item x="198"/>
        <item x="447"/>
        <item x="497"/>
        <item x="5"/>
        <item x="258"/>
        <item x="12"/>
        <item x="28"/>
        <item x="105"/>
        <item x="410"/>
        <item x="579"/>
        <item x="75"/>
        <item x="161"/>
        <item x="384"/>
        <item x="520"/>
        <item x="565"/>
        <item x="123"/>
        <item x="222"/>
        <item x="57"/>
        <item x="155"/>
        <item x="510"/>
        <item x="218"/>
        <item x="72"/>
        <item x="168"/>
        <item x="308"/>
        <item x="486"/>
        <item x="578"/>
        <item x="162"/>
        <item x="536"/>
        <item x="495"/>
        <item x="546"/>
        <item x="599"/>
        <item x="167"/>
        <item x="417"/>
        <item x="270"/>
        <item x="206"/>
        <item x="612"/>
        <item x="233"/>
        <item x="481"/>
        <item x="530"/>
        <item x="189"/>
        <item x="0"/>
        <item x="192"/>
        <item x="299"/>
        <item x="545"/>
        <item x="423"/>
        <item x="334"/>
        <item x="617"/>
        <item x="66"/>
        <item x="166"/>
        <item x="271"/>
        <item x="118"/>
        <item x="627"/>
        <item x="524"/>
        <item x="187"/>
        <item x="224"/>
        <item x="604"/>
        <item x="403"/>
        <item x="136"/>
        <item x="82"/>
        <item x="397"/>
        <item x="85"/>
        <item x="436"/>
        <item x="504"/>
        <item x="30"/>
        <item x="4"/>
        <item x="103"/>
        <item x="122"/>
        <item x="564"/>
        <item x="574"/>
        <item x="294"/>
        <item x="610"/>
        <item x="231"/>
        <item x="277"/>
        <item x="200"/>
        <item x="343"/>
        <item x="443"/>
        <item x="185"/>
        <item x="262"/>
        <item x="304"/>
        <item x="46"/>
        <item x="419"/>
        <item x="196"/>
        <item x="596"/>
        <item x="606"/>
        <item x="390"/>
        <item x="325"/>
        <item x="86"/>
        <item x="393"/>
        <item x="71"/>
        <item x="364"/>
        <item x="25"/>
        <item x="81"/>
        <item x="252"/>
        <item x="437"/>
        <item x="246"/>
        <item x="381"/>
        <item x="581"/>
        <item x="241"/>
        <item x="623"/>
        <item x="332"/>
        <item x="576"/>
        <item x="316"/>
        <item x="380"/>
        <item x="378"/>
        <item x="591"/>
        <item x="254"/>
        <item x="214"/>
        <item x="503"/>
        <item x="525"/>
        <item x="491"/>
        <item x="328"/>
        <item x="143"/>
        <item x="234"/>
        <item x="70"/>
        <item x="154"/>
        <item x="183"/>
        <item x="615"/>
        <item x="249"/>
        <item x="473"/>
        <item x="421"/>
        <item x="36"/>
        <item x="331"/>
        <item x="549"/>
        <item x="178"/>
        <item x="90"/>
        <item x="156"/>
        <item x="402"/>
        <item x="182"/>
        <item x="141"/>
        <item x="458"/>
        <item x="215"/>
        <item x="509"/>
        <item x="317"/>
        <item x="527"/>
        <item x="518"/>
        <item x="10"/>
        <item x="293"/>
        <item x="399"/>
        <item x="315"/>
        <item x="41"/>
        <item x="395"/>
        <item x="130"/>
        <item x="489"/>
        <item x="441"/>
        <item x="594"/>
        <item x="494"/>
        <item x="32"/>
        <item x="428"/>
        <item x="386"/>
        <item x="279"/>
        <item x="351"/>
        <item x="92"/>
        <item x="235"/>
        <item x="401"/>
        <item x="191"/>
        <item x="170"/>
        <item x="554"/>
        <item x="190"/>
        <item x="22"/>
        <item x="301"/>
        <item x="78"/>
        <item x="563"/>
        <item x="208"/>
        <item x="566"/>
        <item x="498"/>
        <item x="515"/>
        <item x="69"/>
        <item x="309"/>
        <item x="558"/>
        <item x="171"/>
        <item x="197"/>
        <item x="62"/>
        <item x="312"/>
        <item x="446"/>
        <item x="400"/>
        <item x="283"/>
        <item x="147"/>
        <item x="377"/>
        <item x="622"/>
        <item x="453"/>
        <item x="420"/>
        <item x="164"/>
        <item x="284"/>
        <item x="470"/>
        <item x="427"/>
        <item x="38"/>
        <item x="43"/>
        <item x="158"/>
        <item x="502"/>
        <item x="44"/>
        <item x="533"/>
        <item x="274"/>
        <item x="467"/>
        <item x="371"/>
        <item x="104"/>
        <item x="618"/>
        <item x="616"/>
        <item x="84"/>
        <item x="250"/>
        <item x="559"/>
        <item x="16"/>
        <item x="365"/>
        <item x="589"/>
        <item x="163"/>
        <item x="55"/>
        <item x="37"/>
        <item x="450"/>
        <item x="50"/>
        <item x="88"/>
        <item x="405"/>
        <item x="228"/>
        <item x="387"/>
        <item x="67"/>
        <item x="547"/>
        <item x="349"/>
        <item x="469"/>
        <item x="148"/>
        <item x="433"/>
        <item x="455"/>
        <item x="630"/>
        <item x="430"/>
        <item x="345"/>
        <item x="151"/>
        <item x="553"/>
        <item x="145"/>
        <item x="577"/>
        <item x="406"/>
        <item x="398"/>
        <item x="359"/>
        <item x="33"/>
        <item x="573"/>
        <item x="535"/>
        <item x="220"/>
        <item x="251"/>
        <item x="209"/>
        <item x="184"/>
        <item x="438"/>
        <item x="281"/>
        <item x="8"/>
        <item x="368"/>
        <item x="479"/>
        <item x="516"/>
        <item x="102"/>
        <item x="425"/>
        <item x="256"/>
        <item x="552"/>
        <item x="484"/>
        <item x="544"/>
        <item x="176"/>
        <item x="507"/>
        <item x="335"/>
        <item x="472"/>
        <item x="91"/>
        <item x="522"/>
        <item x="595"/>
        <item x="413"/>
        <item x="435"/>
        <item x="267"/>
        <item x="614"/>
        <item x="280"/>
        <item x="499"/>
        <item x="261"/>
        <item x="523"/>
        <item x="587"/>
        <item x="142"/>
        <item x="129"/>
        <item x="611"/>
        <item x="426"/>
        <item x="210"/>
        <item x="160"/>
        <item x="409"/>
        <item x="474"/>
        <item x="456"/>
        <item x="31"/>
        <item x="585"/>
        <item x="64"/>
        <item x="292"/>
        <item x="99"/>
        <item x="195"/>
        <item x="415"/>
        <item x="366"/>
        <item x="21"/>
        <item x="290"/>
        <item x="394"/>
        <item x="459"/>
        <item x="468"/>
        <item x="29"/>
        <item x="367"/>
        <item x="58"/>
        <item x="500"/>
        <item x="23"/>
        <item x="440"/>
        <item x="383"/>
        <item x="548"/>
        <item x="260"/>
        <item x="287"/>
        <item x="355"/>
        <item x="444"/>
        <item x="541"/>
        <item x="93"/>
        <item x="352"/>
        <item x="49"/>
        <item x="236"/>
        <item x="451"/>
        <item x="272"/>
        <item x="295"/>
        <item x="300"/>
        <item x="375"/>
        <item x="273"/>
        <item x="342"/>
        <item x="107"/>
        <item x="225"/>
        <item x="538"/>
        <item x="144"/>
        <item x="382"/>
        <item x="202"/>
        <item x="242"/>
        <item x="454"/>
        <item x="157"/>
        <item x="188"/>
        <item x="121"/>
        <item x="542"/>
        <item x="13"/>
        <item x="213"/>
        <item x="61"/>
        <item x="320"/>
        <item x="111"/>
        <item x="264"/>
        <item x="45"/>
        <item x="619"/>
        <item x="506"/>
        <item x="452"/>
        <item x="568"/>
        <item x="339"/>
        <item x="115"/>
        <item x="138"/>
        <item x="475"/>
        <item x="253"/>
        <item x="20"/>
        <item x="348"/>
        <item x="288"/>
        <item x="562"/>
        <item x="60"/>
        <item x="512"/>
        <item x="24"/>
        <item x="353"/>
        <item x="204"/>
        <item x="205"/>
        <item x="329"/>
        <item x="159"/>
        <item x="110"/>
        <item x="255"/>
        <item x="135"/>
        <item x="306"/>
        <item x="226"/>
        <item x="173"/>
        <item x="487"/>
        <item x="336"/>
        <item x="97"/>
        <item x="34"/>
        <item x="324"/>
        <item x="219"/>
        <item x="550"/>
        <item x="360"/>
        <item x="310"/>
        <item x="340"/>
        <item x="207"/>
        <item x="319"/>
        <item x="153"/>
        <item x="625"/>
        <item x="374"/>
        <item x="302"/>
        <item x="77"/>
        <item x="496"/>
        <item x="583"/>
        <item x="628"/>
        <item x="607"/>
        <item x="372"/>
        <item x="278"/>
        <item x="42"/>
        <item x="600"/>
        <item x="56"/>
        <item x="48"/>
        <item x="442"/>
        <item x="40"/>
        <item x="17"/>
        <item x="203"/>
        <item x="505"/>
        <item x="414"/>
        <item x="337"/>
        <item x="514"/>
        <item x="569"/>
        <item x="482"/>
        <item x="76"/>
        <item x="379"/>
        <item x="555"/>
        <item x="529"/>
        <item x="471"/>
        <item x="266"/>
        <item x="313"/>
        <item x="528"/>
        <item x="376"/>
        <item x="18"/>
        <item x="567"/>
        <item x="429"/>
        <item x="181"/>
        <item x="19"/>
        <item x="448"/>
        <item x="149"/>
        <item x="534"/>
        <item x="603"/>
        <item x="478"/>
        <item x="357"/>
        <item x="120"/>
        <item x="480"/>
        <item x="322"/>
        <item x="629"/>
        <item x="556"/>
        <item x="356"/>
        <item x="392"/>
        <item x="63"/>
        <item x="95"/>
        <item x="9"/>
        <item x="624"/>
        <item x="537"/>
        <item x="199"/>
        <item x="424"/>
        <item x="592"/>
        <item x="557"/>
        <item x="80"/>
        <item x="126"/>
        <item x="396"/>
        <item x="100"/>
        <item x="539"/>
        <item x="431"/>
        <item x="140"/>
        <item x="276"/>
        <item x="117"/>
        <item x="521"/>
        <item x="588"/>
        <item x="465"/>
        <item x="165"/>
        <item x="223"/>
        <item x="346"/>
        <item x="362"/>
        <item x="175"/>
        <item x="613"/>
        <item x="422"/>
        <item x="47"/>
        <item x="237"/>
        <item t="default"/>
      </items>
    </pivotField>
    <pivotField compact="0" showAll="0">
      <items count="633">
        <item x="1"/>
        <item x="132"/>
        <item x="11"/>
        <item x="116"/>
        <item x="501"/>
        <item x="626"/>
        <item x="385"/>
        <item x="265"/>
        <item x="152"/>
        <item x="177"/>
        <item x="289"/>
        <item x="477"/>
        <item x="150"/>
        <item x="298"/>
        <item x="560"/>
        <item x="259"/>
        <item x="134"/>
        <item x="338"/>
        <item x="146"/>
        <item x="125"/>
        <item x="323"/>
        <item x="361"/>
        <item x="540"/>
        <item x="432"/>
        <item x="98"/>
        <item x="114"/>
        <item x="65"/>
        <item x="112"/>
        <item x="131"/>
        <item x="52"/>
        <item x="73"/>
        <item x="229"/>
        <item x="631"/>
        <item x="193"/>
        <item x="244"/>
        <item x="590"/>
        <item x="492"/>
        <item x="230"/>
        <item x="27"/>
        <item x="286"/>
        <item x="605"/>
        <item x="363"/>
        <item x="601"/>
        <item x="416"/>
        <item x="404"/>
        <item x="54"/>
        <item x="14"/>
        <item x="388"/>
        <item x="497"/>
        <item x="434"/>
        <item x="423"/>
        <item x="407"/>
        <item x="373"/>
        <item x="543"/>
        <item x="321"/>
        <item x="187"/>
        <item x="180"/>
        <item x="192"/>
        <item x="72"/>
        <item x="2"/>
        <item x="105"/>
        <item x="519"/>
        <item x="127"/>
        <item x="408"/>
        <item x="617"/>
        <item x="384"/>
        <item x="94"/>
        <item x="303"/>
        <item x="196"/>
        <item x="397"/>
        <item x="3"/>
        <item x="593"/>
        <item x="449"/>
        <item x="457"/>
        <item x="101"/>
        <item x="87"/>
        <item x="66"/>
        <item x="58"/>
        <item x="167"/>
        <item x="109"/>
        <item x="201"/>
        <item x="622"/>
        <item x="268"/>
        <item x="411"/>
        <item x="427"/>
        <item x="333"/>
        <item x="224"/>
        <item x="53"/>
        <item x="137"/>
        <item x="139"/>
        <item x="166"/>
        <item x="238"/>
        <item x="476"/>
        <item x="122"/>
        <item x="81"/>
        <item x="179"/>
        <item x="74"/>
        <item x="252"/>
        <item x="68"/>
        <item x="55"/>
        <item x="299"/>
        <item x="36"/>
        <item x="390"/>
        <item x="123"/>
        <item x="574"/>
        <item x="263"/>
        <item x="609"/>
        <item x="200"/>
        <item x="532"/>
        <item x="212"/>
        <item x="96"/>
        <item x="35"/>
        <item x="85"/>
        <item x="561"/>
        <item x="275"/>
        <item x="383"/>
        <item x="216"/>
        <item x="485"/>
        <item x="285"/>
        <item x="51"/>
        <item x="545"/>
        <item x="106"/>
        <item x="190"/>
        <item x="402"/>
        <item x="86"/>
        <item x="16"/>
        <item x="618"/>
        <item x="15"/>
        <item x="606"/>
        <item x="198"/>
        <item x="531"/>
        <item x="358"/>
        <item x="510"/>
        <item x="269"/>
        <item x="317"/>
        <item x="155"/>
        <item x="311"/>
        <item x="340"/>
        <item x="401"/>
        <item x="235"/>
        <item x="59"/>
        <item x="10"/>
        <item x="580"/>
        <item x="234"/>
        <item x="612"/>
        <item x="566"/>
        <item x="512"/>
        <item x="530"/>
        <item x="462"/>
        <item x="215"/>
        <item x="4"/>
        <item x="393"/>
        <item x="351"/>
        <item x="381"/>
        <item x="364"/>
        <item x="142"/>
        <item x="227"/>
        <item x="248"/>
        <item x="369"/>
        <item x="184"/>
        <item x="526"/>
        <item x="400"/>
        <item x="170"/>
        <item x="504"/>
        <item x="365"/>
        <item x="554"/>
        <item x="162"/>
        <item x="84"/>
        <item x="426"/>
        <item x="189"/>
        <item x="375"/>
        <item x="319"/>
        <item x="447"/>
        <item x="136"/>
        <item x="208"/>
        <item x="236"/>
        <item x="576"/>
        <item x="63"/>
        <item x="564"/>
        <item x="257"/>
        <item x="520"/>
        <item x="395"/>
        <item x="30"/>
        <item x="536"/>
        <item x="610"/>
        <item x="417"/>
        <item x="435"/>
        <item x="382"/>
        <item x="438"/>
        <item x="406"/>
        <item x="185"/>
        <item x="591"/>
        <item x="619"/>
        <item x="99"/>
        <item x="75"/>
        <item x="307"/>
        <item x="195"/>
        <item x="151"/>
        <item x="264"/>
        <item x="380"/>
        <item x="49"/>
        <item x="314"/>
        <item x="246"/>
        <item x="272"/>
        <item x="44"/>
        <item x="343"/>
        <item x="282"/>
        <item x="387"/>
        <item x="392"/>
        <item x="249"/>
        <item x="575"/>
        <item x="350"/>
        <item x="428"/>
        <item x="399"/>
        <item x="6"/>
        <item x="623"/>
        <item x="306"/>
        <item x="479"/>
        <item x="528"/>
        <item x="270"/>
        <item x="548"/>
        <item x="221"/>
        <item x="488"/>
        <item x="325"/>
        <item x="377"/>
        <item x="168"/>
        <item x="553"/>
        <item x="419"/>
        <item x="294"/>
        <item x="39"/>
        <item x="371"/>
        <item x="242"/>
        <item x="516"/>
        <item x="154"/>
        <item x="284"/>
        <item x="587"/>
        <item x="441"/>
        <item x="463"/>
        <item x="602"/>
        <item x="578"/>
        <item x="50"/>
        <item x="218"/>
        <item x="484"/>
        <item x="513"/>
        <item x="549"/>
        <item x="243"/>
        <item x="70"/>
        <item x="511"/>
        <item x="460"/>
        <item x="522"/>
        <item x="211"/>
        <item x="194"/>
        <item x="31"/>
        <item x="527"/>
        <item x="206"/>
        <item x="420"/>
        <item x="241"/>
        <item x="64"/>
        <item x="439"/>
        <item x="203"/>
        <item x="615"/>
        <item x="483"/>
        <item x="38"/>
        <item x="506"/>
        <item x="461"/>
        <item x="7"/>
        <item x="494"/>
        <item x="138"/>
        <item x="573"/>
        <item x="169"/>
        <item x="174"/>
        <item x="297"/>
        <item x="186"/>
        <item x="113"/>
        <item x="143"/>
        <item x="140"/>
        <item x="608"/>
        <item x="273"/>
        <item x="271"/>
        <item x="571"/>
        <item x="620"/>
        <item x="228"/>
        <item x="421"/>
        <item x="147"/>
        <item x="161"/>
        <item x="409"/>
        <item x="291"/>
        <item x="370"/>
        <item x="542"/>
        <item x="239"/>
        <item x="89"/>
        <item x="262"/>
        <item x="45"/>
        <item x="598"/>
        <item x="353"/>
        <item x="583"/>
        <item x="316"/>
        <item x="172"/>
        <item x="327"/>
        <item x="302"/>
        <item x="410"/>
        <item x="60"/>
        <item x="318"/>
        <item x="133"/>
        <item x="596"/>
        <item x="468"/>
        <item x="240"/>
        <item x="25"/>
        <item x="469"/>
        <item x="256"/>
        <item x="599"/>
        <item x="467"/>
        <item x="79"/>
        <item x="124"/>
        <item x="562"/>
        <item x="232"/>
        <item x="41"/>
        <item x="352"/>
        <item x="119"/>
        <item x="292"/>
        <item x="552"/>
        <item x="78"/>
        <item x="160"/>
        <item x="9"/>
        <item x="91"/>
        <item x="459"/>
        <item x="209"/>
        <item x="276"/>
        <item x="584"/>
        <item x="40"/>
        <item x="412"/>
        <item x="26"/>
        <item x="111"/>
        <item x="547"/>
        <item x="22"/>
        <item x="12"/>
        <item x="585"/>
        <item x="339"/>
        <item x="188"/>
        <item x="518"/>
        <item x="83"/>
        <item x="251"/>
        <item x="524"/>
        <item x="503"/>
        <item x="418"/>
        <item x="360"/>
        <item x="97"/>
        <item x="515"/>
        <item x="357"/>
        <item x="296"/>
        <item x="308"/>
        <item x="300"/>
        <item x="283"/>
        <item x="42"/>
        <item x="197"/>
        <item x="61"/>
        <item x="183"/>
        <item x="465"/>
        <item x="453"/>
        <item x="165"/>
        <item x="341"/>
        <item x="148"/>
        <item x="92"/>
        <item x="144"/>
        <item x="331"/>
        <item x="582"/>
        <item x="312"/>
        <item x="525"/>
        <item x="455"/>
        <item x="126"/>
        <item x="456"/>
        <item x="376"/>
        <item x="164"/>
        <item x="328"/>
        <item x="46"/>
        <item x="486"/>
        <item x="614"/>
        <item x="67"/>
        <item x="424"/>
        <item x="489"/>
        <item x="464"/>
        <item x="567"/>
        <item x="332"/>
        <item x="448"/>
        <item x="558"/>
        <item x="80"/>
        <item x="32"/>
        <item x="202"/>
        <item x="62"/>
        <item x="490"/>
        <item x="473"/>
        <item x="386"/>
        <item x="173"/>
        <item x="337"/>
        <item x="237"/>
        <item x="247"/>
        <item x="355"/>
        <item x="281"/>
        <item x="214"/>
        <item x="301"/>
        <item x="233"/>
        <item x="199"/>
        <item x="559"/>
        <item x="118"/>
        <item x="260"/>
        <item x="405"/>
        <item x="359"/>
        <item x="159"/>
        <item x="90"/>
        <item x="175"/>
        <item x="57"/>
        <item x="48"/>
        <item x="508"/>
        <item x="437"/>
        <item x="625"/>
        <item x="267"/>
        <item x="107"/>
        <item x="226"/>
        <item x="258"/>
        <item x="535"/>
        <item x="374"/>
        <item x="261"/>
        <item x="278"/>
        <item x="77"/>
        <item x="309"/>
        <item x="104"/>
        <item x="533"/>
        <item x="280"/>
        <item x="474"/>
        <item x="313"/>
        <item x="219"/>
        <item x="628"/>
        <item x="315"/>
        <item x="556"/>
        <item x="475"/>
        <item x="157"/>
        <item x="335"/>
        <item x="611"/>
        <item x="17"/>
        <item x="600"/>
        <item x="539"/>
        <item x="141"/>
        <item x="348"/>
        <item x="149"/>
        <item x="345"/>
        <item x="546"/>
        <item x="181"/>
        <item x="429"/>
        <item x="210"/>
        <item x="310"/>
        <item x="509"/>
        <item x="329"/>
        <item x="577"/>
        <item x="176"/>
        <item x="534"/>
        <item x="266"/>
        <item x="444"/>
        <item x="217"/>
        <item x="422"/>
        <item x="425"/>
        <item x="103"/>
        <item x="572"/>
        <item x="579"/>
        <item x="128"/>
        <item x="213"/>
        <item x="288"/>
        <item x="110"/>
        <item x="346"/>
        <item x="222"/>
        <item x="279"/>
        <item x="21"/>
        <item x="466"/>
        <item x="5"/>
        <item x="482"/>
        <item x="537"/>
        <item x="450"/>
        <item x="250"/>
        <item x="624"/>
        <item x="366"/>
        <item x="274"/>
        <item x="347"/>
        <item x="8"/>
        <item x="454"/>
        <item x="433"/>
        <item x="495"/>
        <item x="29"/>
        <item x="517"/>
        <item x="487"/>
        <item x="394"/>
        <item x="550"/>
        <item x="326"/>
        <item x="586"/>
        <item x="507"/>
        <item x="440"/>
        <item x="163"/>
        <item x="478"/>
        <item x="604"/>
        <item x="413"/>
        <item x="245"/>
        <item x="499"/>
        <item x="135"/>
        <item x="0"/>
        <item x="551"/>
        <item x="389"/>
        <item x="500"/>
        <item x="445"/>
        <item x="372"/>
        <item x="76"/>
        <item x="446"/>
        <item x="589"/>
        <item x="592"/>
        <item x="191"/>
        <item x="430"/>
        <item x="121"/>
        <item x="277"/>
        <item x="630"/>
        <item x="496"/>
        <item x="472"/>
        <item x="37"/>
        <item x="18"/>
        <item x="23"/>
        <item x="336"/>
        <item x="568"/>
        <item x="481"/>
        <item x="253"/>
        <item x="621"/>
        <item x="153"/>
        <item x="225"/>
        <item x="436"/>
        <item x="43"/>
        <item x="182"/>
        <item x="588"/>
        <item x="396"/>
        <item x="470"/>
        <item x="398"/>
        <item x="565"/>
        <item x="205"/>
        <item x="502"/>
        <item x="71"/>
        <item x="334"/>
        <item x="594"/>
        <item x="108"/>
        <item x="69"/>
        <item x="471"/>
        <item x="570"/>
        <item x="354"/>
        <item x="356"/>
        <item x="569"/>
        <item x="290"/>
        <item x="117"/>
        <item x="19"/>
        <item x="415"/>
        <item x="145"/>
        <item x="603"/>
        <item x="33"/>
        <item x="627"/>
        <item x="88"/>
        <item x="493"/>
        <item x="443"/>
        <item x="349"/>
        <item x="480"/>
        <item x="28"/>
        <item x="115"/>
        <item x="458"/>
        <item x="597"/>
        <item x="82"/>
        <item x="220"/>
        <item x="287"/>
        <item x="523"/>
        <item x="403"/>
        <item x="204"/>
        <item x="629"/>
        <item x="330"/>
        <item x="442"/>
        <item x="362"/>
        <item x="231"/>
        <item x="171"/>
        <item x="563"/>
        <item x="93"/>
        <item x="557"/>
        <item x="207"/>
        <item x="34"/>
        <item x="514"/>
        <item x="158"/>
        <item x="498"/>
        <item x="304"/>
        <item x="120"/>
        <item x="295"/>
        <item x="505"/>
        <item x="368"/>
        <item x="344"/>
        <item x="129"/>
        <item x="521"/>
        <item x="555"/>
        <item x="322"/>
        <item x="378"/>
        <item x="24"/>
        <item x="544"/>
        <item x="452"/>
        <item x="156"/>
        <item x="391"/>
        <item x="595"/>
        <item x="379"/>
        <item x="367"/>
        <item x="607"/>
        <item x="95"/>
        <item x="178"/>
        <item x="541"/>
        <item x="538"/>
        <item x="13"/>
        <item x="491"/>
        <item x="451"/>
        <item x="342"/>
        <item x="102"/>
        <item x="254"/>
        <item x="320"/>
        <item x="20"/>
        <item x="414"/>
        <item x="616"/>
        <item x="431"/>
        <item x="130"/>
        <item x="223"/>
        <item x="56"/>
        <item x="324"/>
        <item x="293"/>
        <item x="305"/>
        <item x="581"/>
        <item x="613"/>
        <item x="529"/>
        <item x="255"/>
        <item x="100"/>
        <item x="47"/>
        <item t="default"/>
      </items>
    </pivotField>
    <pivotField compact="0" defaultSubtotal="0" showAll="0">
      <items count="5">
        <item x="0"/>
        <item x="4"/>
        <item x="1"/>
        <item x="2"/>
        <item x="3"/>
      </items>
    </pivotField>
  </pivotFields>
  <rowFields count="1">
    <field x="14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Distinct Count of OrderID" fld="0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  <dataField name="Sum of GrossRevenue" fld="27" baseField="0" baseItem="0" numFmtId="186"/>
    <dataField name="Sum of GrossProfit" fld="30" baseField="0" baseItem="0"/>
    <dataField name="Distinct Count of Month " fld="2" subtotal="count" baseField="0" baseItem="0">
      <extLst>
        <ext xmlns:x15="http://schemas.microsoft.com/office/spreadsheetml/2010/11/main" uri="{7CF550CB-189D-48D3-9E9B-32AAC01CA825}">
          <x15:dataField isCountDistinct="1"/>
        </ext>
      </extLst>
    </dataField>
  </dataFields>
  <formats count="3">
    <format dxfId="444">
      <pivotArea collapsedLevelsAreSubtotals="1" fieldPosition="0">
        <references count="1">
          <reference field="4294967294" count="1" selected="0">
            <x v="2"/>
          </reference>
        </references>
      </pivotArea>
    </format>
    <format dxfId="445">
      <pivotArea collapsedLevelsAreSubtotals="1" fieldPosition="0">
        <references count="2">
          <reference field="4294967294" count="1" selected="0">
            <x v="1"/>
          </reference>
          <reference field="14" count="1" selected="0">
            <x v="1"/>
          </reference>
        </references>
      </pivotArea>
    </format>
    <format dxfId="446">
      <pivotArea collapsedLevelsAreSubtotals="1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A3:C32" firstHeaderRow="1" firstDataRow="1" firstDataCol="2"/>
  <pivotFields count="34">
    <pivotField compact="0" showAll="0">
      <items count="632">
        <item x="605"/>
        <item x="449"/>
        <item x="7"/>
        <item x="518"/>
        <item x="573"/>
        <item x="46"/>
        <item x="367"/>
        <item x="201"/>
        <item x="551"/>
        <item x="324"/>
        <item x="438"/>
        <item x="166"/>
        <item x="80"/>
        <item x="361"/>
        <item x="328"/>
        <item x="300"/>
        <item x="453"/>
        <item x="577"/>
        <item x="193"/>
        <item x="122"/>
        <item x="332"/>
        <item x="439"/>
        <item x="457"/>
        <item x="148"/>
        <item x="224"/>
        <item x="190"/>
        <item x="347"/>
        <item x="278"/>
        <item x="350"/>
        <item x="535"/>
        <item x="54"/>
        <item x="65"/>
        <item x="163"/>
        <item x="470"/>
        <item x="580"/>
        <item x="625"/>
        <item x="106"/>
        <item x="269"/>
        <item x="256"/>
        <item x="89"/>
        <item x="339"/>
        <item x="24"/>
        <item x="220"/>
        <item x="281"/>
        <item x="250"/>
        <item x="376"/>
        <item x="540"/>
        <item x="172"/>
        <item x="225"/>
        <item x="78"/>
        <item x="49"/>
        <item x="603"/>
        <item x="226"/>
        <item x="168"/>
        <item x="45"/>
        <item x="144"/>
        <item x="183"/>
        <item x="574"/>
        <item x="81"/>
        <item x="512"/>
        <item x="562"/>
        <item x="315"/>
        <item x="391"/>
        <item x="288"/>
        <item x="272"/>
        <item x="2"/>
        <item x="92"/>
        <item x="292"/>
        <item x="434"/>
        <item x="585"/>
        <item x="199"/>
        <item x="74"/>
        <item x="363"/>
        <item x="204"/>
        <item x="185"/>
        <item x="497"/>
        <item x="52"/>
        <item x="99"/>
        <item x="118"/>
        <item x="132"/>
        <item x="215"/>
        <item x="495"/>
        <item x="171"/>
        <item x="613"/>
        <item x="543"/>
        <item x="629"/>
        <item x="520"/>
        <item x="547"/>
        <item x="255"/>
        <item x="351"/>
        <item x="64"/>
        <item x="546"/>
        <item x="151"/>
        <item x="223"/>
        <item x="615"/>
        <item x="239"/>
        <item x="260"/>
        <item x="129"/>
        <item x="532"/>
        <item x="326"/>
        <item x="459"/>
        <item x="371"/>
        <item x="66"/>
        <item x="626"/>
        <item x="604"/>
        <item x="624"/>
        <item x="31"/>
        <item x="515"/>
        <item x="477"/>
        <item x="344"/>
        <item x="499"/>
        <item x="197"/>
        <item x="121"/>
        <item x="445"/>
        <item x="455"/>
        <item x="202"/>
        <item x="474"/>
        <item x="301"/>
        <item x="382"/>
        <item x="152"/>
        <item x="485"/>
        <item x="296"/>
        <item x="124"/>
        <item x="229"/>
        <item x="478"/>
        <item x="284"/>
        <item x="137"/>
        <item x="216"/>
        <item x="387"/>
        <item x="591"/>
        <item x="316"/>
        <item x="537"/>
        <item x="419"/>
        <item x="261"/>
        <item x="266"/>
        <item x="259"/>
        <item x="528"/>
        <item x="39"/>
        <item x="213"/>
        <item x="431"/>
        <item x="337"/>
        <item x="176"/>
        <item x="609"/>
        <item x="291"/>
        <item x="408"/>
        <item x="384"/>
        <item x="596"/>
        <item x="526"/>
        <item x="198"/>
        <item x="460"/>
        <item x="221"/>
        <item x="576"/>
        <item x="279"/>
        <item x="75"/>
        <item x="5"/>
        <item x="589"/>
        <item x="466"/>
        <item x="412"/>
        <item x="349"/>
        <item x="501"/>
        <item x="243"/>
        <item x="68"/>
        <item x="436"/>
        <item x="619"/>
        <item x="340"/>
        <item x="444"/>
        <item x="450"/>
        <item x="476"/>
        <item x="437"/>
        <item x="69"/>
        <item x="539"/>
        <item x="369"/>
        <item x="4"/>
        <item x="338"/>
        <item x="145"/>
        <item x="187"/>
        <item x="318"/>
        <item x="388"/>
        <item x="85"/>
        <item x="154"/>
        <item x="441"/>
        <item x="160"/>
        <item x="404"/>
        <item x="370"/>
        <item x="581"/>
        <item x="35"/>
        <item x="507"/>
        <item x="483"/>
        <item x="135"/>
        <item x="21"/>
        <item x="570"/>
        <item x="95"/>
        <item x="115"/>
        <item x="456"/>
        <item x="125"/>
        <item x="308"/>
        <item x="165"/>
        <item x="623"/>
        <item x="258"/>
        <item x="321"/>
        <item x="311"/>
        <item x="28"/>
        <item x="346"/>
        <item x="140"/>
        <item x="142"/>
        <item x="509"/>
        <item x="205"/>
        <item x="627"/>
        <item x="192"/>
        <item x="393"/>
        <item x="469"/>
        <item x="411"/>
        <item x="15"/>
        <item x="331"/>
        <item x="233"/>
        <item x="228"/>
        <item x="555"/>
        <item x="542"/>
        <item x="628"/>
        <item x="237"/>
        <item x="267"/>
        <item x="538"/>
        <item x="114"/>
        <item x="414"/>
        <item x="178"/>
        <item x="396"/>
        <item x="479"/>
        <item x="336"/>
        <item x="164"/>
        <item x="155"/>
        <item x="549"/>
        <item x="325"/>
        <item x="105"/>
        <item x="134"/>
        <item x="309"/>
        <item x="109"/>
        <item x="34"/>
        <item x="401"/>
        <item x="30"/>
        <item x="79"/>
        <item x="214"/>
        <item x="153"/>
        <item x="458"/>
        <item x="548"/>
        <item x="16"/>
        <item x="322"/>
        <item x="523"/>
        <item x="297"/>
        <item x="564"/>
        <item x="480"/>
        <item x="10"/>
        <item x="147"/>
        <item x="191"/>
        <item x="25"/>
        <item x="162"/>
        <item x="251"/>
        <item x="111"/>
        <item x="353"/>
        <item x="139"/>
        <item x="181"/>
        <item x="586"/>
        <item x="489"/>
        <item x="63"/>
        <item x="560"/>
        <item x="392"/>
        <item x="454"/>
        <item x="51"/>
        <item x="607"/>
        <item x="0"/>
        <item x="287"/>
        <item x="234"/>
        <item x="107"/>
        <item x="70"/>
        <item x="57"/>
        <item x="41"/>
        <item x="252"/>
        <item x="390"/>
        <item x="504"/>
        <item x="247"/>
        <item x="167"/>
        <item x="561"/>
        <item x="610"/>
        <item x="334"/>
        <item x="341"/>
        <item x="6"/>
        <item x="612"/>
        <item x="362"/>
        <item x="67"/>
        <item x="253"/>
        <item x="536"/>
        <item x="572"/>
        <item x="461"/>
        <item x="161"/>
        <item x="1"/>
        <item x="524"/>
        <item x="283"/>
        <item x="486"/>
        <item x="410"/>
        <item x="429"/>
        <item x="484"/>
        <item x="143"/>
        <item x="44"/>
        <item x="405"/>
        <item x="383"/>
        <item x="517"/>
        <item x="310"/>
        <item x="545"/>
        <item x="231"/>
        <item x="313"/>
        <item x="494"/>
        <item x="568"/>
        <item x="149"/>
        <item x="594"/>
        <item x="194"/>
        <item x="440"/>
        <item x="76"/>
        <item x="77"/>
        <item x="413"/>
        <item x="50"/>
        <item x="521"/>
        <item x="423"/>
        <item x="117"/>
        <item x="103"/>
        <item x="578"/>
        <item x="274"/>
        <item x="23"/>
        <item x="265"/>
        <item x="323"/>
        <item x="188"/>
        <item x="464"/>
        <item x="443"/>
        <item x="356"/>
        <item x="424"/>
        <item x="492"/>
        <item x="386"/>
        <item x="529"/>
        <item x="554"/>
        <item x="409"/>
        <item x="245"/>
        <item x="47"/>
        <item x="600"/>
        <item x="157"/>
        <item x="558"/>
        <item x="448"/>
        <item x="500"/>
        <item x="232"/>
        <item x="335"/>
        <item x="587"/>
        <item x="493"/>
        <item x="277"/>
        <item x="433"/>
        <item x="126"/>
        <item x="598"/>
        <item x="123"/>
        <item x="8"/>
        <item x="582"/>
        <item x="86"/>
        <item x="38"/>
        <item x="88"/>
        <item x="128"/>
        <item x="170"/>
        <item x="400"/>
        <item x="541"/>
        <item x="33"/>
        <item x="40"/>
        <item x="97"/>
        <item x="184"/>
        <item x="475"/>
        <item x="342"/>
        <item x="472"/>
        <item x="430"/>
        <item x="415"/>
        <item x="249"/>
        <item x="195"/>
        <item x="402"/>
        <item x="209"/>
        <item x="557"/>
        <item x="207"/>
        <item x="583"/>
        <item x="373"/>
        <item x="36"/>
        <item x="359"/>
        <item x="527"/>
        <item x="320"/>
        <item x="217"/>
        <item x="496"/>
        <item x="506"/>
        <item x="611"/>
        <item x="442"/>
        <item x="271"/>
        <item x="418"/>
        <item x="618"/>
        <item x="189"/>
        <item x="156"/>
        <item x="567"/>
        <item x="104"/>
        <item x="508"/>
        <item x="218"/>
        <item x="138"/>
        <item x="465"/>
        <item x="26"/>
        <item x="295"/>
        <item x="490"/>
        <item x="108"/>
        <item x="20"/>
        <item x="73"/>
        <item x="235"/>
        <item x="427"/>
        <item x="621"/>
        <item x="365"/>
        <item x="319"/>
        <item x="522"/>
        <item x="273"/>
        <item x="136"/>
        <item x="432"/>
        <item x="608"/>
        <item x="101"/>
        <item x="451"/>
        <item x="244"/>
        <item x="27"/>
        <item x="254"/>
        <item x="286"/>
        <item x="242"/>
        <item x="374"/>
        <item x="559"/>
        <item x="303"/>
        <item x="268"/>
        <item x="447"/>
        <item x="13"/>
        <item x="358"/>
        <item x="519"/>
        <item x="343"/>
        <item x="238"/>
        <item x="345"/>
        <item x="141"/>
        <item x="60"/>
        <item x="599"/>
        <item x="110"/>
        <item x="352"/>
        <item x="112"/>
        <item x="354"/>
        <item x="312"/>
        <item x="616"/>
        <item x="72"/>
        <item x="169"/>
        <item x="592"/>
        <item x="275"/>
        <item x="177"/>
        <item x="510"/>
        <item x="357"/>
        <item x="511"/>
        <item x="48"/>
        <item x="196"/>
        <item x="174"/>
        <item x="435"/>
        <item x="398"/>
        <item x="487"/>
        <item x="565"/>
        <item x="211"/>
        <item x="426"/>
        <item x="93"/>
        <item x="42"/>
        <item x="200"/>
        <item x="82"/>
        <item x="364"/>
        <item x="236"/>
        <item x="513"/>
        <item x="304"/>
        <item x="206"/>
        <item x="534"/>
        <item x="617"/>
        <item x="579"/>
        <item x="3"/>
        <item x="569"/>
        <item x="571"/>
        <item x="120"/>
        <item x="257"/>
        <item x="375"/>
        <item x="601"/>
        <item x="299"/>
        <item x="379"/>
        <item x="417"/>
        <item x="314"/>
        <item x="17"/>
        <item x="146"/>
        <item x="150"/>
        <item x="584"/>
        <item x="248"/>
        <item x="482"/>
        <item x="488"/>
        <item x="606"/>
        <item x="96"/>
        <item x="372"/>
        <item x="420"/>
        <item x="302"/>
        <item x="588"/>
        <item x="575"/>
        <item x="227"/>
        <item x="462"/>
        <item x="368"/>
        <item x="533"/>
        <item x="333"/>
        <item x="100"/>
        <item x="84"/>
        <item x="502"/>
        <item x="553"/>
        <item x="552"/>
        <item x="133"/>
        <item x="306"/>
        <item x="294"/>
        <item x="416"/>
        <item x="307"/>
        <item x="481"/>
        <item x="452"/>
        <item x="159"/>
        <item x="550"/>
        <item x="263"/>
        <item x="525"/>
        <item x="446"/>
        <item x="505"/>
        <item x="32"/>
        <item x="348"/>
        <item x="270"/>
        <item x="389"/>
        <item x="394"/>
        <item x="293"/>
        <item x="12"/>
        <item x="83"/>
        <item x="463"/>
        <item x="131"/>
        <item x="240"/>
        <item x="407"/>
        <item x="11"/>
        <item x="62"/>
        <item x="91"/>
        <item x="614"/>
        <item x="127"/>
        <item x="285"/>
        <item x="98"/>
        <item x="186"/>
        <item x="29"/>
        <item x="212"/>
        <item x="53"/>
        <item x="22"/>
        <item x="210"/>
        <item x="397"/>
        <item x="360"/>
        <item x="399"/>
        <item x="366"/>
        <item x="90"/>
        <item x="208"/>
        <item x="514"/>
        <item x="377"/>
        <item x="58"/>
        <item x="71"/>
        <item x="241"/>
        <item x="113"/>
        <item x="622"/>
        <item x="130"/>
        <item x="421"/>
        <item x="179"/>
        <item x="329"/>
        <item x="563"/>
        <item x="102"/>
        <item x="180"/>
        <item x="428"/>
        <item x="395"/>
        <item x="276"/>
        <item x="222"/>
        <item x="503"/>
        <item x="473"/>
        <item x="597"/>
        <item x="280"/>
        <item x="116"/>
        <item x="173"/>
        <item x="491"/>
        <item x="595"/>
        <item x="37"/>
        <item x="94"/>
        <item x="630"/>
        <item x="330"/>
        <item x="19"/>
        <item x="602"/>
        <item x="290"/>
        <item x="230"/>
        <item x="219"/>
        <item x="59"/>
        <item x="55"/>
        <item x="158"/>
        <item x="531"/>
        <item x="327"/>
        <item x="61"/>
        <item x="471"/>
        <item x="381"/>
        <item x="467"/>
        <item x="425"/>
        <item x="43"/>
        <item x="380"/>
        <item x="498"/>
        <item x="516"/>
        <item x="422"/>
        <item x="14"/>
        <item x="18"/>
        <item x="175"/>
        <item x="593"/>
        <item x="317"/>
        <item x="87"/>
        <item x="385"/>
        <item x="556"/>
        <item x="406"/>
        <item x="264"/>
        <item x="182"/>
        <item x="620"/>
        <item x="262"/>
        <item x="403"/>
        <item x="378"/>
        <item x="289"/>
        <item x="530"/>
        <item x="566"/>
        <item x="56"/>
        <item x="298"/>
        <item x="305"/>
        <item x="246"/>
        <item x="468"/>
        <item x="355"/>
        <item x="119"/>
        <item x="544"/>
        <item x="203"/>
        <item x="282"/>
        <item x="590"/>
        <item x="9"/>
        <item t="default"/>
      </items>
    </pivotField>
    <pivotField compact="0" numFmtId="17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3">
        <item x="4"/>
        <item x="2"/>
        <item x="0"/>
        <item x="7"/>
        <item x="5"/>
        <item x="9"/>
        <item x="8"/>
        <item x="11"/>
        <item x="6"/>
        <item x="1"/>
        <item x="10"/>
        <item x="3"/>
        <item t="default"/>
      </items>
    </pivotField>
    <pivotField compact="0" showAll="0">
      <items count="469">
        <item x="5"/>
        <item x="455"/>
        <item x="271"/>
        <item x="415"/>
        <item x="181"/>
        <item x="7"/>
        <item x="371"/>
        <item x="184"/>
        <item x="119"/>
        <item x="424"/>
        <item x="122"/>
        <item x="171"/>
        <item x="180"/>
        <item x="312"/>
        <item x="23"/>
        <item x="77"/>
        <item x="426"/>
        <item x="62"/>
        <item x="152"/>
        <item x="147"/>
        <item x="361"/>
        <item x="29"/>
        <item x="159"/>
        <item x="452"/>
        <item x="2"/>
        <item x="107"/>
        <item x="432"/>
        <item x="226"/>
        <item x="336"/>
        <item x="206"/>
        <item x="315"/>
        <item x="211"/>
        <item x="342"/>
        <item x="64"/>
        <item x="278"/>
        <item x="150"/>
        <item x="33"/>
        <item x="50"/>
        <item x="451"/>
        <item x="163"/>
        <item x="89"/>
        <item x="458"/>
        <item x="125"/>
        <item x="290"/>
        <item x="27"/>
        <item x="387"/>
        <item x="153"/>
        <item x="43"/>
        <item x="67"/>
        <item x="460"/>
        <item x="15"/>
        <item x="441"/>
        <item x="410"/>
        <item x="129"/>
        <item x="449"/>
        <item x="177"/>
        <item x="275"/>
        <item x="239"/>
        <item x="406"/>
        <item x="20"/>
        <item x="382"/>
        <item x="362"/>
        <item x="72"/>
        <item x="207"/>
        <item x="373"/>
        <item x="234"/>
        <item x="328"/>
        <item x="408"/>
        <item x="446"/>
        <item x="308"/>
        <item x="109"/>
        <item x="280"/>
        <item x="367"/>
        <item x="75"/>
        <item x="251"/>
        <item x="37"/>
        <item x="264"/>
        <item x="169"/>
        <item x="44"/>
        <item x="87"/>
        <item x="85"/>
        <item x="306"/>
        <item x="186"/>
        <item x="140"/>
        <item x="133"/>
        <item x="422"/>
        <item x="425"/>
        <item x="376"/>
        <item x="47"/>
        <item x="289"/>
        <item x="386"/>
        <item x="256"/>
        <item x="172"/>
        <item x="370"/>
        <item x="245"/>
        <item x="288"/>
        <item x="131"/>
        <item x="203"/>
        <item x="443"/>
        <item x="242"/>
        <item x="235"/>
        <item x="174"/>
        <item x="389"/>
        <item x="115"/>
        <item x="183"/>
        <item x="419"/>
        <item x="66"/>
        <item x="114"/>
        <item x="260"/>
        <item x="417"/>
        <item x="343"/>
        <item x="200"/>
        <item x="161"/>
        <item x="345"/>
        <item x="52"/>
        <item x="429"/>
        <item x="137"/>
        <item x="459"/>
        <item x="73"/>
        <item x="216"/>
        <item x="364"/>
        <item x="158"/>
        <item x="199"/>
        <item x="323"/>
        <item x="204"/>
        <item x="231"/>
        <item x="155"/>
        <item x="327"/>
        <item x="233"/>
        <item x="348"/>
        <item x="176"/>
        <item x="358"/>
        <item x="259"/>
        <item x="282"/>
        <item x="391"/>
        <item x="324"/>
        <item x="250"/>
        <item x="143"/>
        <item x="193"/>
        <item x="276"/>
        <item x="285"/>
        <item x="112"/>
        <item x="106"/>
        <item x="214"/>
        <item x="134"/>
        <item x="294"/>
        <item x="297"/>
        <item x="63"/>
        <item x="374"/>
        <item x="4"/>
        <item x="141"/>
        <item x="340"/>
        <item x="380"/>
        <item x="202"/>
        <item x="195"/>
        <item x="295"/>
        <item x="81"/>
        <item x="240"/>
        <item x="311"/>
        <item x="423"/>
        <item x="113"/>
        <item x="360"/>
        <item x="300"/>
        <item x="279"/>
        <item x="435"/>
        <item x="241"/>
        <item x="39"/>
        <item x="182"/>
        <item x="94"/>
        <item x="347"/>
        <item x="303"/>
        <item x="13"/>
        <item x="84"/>
        <item x="436"/>
        <item x="247"/>
        <item x="10"/>
        <item x="145"/>
        <item x="162"/>
        <item x="383"/>
        <item x="437"/>
        <item x="179"/>
        <item x="128"/>
        <item x="221"/>
        <item x="292"/>
        <item x="142"/>
        <item x="351"/>
        <item x="439"/>
        <item x="354"/>
        <item x="352"/>
        <item x="194"/>
        <item x="397"/>
        <item x="263"/>
        <item x="314"/>
        <item x="428"/>
        <item x="220"/>
        <item x="34"/>
        <item x="307"/>
        <item x="58"/>
        <item x="0"/>
        <item x="450"/>
        <item x="227"/>
        <item x="246"/>
        <item x="68"/>
        <item x="363"/>
        <item x="265"/>
        <item x="248"/>
        <item x="215"/>
        <item x="244"/>
        <item x="149"/>
        <item x="136"/>
        <item x="403"/>
        <item x="82"/>
        <item x="286"/>
        <item x="70"/>
        <item x="413"/>
        <item x="31"/>
        <item x="36"/>
        <item x="395"/>
        <item x="412"/>
        <item x="400"/>
        <item x="230"/>
        <item x="372"/>
        <item x="8"/>
        <item x="375"/>
        <item x="322"/>
        <item x="385"/>
        <item x="393"/>
        <item x="45"/>
        <item x="313"/>
        <item x="22"/>
        <item x="173"/>
        <item x="42"/>
        <item x="98"/>
        <item x="65"/>
        <item x="154"/>
        <item x="398"/>
        <item x="91"/>
        <item x="118"/>
        <item x="101"/>
        <item x="368"/>
        <item x="151"/>
        <item x="416"/>
        <item x="344"/>
        <item x="116"/>
        <item x="274"/>
        <item x="102"/>
        <item x="103"/>
        <item x="369"/>
        <item x="132"/>
        <item x="249"/>
        <item x="269"/>
        <item x="304"/>
        <item x="463"/>
        <item x="104"/>
        <item x="24"/>
        <item x="411"/>
        <item x="287"/>
        <item x="293"/>
        <item x="157"/>
        <item x="320"/>
        <item x="26"/>
        <item x="334"/>
        <item x="19"/>
        <item x="465"/>
        <item x="228"/>
        <item x="453"/>
        <item x="447"/>
        <item x="399"/>
        <item x="144"/>
        <item x="298"/>
        <item x="326"/>
        <item x="175"/>
        <item x="99"/>
        <item x="421"/>
        <item x="456"/>
        <item x="353"/>
        <item x="396"/>
        <item x="365"/>
        <item x="32"/>
        <item x="38"/>
        <item x="74"/>
        <item x="341"/>
        <item x="434"/>
        <item x="225"/>
        <item x="209"/>
        <item x="210"/>
        <item x="331"/>
        <item x="255"/>
        <item x="191"/>
        <item x="187"/>
        <item x="212"/>
        <item x="97"/>
        <item x="197"/>
        <item x="178"/>
        <item x="138"/>
        <item x="366"/>
        <item x="189"/>
        <item x="166"/>
        <item x="88"/>
        <item x="238"/>
        <item x="156"/>
        <item x="407"/>
        <item x="196"/>
        <item x="464"/>
        <item x="46"/>
        <item x="100"/>
        <item x="49"/>
        <item x="462"/>
        <item x="168"/>
        <item x="1"/>
        <item x="404"/>
        <item x="40"/>
        <item x="229"/>
        <item x="291"/>
        <item x="148"/>
        <item x="356"/>
        <item x="61"/>
        <item x="273"/>
        <item x="333"/>
        <item x="48"/>
        <item x="299"/>
        <item x="223"/>
        <item x="444"/>
        <item x="405"/>
        <item x="392"/>
        <item x="127"/>
        <item x="76"/>
        <item x="379"/>
        <item x="302"/>
        <item x="461"/>
        <item x="25"/>
        <item x="219"/>
        <item x="96"/>
        <item x="430"/>
        <item x="390"/>
        <item x="16"/>
        <item x="330"/>
        <item x="126"/>
        <item x="71"/>
        <item x="55"/>
        <item x="337"/>
        <item x="124"/>
        <item x="130"/>
        <item x="359"/>
        <item x="6"/>
        <item x="357"/>
        <item x="272"/>
        <item x="11"/>
        <item x="409"/>
        <item x="316"/>
        <item x="123"/>
        <item x="420"/>
        <item x="283"/>
        <item x="170"/>
        <item x="105"/>
        <item x="335"/>
        <item x="51"/>
        <item x="266"/>
        <item x="93"/>
        <item x="192"/>
        <item x="318"/>
        <item x="167"/>
        <item x="185"/>
        <item x="317"/>
        <item x="414"/>
        <item x="54"/>
        <item x="120"/>
        <item x="146"/>
        <item x="433"/>
        <item x="454"/>
        <item x="243"/>
        <item x="338"/>
        <item x="349"/>
        <item x="467"/>
        <item x="121"/>
        <item x="12"/>
        <item x="339"/>
        <item x="402"/>
        <item x="418"/>
        <item x="252"/>
        <item x="310"/>
        <item x="309"/>
        <item x="381"/>
        <item x="401"/>
        <item x="80"/>
        <item x="3"/>
        <item x="258"/>
        <item x="95"/>
        <item x="277"/>
        <item x="254"/>
        <item x="53"/>
        <item x="28"/>
        <item x="69"/>
        <item x="377"/>
        <item x="261"/>
        <item x="332"/>
        <item x="440"/>
        <item x="160"/>
        <item x="139"/>
        <item x="448"/>
        <item x="222"/>
        <item x="79"/>
        <item x="208"/>
        <item x="60"/>
        <item x="86"/>
        <item x="57"/>
        <item x="355"/>
        <item x="267"/>
        <item x="321"/>
        <item x="78"/>
        <item x="394"/>
        <item x="217"/>
        <item x="253"/>
        <item x="270"/>
        <item x="281"/>
        <item x="9"/>
        <item x="329"/>
        <item x="41"/>
        <item x="262"/>
        <item x="108"/>
        <item x="346"/>
        <item x="56"/>
        <item x="21"/>
        <item x="325"/>
        <item x="296"/>
        <item x="111"/>
        <item x="236"/>
        <item x="268"/>
        <item x="35"/>
        <item x="305"/>
        <item x="438"/>
        <item x="232"/>
        <item x="350"/>
        <item x="110"/>
        <item x="445"/>
        <item x="190"/>
        <item x="201"/>
        <item x="213"/>
        <item x="466"/>
        <item x="18"/>
        <item x="188"/>
        <item x="92"/>
        <item x="319"/>
        <item x="30"/>
        <item x="378"/>
        <item x="90"/>
        <item x="218"/>
        <item x="442"/>
        <item x="117"/>
        <item x="431"/>
        <item x="83"/>
        <item x="205"/>
        <item x="457"/>
        <item x="384"/>
        <item x="301"/>
        <item x="427"/>
        <item x="164"/>
        <item x="198"/>
        <item x="257"/>
        <item x="388"/>
        <item x="14"/>
        <item x="237"/>
        <item x="17"/>
        <item x="59"/>
        <item x="135"/>
        <item x="224"/>
        <item x="284"/>
        <item x="165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numFmtId="181" showAll="0">
      <items count="470">
        <item x="5"/>
        <item x="7"/>
        <item x="185"/>
        <item x="199"/>
        <item x="411"/>
        <item x="270"/>
        <item x="125"/>
        <item x="128"/>
        <item x="187"/>
        <item x="441"/>
        <item x="78"/>
        <item x="24"/>
        <item x="419"/>
        <item x="183"/>
        <item x="62"/>
        <item x="279"/>
        <item x="174"/>
        <item x="152"/>
        <item x="111"/>
        <item x="422"/>
        <item x="297"/>
        <item x="162"/>
        <item x="157"/>
        <item x="384"/>
        <item x="96"/>
        <item x="223"/>
        <item x="2"/>
        <item x="155"/>
        <item x="214"/>
        <item x="211"/>
        <item x="314"/>
        <item x="50"/>
        <item x="339"/>
        <item x="310"/>
        <item x="64"/>
        <item x="290"/>
        <item x="132"/>
        <item x="277"/>
        <item x="166"/>
        <item x="130"/>
        <item x="357"/>
        <item x="400"/>
        <item x="15"/>
        <item x="453"/>
        <item x="450"/>
        <item x="437"/>
        <item x="92"/>
        <item x="189"/>
        <item x="43"/>
        <item x="430"/>
        <item x="235"/>
        <item x="206"/>
        <item x="67"/>
        <item x="184"/>
        <item x="28"/>
        <item x="295"/>
        <item x="72"/>
        <item x="370"/>
        <item x="426"/>
        <item x="379"/>
        <item x="383"/>
        <item x="180"/>
        <item x="408"/>
        <item x="21"/>
        <item x="281"/>
        <item x="435"/>
        <item x="359"/>
        <item x="103"/>
        <item x="403"/>
        <item x="212"/>
        <item x="374"/>
        <item x="76"/>
        <item x="282"/>
        <item x="114"/>
        <item x="326"/>
        <item x="367"/>
        <item x="271"/>
        <item x="90"/>
        <item x="37"/>
        <item x="305"/>
        <item x="440"/>
        <item x="87"/>
        <item x="44"/>
        <item x="393"/>
        <item x="260"/>
        <item x="420"/>
        <item x="416"/>
        <item x="438"/>
        <item x="418"/>
        <item x="138"/>
        <item x="467"/>
        <item x="373"/>
        <item x="172"/>
        <item x="264"/>
        <item x="145"/>
        <item x="175"/>
        <item x="47"/>
        <item x="464"/>
        <item x="208"/>
        <item x="254"/>
        <item x="241"/>
        <item x="238"/>
        <item x="386"/>
        <item x="289"/>
        <item x="177"/>
        <item x="170"/>
        <item x="230"/>
        <item x="136"/>
        <item x="466"/>
        <item x="52"/>
        <item x="286"/>
        <item x="120"/>
        <item x="121"/>
        <item x="66"/>
        <item x="204"/>
        <item x="165"/>
        <item x="79"/>
        <item x="340"/>
        <item x="460"/>
        <item x="142"/>
        <item x="380"/>
        <item x="413"/>
        <item x="258"/>
        <item x="360"/>
        <item x="203"/>
        <item x="322"/>
        <item x="227"/>
        <item x="73"/>
        <item x="308"/>
        <item x="161"/>
        <item x="456"/>
        <item x="229"/>
        <item x="355"/>
        <item x="353"/>
        <item x="159"/>
        <item x="325"/>
        <item x="395"/>
        <item x="209"/>
        <item x="406"/>
        <item x="263"/>
        <item x="147"/>
        <item x="323"/>
        <item x="257"/>
        <item x="179"/>
        <item x="247"/>
        <item x="284"/>
        <item x="388"/>
        <item x="196"/>
        <item x="139"/>
        <item x="275"/>
        <item x="110"/>
        <item x="287"/>
        <item x="217"/>
        <item x="371"/>
        <item x="369"/>
        <item x="117"/>
        <item x="298"/>
        <item x="293"/>
        <item x="336"/>
        <item x="207"/>
        <item x="83"/>
        <item x="63"/>
        <item x="4"/>
        <item x="236"/>
        <item x="436"/>
        <item x="309"/>
        <item x="296"/>
        <item x="358"/>
        <item x="429"/>
        <item x="362"/>
        <item x="198"/>
        <item x="385"/>
        <item x="465"/>
        <item x="118"/>
        <item x="98"/>
        <item x="237"/>
        <item x="86"/>
        <item x="243"/>
        <item x="186"/>
        <item x="253"/>
        <item x="454"/>
        <item x="39"/>
        <item x="303"/>
        <item x="431"/>
        <item x="250"/>
        <item x="414"/>
        <item x="10"/>
        <item x="344"/>
        <item x="13"/>
        <item x="134"/>
        <item x="176"/>
        <item x="433"/>
        <item x="149"/>
        <item x="381"/>
        <item x="391"/>
        <item x="182"/>
        <item x="146"/>
        <item x="348"/>
        <item x="351"/>
        <item x="280"/>
        <item x="259"/>
        <item x="312"/>
        <item x="68"/>
        <item x="447"/>
        <item x="402"/>
        <item x="34"/>
        <item x="221"/>
        <item x="427"/>
        <item x="197"/>
        <item x="375"/>
        <item x="261"/>
        <item x="0"/>
        <item x="154"/>
        <item x="58"/>
        <item x="244"/>
        <item x="242"/>
        <item x="240"/>
        <item x="288"/>
        <item x="301"/>
        <item x="141"/>
        <item x="84"/>
        <item x="410"/>
        <item x="36"/>
        <item x="70"/>
        <item x="32"/>
        <item x="409"/>
        <item x="321"/>
        <item x="365"/>
        <item x="372"/>
        <item x="226"/>
        <item x="338"/>
        <item x="428"/>
        <item x="23"/>
        <item x="390"/>
        <item x="94"/>
        <item x="102"/>
        <item x="45"/>
        <item x="8"/>
        <item x="42"/>
        <item x="163"/>
        <item x="65"/>
        <item x="105"/>
        <item x="421"/>
        <item x="107"/>
        <item x="124"/>
        <item x="158"/>
        <item x="307"/>
        <item x="156"/>
        <item x="392"/>
        <item x="278"/>
        <item x="266"/>
        <item x="443"/>
        <item x="412"/>
        <item x="273"/>
        <item x="304"/>
        <item x="122"/>
        <item x="75"/>
        <item x="455"/>
        <item x="246"/>
        <item x="137"/>
        <item x="106"/>
        <item x="364"/>
        <item x="292"/>
        <item x="25"/>
        <item x="160"/>
        <item x="27"/>
        <item x="446"/>
        <item x="20"/>
        <item x="108"/>
        <item x="224"/>
        <item x="294"/>
        <item x="423"/>
        <item x="319"/>
        <item x="332"/>
        <item x="442"/>
        <item x="331"/>
        <item x="148"/>
        <item x="299"/>
        <item x="33"/>
        <item x="462"/>
        <item x="417"/>
        <item x="448"/>
        <item x="178"/>
        <item x="104"/>
        <item x="337"/>
        <item x="252"/>
        <item x="213"/>
        <item x="350"/>
        <item x="394"/>
        <item x="150"/>
        <item x="38"/>
        <item x="74"/>
        <item x="425"/>
        <item x="181"/>
        <item x="215"/>
        <item x="361"/>
        <item x="330"/>
        <item x="101"/>
        <item x="191"/>
        <item x="234"/>
        <item x="168"/>
        <item x="201"/>
        <item x="143"/>
        <item x="1"/>
        <item x="193"/>
        <item x="459"/>
        <item x="399"/>
        <item x="171"/>
        <item x="91"/>
        <item x="291"/>
        <item x="272"/>
        <item x="49"/>
        <item x="432"/>
        <item x="46"/>
        <item x="200"/>
        <item x="352"/>
        <item x="40"/>
        <item x="61"/>
        <item x="225"/>
        <item x="401"/>
        <item x="48"/>
        <item x="153"/>
        <item x="300"/>
        <item x="389"/>
        <item x="119"/>
        <item x="302"/>
        <item x="387"/>
        <item x="341"/>
        <item x="220"/>
        <item x="133"/>
        <item x="55"/>
        <item x="354"/>
        <item x="71"/>
        <item x="77"/>
        <item x="452"/>
        <item x="129"/>
        <item x="100"/>
        <item x="368"/>
        <item x="26"/>
        <item x="113"/>
        <item x="404"/>
        <item x="16"/>
        <item x="135"/>
        <item x="131"/>
        <item x="356"/>
        <item x="6"/>
        <item x="30"/>
        <item x="457"/>
        <item x="315"/>
        <item x="262"/>
        <item x="11"/>
        <item x="109"/>
        <item x="333"/>
        <item x="269"/>
        <item x="195"/>
        <item x="173"/>
        <item x="190"/>
        <item x="97"/>
        <item x="51"/>
        <item x="316"/>
        <item x="188"/>
        <item x="444"/>
        <item x="126"/>
        <item x="54"/>
        <item x="169"/>
        <item x="239"/>
        <item x="468"/>
        <item x="335"/>
        <item x="345"/>
        <item x="334"/>
        <item x="127"/>
        <item x="397"/>
        <item x="268"/>
        <item x="398"/>
        <item x="248"/>
        <item x="12"/>
        <item x="3"/>
        <item x="99"/>
        <item x="256"/>
        <item x="343"/>
        <item x="306"/>
        <item x="311"/>
        <item x="29"/>
        <item x="267"/>
        <item x="251"/>
        <item x="434"/>
        <item x="82"/>
        <item x="376"/>
        <item x="81"/>
        <item x="232"/>
        <item x="276"/>
        <item x="363"/>
        <item x="53"/>
        <item x="222"/>
        <item x="461"/>
        <item x="164"/>
        <item x="69"/>
        <item x="415"/>
        <item x="57"/>
        <item x="88"/>
        <item x="144"/>
        <item x="283"/>
        <item x="449"/>
        <item x="19"/>
        <item x="80"/>
        <item x="60"/>
        <item x="320"/>
        <item x="218"/>
        <item x="249"/>
        <item x="407"/>
        <item x="378"/>
        <item x="274"/>
        <item x="327"/>
        <item x="9"/>
        <item x="112"/>
        <item x="342"/>
        <item x="56"/>
        <item x="41"/>
        <item x="451"/>
        <item x="366"/>
        <item x="89"/>
        <item x="231"/>
        <item x="22"/>
        <item x="324"/>
        <item x="228"/>
        <item x="346"/>
        <item x="265"/>
        <item x="35"/>
        <item x="313"/>
        <item x="116"/>
        <item x="245"/>
        <item x="458"/>
        <item x="205"/>
        <item x="115"/>
        <item x="216"/>
        <item x="463"/>
        <item x="439"/>
        <item x="194"/>
        <item x="18"/>
        <item x="31"/>
        <item x="192"/>
        <item x="219"/>
        <item x="123"/>
        <item x="377"/>
        <item x="93"/>
        <item x="318"/>
        <item x="95"/>
        <item x="85"/>
        <item x="151"/>
        <item x="424"/>
        <item x="255"/>
        <item x="405"/>
        <item x="210"/>
        <item x="382"/>
        <item x="349"/>
        <item x="317"/>
        <item x="233"/>
        <item x="59"/>
        <item x="328"/>
        <item x="17"/>
        <item x="167"/>
        <item x="445"/>
        <item x="329"/>
        <item x="202"/>
        <item x="347"/>
        <item x="285"/>
        <item x="140"/>
        <item x="14"/>
        <item x="396"/>
        <item t="default"/>
      </items>
    </pivotField>
    <pivotField compact="0" numFmtId="181" showAll="0">
      <items count="473">
        <item x="5"/>
        <item x="185"/>
        <item x="7"/>
        <item x="412"/>
        <item x="199"/>
        <item x="123"/>
        <item x="126"/>
        <item x="187"/>
        <item x="443"/>
        <item x="78"/>
        <item x="24"/>
        <item x="420"/>
        <item x="183"/>
        <item x="62"/>
        <item x="174"/>
        <item x="152"/>
        <item x="109"/>
        <item x="424"/>
        <item x="276"/>
        <item x="294"/>
        <item x="162"/>
        <item x="157"/>
        <item x="381"/>
        <item x="95"/>
        <item x="222"/>
        <item x="2"/>
        <item x="155"/>
        <item x="214"/>
        <item x="211"/>
        <item x="311"/>
        <item x="50"/>
        <item x="335"/>
        <item x="307"/>
        <item x="64"/>
        <item x="130"/>
        <item x="273"/>
        <item x="166"/>
        <item x="128"/>
        <item x="382"/>
        <item x="287"/>
        <item x="34"/>
        <item x="457"/>
        <item x="454"/>
        <item x="440"/>
        <item x="91"/>
        <item x="189"/>
        <item x="15"/>
        <item x="433"/>
        <item x="206"/>
        <item x="67"/>
        <item x="184"/>
        <item x="28"/>
        <item x="292"/>
        <item x="133"/>
        <item x="366"/>
        <item x="428"/>
        <item x="376"/>
        <item x="380"/>
        <item x="180"/>
        <item x="72"/>
        <item x="21"/>
        <item x="278"/>
        <item x="438"/>
        <item x="354"/>
        <item x="102"/>
        <item x="403"/>
        <item x="212"/>
        <item x="370"/>
        <item x="76"/>
        <item x="279"/>
        <item x="112"/>
        <item x="322"/>
        <item x="363"/>
        <item x="246"/>
        <item x="38"/>
        <item x="302"/>
        <item x="89"/>
        <item x="86"/>
        <item x="44"/>
        <item x="392"/>
        <item x="258"/>
        <item x="421"/>
        <item x="417"/>
        <item x="441"/>
        <item x="419"/>
        <item x="137"/>
        <item x="470"/>
        <item x="369"/>
        <item x="172"/>
        <item x="262"/>
        <item x="144"/>
        <item x="360"/>
        <item x="175"/>
        <item x="47"/>
        <item x="208"/>
        <item x="252"/>
        <item x="239"/>
        <item x="236"/>
        <item x="385"/>
        <item x="286"/>
        <item x="177"/>
        <item x="170"/>
        <item x="229"/>
        <item x="135"/>
        <item x="469"/>
        <item x="52"/>
        <item x="283"/>
        <item x="118"/>
        <item x="119"/>
        <item x="66"/>
        <item x="204"/>
        <item x="165"/>
        <item x="79"/>
        <item x="336"/>
        <item x="464"/>
        <item x="141"/>
        <item x="377"/>
        <item x="414"/>
        <item x="256"/>
        <item x="355"/>
        <item x="203"/>
        <item x="318"/>
        <item x="226"/>
        <item x="73"/>
        <item x="305"/>
        <item x="161"/>
        <item x="460"/>
        <item x="228"/>
        <item x="351"/>
        <item x="349"/>
        <item x="159"/>
        <item x="321"/>
        <item x="394"/>
        <item x="209"/>
        <item x="406"/>
        <item x="261"/>
        <item x="147"/>
        <item x="319"/>
        <item x="255"/>
        <item x="179"/>
        <item x="245"/>
        <item x="281"/>
        <item x="387"/>
        <item x="196"/>
        <item x="271"/>
        <item x="108"/>
        <item x="284"/>
        <item x="138"/>
        <item x="367"/>
        <item x="365"/>
        <item x="115"/>
        <item x="145"/>
        <item x="295"/>
        <item x="290"/>
        <item x="332"/>
        <item x="207"/>
        <item x="82"/>
        <item x="63"/>
        <item x="4"/>
        <item x="234"/>
        <item x="439"/>
        <item x="306"/>
        <item x="293"/>
        <item x="353"/>
        <item x="275"/>
        <item x="432"/>
        <item x="357"/>
        <item x="198"/>
        <item x="383"/>
        <item x="468"/>
        <item x="116"/>
        <item x="97"/>
        <item x="235"/>
        <item x="85"/>
        <item x="241"/>
        <item x="186"/>
        <item x="251"/>
        <item x="458"/>
        <item x="40"/>
        <item x="300"/>
        <item x="434"/>
        <item x="248"/>
        <item x="415"/>
        <item x="10"/>
        <item x="340"/>
        <item x="13"/>
        <item x="132"/>
        <item x="176"/>
        <item x="436"/>
        <item x="149"/>
        <item x="378"/>
        <item x="182"/>
        <item x="146"/>
        <item x="344"/>
        <item x="390"/>
        <item x="347"/>
        <item x="277"/>
        <item x="257"/>
        <item x="309"/>
        <item x="68"/>
        <item x="451"/>
        <item x="402"/>
        <item x="35"/>
        <item x="220"/>
        <item x="430"/>
        <item x="197"/>
        <item x="371"/>
        <item x="259"/>
        <item x="0"/>
        <item x="154"/>
        <item x="58"/>
        <item x="242"/>
        <item x="240"/>
        <item x="238"/>
        <item x="285"/>
        <item x="298"/>
        <item x="140"/>
        <item x="83"/>
        <item x="411"/>
        <item x="396"/>
        <item x="37"/>
        <item x="70"/>
        <item x="32"/>
        <item x="410"/>
        <item x="317"/>
        <item x="361"/>
        <item x="368"/>
        <item x="225"/>
        <item x="334"/>
        <item x="431"/>
        <item x="23"/>
        <item x="389"/>
        <item x="408"/>
        <item x="101"/>
        <item x="45"/>
        <item x="8"/>
        <item x="43"/>
        <item x="163"/>
        <item x="93"/>
        <item x="65"/>
        <item x="104"/>
        <item x="422"/>
        <item x="105"/>
        <item x="122"/>
        <item x="158"/>
        <item x="304"/>
        <item x="156"/>
        <item x="391"/>
        <item x="274"/>
        <item x="264"/>
        <item x="445"/>
        <item x="413"/>
        <item x="269"/>
        <item x="301"/>
        <item x="120"/>
        <item x="374"/>
        <item x="459"/>
        <item x="244"/>
        <item x="136"/>
        <item x="75"/>
        <item x="359"/>
        <item x="409"/>
        <item x="25"/>
        <item x="160"/>
        <item x="27"/>
        <item x="289"/>
        <item x="448"/>
        <item x="106"/>
        <item x="223"/>
        <item x="20"/>
        <item x="291"/>
        <item x="425"/>
        <item x="316"/>
        <item x="328"/>
        <item x="444"/>
        <item x="327"/>
        <item x="148"/>
        <item x="296"/>
        <item x="466"/>
        <item x="450"/>
        <item x="418"/>
        <item x="33"/>
        <item x="452"/>
        <item x="178"/>
        <item x="103"/>
        <item x="333"/>
        <item x="250"/>
        <item x="213"/>
        <item x="346"/>
        <item x="393"/>
        <item x="150"/>
        <item x="39"/>
        <item x="74"/>
        <item x="427"/>
        <item x="181"/>
        <item x="215"/>
        <item x="356"/>
        <item x="326"/>
        <item x="100"/>
        <item x="191"/>
        <item x="233"/>
        <item x="168"/>
        <item x="201"/>
        <item x="142"/>
        <item x="193"/>
        <item x="463"/>
        <item x="400"/>
        <item x="171"/>
        <item x="1"/>
        <item x="90"/>
        <item x="288"/>
        <item x="268"/>
        <item x="49"/>
        <item x="435"/>
        <item x="46"/>
        <item x="200"/>
        <item x="348"/>
        <item x="41"/>
        <item x="61"/>
        <item x="224"/>
        <item x="401"/>
        <item x="48"/>
        <item x="153"/>
        <item x="297"/>
        <item x="388"/>
        <item x="117"/>
        <item x="299"/>
        <item x="386"/>
        <item x="337"/>
        <item x="219"/>
        <item x="131"/>
        <item x="55"/>
        <item x="350"/>
        <item x="71"/>
        <item x="77"/>
        <item x="456"/>
        <item x="127"/>
        <item x="99"/>
        <item x="364"/>
        <item x="26"/>
        <item x="111"/>
        <item x="404"/>
        <item x="16"/>
        <item x="134"/>
        <item x="129"/>
        <item x="352"/>
        <item x="6"/>
        <item x="30"/>
        <item x="461"/>
        <item x="312"/>
        <item x="260"/>
        <item x="11"/>
        <item x="107"/>
        <item x="329"/>
        <item x="267"/>
        <item x="195"/>
        <item x="173"/>
        <item x="190"/>
        <item x="96"/>
        <item x="51"/>
        <item x="313"/>
        <item x="449"/>
        <item x="188"/>
        <item x="446"/>
        <item x="124"/>
        <item x="54"/>
        <item x="169"/>
        <item x="237"/>
        <item x="471"/>
        <item x="331"/>
        <item x="341"/>
        <item x="330"/>
        <item x="125"/>
        <item x="397"/>
        <item x="266"/>
        <item x="398"/>
        <item x="247"/>
        <item x="12"/>
        <item x="3"/>
        <item x="98"/>
        <item x="254"/>
        <item x="339"/>
        <item x="303"/>
        <item x="308"/>
        <item x="29"/>
        <item x="265"/>
        <item x="249"/>
        <item x="437"/>
        <item x="81"/>
        <item x="372"/>
        <item x="231"/>
        <item x="272"/>
        <item x="358"/>
        <item x="53"/>
        <item x="221"/>
        <item x="465"/>
        <item x="164"/>
        <item x="69"/>
        <item x="416"/>
        <item x="57"/>
        <item x="87"/>
        <item x="143"/>
        <item x="399"/>
        <item x="453"/>
        <item x="384"/>
        <item x="429"/>
        <item x="80"/>
        <item x="60"/>
        <item x="280"/>
        <item x="217"/>
        <item x="19"/>
        <item x="407"/>
        <item x="375"/>
        <item x="270"/>
        <item x="323"/>
        <item x="9"/>
        <item x="110"/>
        <item x="338"/>
        <item x="56"/>
        <item x="42"/>
        <item x="455"/>
        <item x="362"/>
        <item x="88"/>
        <item x="230"/>
        <item x="22"/>
        <item x="320"/>
        <item x="227"/>
        <item x="342"/>
        <item x="263"/>
        <item x="36"/>
        <item x="310"/>
        <item x="114"/>
        <item x="243"/>
        <item x="462"/>
        <item x="205"/>
        <item x="113"/>
        <item x="216"/>
        <item x="467"/>
        <item x="442"/>
        <item x="194"/>
        <item x="18"/>
        <item x="31"/>
        <item x="192"/>
        <item x="218"/>
        <item x="121"/>
        <item x="373"/>
        <item x="92"/>
        <item x="315"/>
        <item x="94"/>
        <item x="84"/>
        <item x="151"/>
        <item x="426"/>
        <item x="423"/>
        <item x="405"/>
        <item x="210"/>
        <item x="379"/>
        <item x="253"/>
        <item x="345"/>
        <item x="314"/>
        <item x="232"/>
        <item x="59"/>
        <item x="324"/>
        <item x="17"/>
        <item x="167"/>
        <item x="447"/>
        <item x="325"/>
        <item x="202"/>
        <item x="343"/>
        <item x="282"/>
        <item x="139"/>
        <item x="14"/>
        <item x="395"/>
        <item t="default"/>
      </items>
    </pivotField>
    <pivotField compact="0" numFmtId="1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compact="0" showAll="0">
      <items count="4">
        <item m="1" x="2"/>
        <item x="0"/>
        <item x="1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compact="0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compact="0" showAll="0">
      <items count="41">
        <item x="7"/>
        <item x="36"/>
        <item x="38"/>
        <item x="6"/>
        <item x="9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4"/>
        <item x="28"/>
        <item x="1"/>
        <item x="30"/>
        <item x="24"/>
        <item x="8"/>
        <item x="23"/>
        <item x="14"/>
        <item x="27"/>
        <item x="5"/>
        <item x="35"/>
        <item x="26"/>
        <item t="default"/>
      </items>
    </pivotField>
    <pivotField compact="0" showAll="0">
      <items count="7">
        <item x="3"/>
        <item x="0"/>
        <item x="1"/>
        <item x="5"/>
        <item x="2"/>
        <item x="4"/>
        <item t="default"/>
      </items>
    </pivotField>
    <pivotField axis="axisRow" compact="0" showAll="0">
      <items count="7">
        <item x="4"/>
        <item x="3"/>
        <item x="2"/>
        <item x="5"/>
        <item x="1"/>
        <item x="0"/>
        <item t="default"/>
      </items>
    </pivotField>
    <pivotField compact="0" showAll="0">
      <items count="17">
        <item x="8"/>
        <item x="5"/>
        <item x="0"/>
        <item x="14"/>
        <item x="6"/>
        <item x="9"/>
        <item x="3"/>
        <item x="10"/>
        <item x="2"/>
        <item x="1"/>
        <item x="11"/>
        <item x="4"/>
        <item x="12"/>
        <item x="13"/>
        <item x="7"/>
        <item x="15"/>
        <item t="default"/>
      </items>
    </pivotField>
    <pivotField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showAll="0">
      <items count="631">
        <item x="139"/>
        <item x="621"/>
        <item x="333"/>
        <item x="415"/>
        <item x="340"/>
        <item x="394"/>
        <item x="441"/>
        <item x="293"/>
        <item x="491"/>
        <item x="587"/>
        <item x="207"/>
        <item x="14"/>
        <item x="478"/>
        <item x="58"/>
        <item x="261"/>
        <item x="59"/>
        <item x="325"/>
        <item x="103"/>
        <item x="170"/>
        <item x="70"/>
        <item x="497"/>
        <item x="416"/>
        <item x="312"/>
        <item x="319"/>
        <item x="489"/>
        <item x="332"/>
        <item x="355"/>
        <item x="516"/>
        <item x="185"/>
        <item x="545"/>
        <item x="221"/>
        <item x="259"/>
        <item x="450"/>
        <item x="521"/>
        <item x="576"/>
        <item x="270"/>
        <item x="22"/>
        <item x="158"/>
        <item x="131"/>
        <item x="154"/>
        <item x="290"/>
        <item x="76"/>
        <item x="113"/>
        <item x="569"/>
        <item x="187"/>
        <item x="618"/>
        <item x="588"/>
        <item x="227"/>
        <item x="552"/>
        <item x="551"/>
        <item x="97"/>
        <item x="460"/>
        <item x="214"/>
        <item x="352"/>
        <item x="299"/>
        <item x="57"/>
        <item x="288"/>
        <item x="50"/>
        <item x="147"/>
        <item x="437"/>
        <item x="346"/>
        <item x="180"/>
        <item x="358"/>
        <item x="142"/>
        <item x="493"/>
        <item x="557"/>
        <item x="465"/>
        <item x="604"/>
        <item x="360"/>
        <item x="592"/>
        <item x="10"/>
        <item x="277"/>
        <item x="18"/>
        <item x="338"/>
        <item x="541"/>
        <item x="292"/>
        <item x="454"/>
        <item x="25"/>
        <item x="209"/>
        <item x="93"/>
        <item x="66"/>
        <item x="77"/>
        <item x="554"/>
        <item x="536"/>
        <item x="306"/>
        <item x="182"/>
        <item x="408"/>
        <item x="109"/>
        <item x="75"/>
        <item x="169"/>
        <item x="513"/>
        <item x="471"/>
        <item x="579"/>
        <item x="607"/>
        <item x="624"/>
        <item x="34"/>
        <item x="172"/>
        <item x="627"/>
        <item x="401"/>
        <item x="126"/>
        <item x="391"/>
        <item x="124"/>
        <item x="484"/>
        <item x="523"/>
        <item x="377"/>
        <item x="24"/>
        <item x="87"/>
        <item x="82"/>
        <item x="324"/>
        <item x="510"/>
        <item x="367"/>
        <item x="458"/>
        <item x="12"/>
        <item x="136"/>
        <item x="9"/>
        <item x="294"/>
        <item x="157"/>
        <item x="464"/>
        <item x="210"/>
        <item x="315"/>
        <item x="467"/>
        <item x="85"/>
        <item x="161"/>
        <item x="260"/>
        <item x="348"/>
        <item x="256"/>
        <item x="573"/>
        <item x="220"/>
        <item x="617"/>
        <item x="594"/>
        <item x="326"/>
        <item x="74"/>
        <item x="171"/>
        <item x="589"/>
        <item x="490"/>
        <item x="518"/>
        <item x="463"/>
        <item x="78"/>
        <item x="519"/>
        <item x="564"/>
        <item x="44"/>
        <item x="127"/>
        <item x="125"/>
        <item x="110"/>
        <item x="568"/>
        <item x="504"/>
        <item x="459"/>
        <item x="451"/>
        <item x="397"/>
        <item x="30"/>
        <item x="230"/>
        <item x="61"/>
        <item x="365"/>
        <item x="222"/>
        <item x="206"/>
        <item x="69"/>
        <item x="250"/>
        <item x="36"/>
        <item x="60"/>
        <item x="105"/>
        <item x="511"/>
        <item x="101"/>
        <item x="86"/>
        <item x="234"/>
        <item x="0"/>
        <item x="37"/>
        <item x="393"/>
        <item x="436"/>
        <item x="403"/>
        <item x="289"/>
        <item x="476"/>
        <item x="237"/>
        <item x="585"/>
        <item x="177"/>
        <item x="300"/>
        <item x="267"/>
        <item x="559"/>
        <item x="323"/>
        <item x="475"/>
        <item x="477"/>
        <item x="533"/>
        <item x="166"/>
        <item x="145"/>
        <item x="295"/>
        <item x="15"/>
        <item x="527"/>
        <item x="445"/>
        <item x="582"/>
        <item x="539"/>
        <item x="349"/>
        <item x="119"/>
        <item x="279"/>
        <item x="246"/>
        <item x="384"/>
        <item x="239"/>
        <item x="370"/>
        <item x="629"/>
        <item x="481"/>
        <item x="146"/>
        <item x="19"/>
        <item x="64"/>
        <item x="264"/>
        <item x="507"/>
        <item x="571"/>
        <item x="345"/>
        <item x="99"/>
        <item x="53"/>
        <item x="362"/>
        <item x="514"/>
        <item x="581"/>
        <item x="71"/>
        <item x="309"/>
        <item x="304"/>
        <item x="542"/>
        <item x="242"/>
        <item x="457"/>
        <item x="603"/>
        <item x="23"/>
        <item x="255"/>
        <item x="508"/>
        <item x="104"/>
        <item x="190"/>
        <item x="563"/>
        <item x="387"/>
        <item x="251"/>
        <item x="151"/>
        <item x="520"/>
        <item x="593"/>
        <item x="368"/>
        <item x="56"/>
        <item x="409"/>
        <item x="275"/>
        <item x="173"/>
        <item x="102"/>
        <item x="388"/>
        <item x="534"/>
        <item x="565"/>
        <item x="425"/>
        <item x="52"/>
        <item x="192"/>
        <item x="407"/>
        <item x="117"/>
        <item x="396"/>
        <item x="424"/>
        <item x="72"/>
        <item x="5"/>
        <item x="598"/>
        <item x="430"/>
        <item x="421"/>
        <item x="283"/>
        <item x="329"/>
        <item x="386"/>
        <item x="111"/>
        <item x="224"/>
        <item x="132"/>
        <item x="20"/>
        <item x="402"/>
        <item x="284"/>
        <item x="33"/>
        <item x="339"/>
        <item x="566"/>
        <item x="314"/>
        <item x="271"/>
        <item x="591"/>
        <item x="216"/>
        <item x="186"/>
        <item x="205"/>
        <item x="96"/>
        <item x="404"/>
        <item x="167"/>
        <item x="140"/>
        <item x="68"/>
        <item x="472"/>
        <item x="509"/>
        <item x="217"/>
        <item x="115"/>
        <item x="247"/>
        <item x="597"/>
        <item x="89"/>
        <item x="328"/>
        <item x="249"/>
        <item x="135"/>
        <item x="273"/>
        <item x="427"/>
        <item x="83"/>
        <item x="398"/>
        <item x="121"/>
        <item x="625"/>
        <item x="418"/>
        <item x="615"/>
        <item x="189"/>
        <item x="351"/>
        <item x="549"/>
        <item x="297"/>
        <item x="51"/>
        <item x="252"/>
        <item x="372"/>
        <item x="432"/>
        <item x="499"/>
        <item x="55"/>
        <item x="204"/>
        <item x="456"/>
        <item x="130"/>
        <item x="63"/>
        <item x="233"/>
        <item x="178"/>
        <item x="305"/>
        <item x="447"/>
        <item x="280"/>
        <item x="298"/>
        <item x="183"/>
        <item x="363"/>
        <item x="389"/>
        <item x="561"/>
        <item x="572"/>
        <item x="522"/>
        <item x="547"/>
        <item x="310"/>
        <item x="195"/>
        <item x="165"/>
        <item x="67"/>
        <item x="453"/>
        <item x="8"/>
        <item x="175"/>
        <item x="556"/>
        <item x="446"/>
        <item x="580"/>
        <item x="191"/>
        <item x="168"/>
        <item x="383"/>
        <item x="258"/>
        <item x="211"/>
        <item x="188"/>
        <item x="79"/>
        <item x="610"/>
        <item x="544"/>
        <item x="6"/>
        <item x="272"/>
        <item x="540"/>
        <item x="431"/>
        <item x="184"/>
        <item x="494"/>
        <item x="254"/>
        <item x="88"/>
        <item x="118"/>
        <item x="531"/>
        <item x="163"/>
        <item x="498"/>
        <item x="318"/>
        <item x="395"/>
        <item x="266"/>
        <item x="160"/>
        <item x="40"/>
        <item x="496"/>
        <item x="311"/>
        <item x="495"/>
        <item x="590"/>
        <item x="380"/>
        <item x="41"/>
        <item x="223"/>
        <item x="226"/>
        <item x="302"/>
        <item x="98"/>
        <item x="341"/>
        <item x="73"/>
        <item x="479"/>
        <item x="90"/>
        <item x="45"/>
        <item x="47"/>
        <item x="144"/>
        <item x="257"/>
        <item x="623"/>
        <item x="438"/>
        <item x="562"/>
        <item x="248"/>
        <item x="483"/>
        <item x="577"/>
        <item x="114"/>
        <item x="21"/>
        <item x="399"/>
        <item x="198"/>
        <item x="376"/>
        <item x="575"/>
        <item x="506"/>
        <item x="307"/>
        <item x="574"/>
        <item x="382"/>
        <item x="357"/>
        <item x="317"/>
        <item x="129"/>
        <item x="517"/>
        <item x="112"/>
        <item x="548"/>
        <item x="321"/>
        <item x="620"/>
        <item x="622"/>
        <item x="80"/>
        <item x="322"/>
        <item x="543"/>
        <item x="48"/>
        <item x="462"/>
        <item x="612"/>
        <item x="379"/>
        <item x="276"/>
        <item x="194"/>
        <item x="611"/>
        <item x="466"/>
        <item x="203"/>
        <item x="600"/>
        <item x="503"/>
        <item x="120"/>
        <item x="108"/>
        <item x="535"/>
        <item x="413"/>
        <item x="84"/>
        <item x="550"/>
        <item x="215"/>
        <item x="378"/>
        <item x="155"/>
        <item x="32"/>
        <item x="433"/>
        <item x="502"/>
        <item x="281"/>
        <item x="123"/>
        <item x="619"/>
        <item x="156"/>
        <item x="538"/>
        <item x="614"/>
        <item x="353"/>
        <item x="331"/>
        <item x="262"/>
        <item x="567"/>
        <item x="529"/>
        <item x="344"/>
        <item x="2"/>
        <item x="29"/>
        <item x="435"/>
        <item x="287"/>
        <item x="54"/>
        <item x="420"/>
        <item x="17"/>
        <item x="282"/>
        <item x="347"/>
        <item x="213"/>
        <item x="343"/>
        <item x="28"/>
        <item x="560"/>
        <item x="512"/>
        <item x="202"/>
        <item x="371"/>
        <item x="327"/>
        <item x="107"/>
        <item x="448"/>
        <item x="238"/>
        <item x="482"/>
        <item x="231"/>
        <item x="422"/>
        <item x="133"/>
        <item x="530"/>
        <item x="268"/>
        <item x="426"/>
        <item x="200"/>
        <item x="392"/>
        <item x="91"/>
        <item x="241"/>
        <item x="286"/>
        <item x="263"/>
        <item x="334"/>
        <item x="412"/>
        <item x="440"/>
        <item x="128"/>
        <item x="570"/>
        <item x="3"/>
        <item x="583"/>
        <item x="149"/>
        <item x="65"/>
        <item x="626"/>
        <item x="245"/>
        <item x="31"/>
        <item x="375"/>
        <item x="197"/>
        <item x="303"/>
        <item x="584"/>
        <item x="361"/>
        <item x="162"/>
        <item x="452"/>
        <item x="428"/>
        <item x="406"/>
        <item x="485"/>
        <item x="553"/>
        <item x="316"/>
        <item x="330"/>
        <item x="488"/>
        <item x="455"/>
        <item x="285"/>
        <item x="278"/>
        <item x="27"/>
        <item x="366"/>
        <item x="94"/>
        <item x="11"/>
        <item x="244"/>
        <item x="225"/>
        <item x="605"/>
        <item x="181"/>
        <item x="578"/>
        <item x="336"/>
        <item x="492"/>
        <item x="122"/>
        <item x="374"/>
        <item x="137"/>
        <item x="141"/>
        <item x="532"/>
        <item x="62"/>
        <item x="100"/>
        <item x="419"/>
        <item x="411"/>
        <item x="505"/>
        <item x="236"/>
        <item x="434"/>
        <item x="106"/>
        <item x="500"/>
        <item x="628"/>
        <item x="159"/>
        <item x="320"/>
        <item x="473"/>
        <item x="586"/>
        <item x="196"/>
        <item x="501"/>
        <item x="335"/>
        <item x="232"/>
        <item x="390"/>
        <item x="474"/>
        <item x="265"/>
        <item x="486"/>
        <item x="49"/>
        <item x="526"/>
        <item x="537"/>
        <item x="410"/>
        <item x="515"/>
        <item x="525"/>
        <item x="439"/>
        <item x="228"/>
        <item x="313"/>
        <item x="449"/>
        <item x="555"/>
        <item x="429"/>
        <item x="46"/>
        <item x="524"/>
        <item x="219"/>
        <item x="253"/>
        <item x="308"/>
        <item x="212"/>
        <item x="42"/>
        <item x="468"/>
        <item x="364"/>
        <item x="369"/>
        <item x="174"/>
        <item x="480"/>
        <item x="164"/>
        <item x="26"/>
        <item x="148"/>
        <item x="143"/>
        <item x="35"/>
        <item x="528"/>
        <item x="595"/>
        <item x="134"/>
        <item x="442"/>
        <item x="342"/>
        <item x="609"/>
        <item x="138"/>
        <item x="193"/>
        <item x="240"/>
        <item x="602"/>
        <item x="176"/>
        <item x="613"/>
        <item x="337"/>
        <item x="243"/>
        <item x="606"/>
        <item x="400"/>
        <item x="218"/>
        <item x="616"/>
        <item x="487"/>
        <item x="417"/>
        <item x="381"/>
        <item x="208"/>
        <item x="601"/>
        <item x="150"/>
        <item x="7"/>
        <item x="423"/>
        <item x="116"/>
        <item x="92"/>
        <item x="301"/>
        <item x="39"/>
        <item x="558"/>
        <item x="359"/>
        <item x="269"/>
        <item x="16"/>
        <item x="461"/>
        <item x="199"/>
        <item x="229"/>
        <item x="470"/>
        <item x="153"/>
        <item x="38"/>
        <item x="350"/>
        <item x="235"/>
        <item x="296"/>
        <item x="444"/>
        <item x="4"/>
        <item x="179"/>
        <item x="152"/>
        <item x="13"/>
        <item x="201"/>
        <item x="373"/>
        <item x="274"/>
        <item x="291"/>
        <item x="385"/>
        <item x="95"/>
        <item x="608"/>
        <item x="1"/>
        <item x="405"/>
        <item x="469"/>
        <item x="356"/>
        <item x="443"/>
        <item x="546"/>
        <item x="81"/>
        <item x="43"/>
        <item x="599"/>
        <item x="596"/>
        <item x="354"/>
        <item x="414"/>
        <item t="default"/>
      </items>
    </pivotField>
    <pivotField compact="0" numFmtId="44" showAll="0">
      <items count="633">
        <item x="493"/>
        <item x="112"/>
        <item x="180"/>
        <item x="298"/>
        <item x="172"/>
        <item x="286"/>
        <item x="106"/>
        <item x="247"/>
        <item x="389"/>
        <item x="83"/>
        <item x="572"/>
        <item x="96"/>
        <item x="7"/>
        <item x="341"/>
        <item x="177"/>
        <item x="461"/>
        <item x="127"/>
        <item x="582"/>
        <item x="481"/>
        <item x="54"/>
        <item x="311"/>
        <item x="631"/>
        <item x="230"/>
        <item x="354"/>
        <item x="89"/>
        <item x="119"/>
        <item x="532"/>
        <item x="586"/>
        <item x="245"/>
        <item x="139"/>
        <item x="517"/>
        <item x="291"/>
        <item x="243"/>
        <item x="51"/>
        <item x="116"/>
        <item x="347"/>
        <item x="323"/>
        <item x="418"/>
        <item x="575"/>
        <item x="108"/>
        <item x="551"/>
        <item x="305"/>
        <item x="443"/>
        <item x="211"/>
        <item x="526"/>
        <item x="282"/>
        <item x="263"/>
        <item x="330"/>
        <item x="344"/>
        <item x="103"/>
        <item x="609"/>
        <item x="488"/>
        <item x="463"/>
        <item x="531"/>
        <item x="26"/>
        <item x="308"/>
        <item x="436"/>
        <item x="163"/>
        <item x="206"/>
        <item x="570"/>
        <item x="460"/>
        <item x="113"/>
        <item x="608"/>
        <item x="221"/>
        <item x="217"/>
        <item x="318"/>
        <item x="128"/>
        <item x="239"/>
        <item x="579"/>
        <item x="599"/>
        <item x="621"/>
        <item x="82"/>
        <item x="458"/>
        <item x="577"/>
        <item x="124"/>
        <item x="35"/>
        <item x="174"/>
        <item x="434"/>
        <item x="490"/>
        <item x="447"/>
        <item x="233"/>
        <item x="232"/>
        <item x="53"/>
        <item x="28"/>
        <item x="293"/>
        <item x="476"/>
        <item x="178"/>
        <item x="511"/>
        <item x="627"/>
        <item x="508"/>
        <item x="391"/>
        <item x="215"/>
        <item x="304"/>
        <item x="270"/>
        <item x="222"/>
        <item x="466"/>
        <item x="445"/>
        <item x="296"/>
        <item x="194"/>
        <item x="620"/>
        <item x="369"/>
        <item x="485"/>
        <item x="3"/>
        <item x="71"/>
        <item x="464"/>
        <item x="145"/>
        <item x="0"/>
        <item x="274"/>
        <item x="486"/>
        <item x="373"/>
        <item x="316"/>
        <item x="109"/>
        <item x="491"/>
        <item x="597"/>
        <item x="160"/>
        <item x="137"/>
        <item x="133"/>
        <item x="350"/>
        <item x="456"/>
        <item x="326"/>
        <item x="101"/>
        <item x="39"/>
        <item x="258"/>
        <item x="5"/>
        <item x="254"/>
        <item x="594"/>
        <item x="386"/>
        <item x="428"/>
        <item x="271"/>
        <item x="519"/>
        <item x="166"/>
        <item x="12"/>
        <item x="297"/>
        <item x="46"/>
        <item x="118"/>
        <item x="169"/>
        <item x="57"/>
        <item x="483"/>
        <item x="439"/>
        <item x="179"/>
        <item x="495"/>
        <item x="114"/>
        <item x="78"/>
        <item x="148"/>
        <item x="380"/>
        <item x="315"/>
        <item x="441"/>
        <item x="307"/>
        <item x="328"/>
        <item x="432"/>
        <item x="277"/>
        <item x="240"/>
        <item x="219"/>
        <item x="214"/>
        <item x="580"/>
        <item x="616"/>
        <item x="218"/>
        <item x="231"/>
        <item x="505"/>
        <item x="453"/>
        <item x="525"/>
        <item x="309"/>
        <item x="321"/>
        <item x="604"/>
        <item x="93"/>
        <item x="129"/>
        <item x="130"/>
        <item x="602"/>
        <item x="331"/>
        <item x="470"/>
        <item x="378"/>
        <item x="155"/>
        <item x="546"/>
        <item x="573"/>
        <item x="561"/>
        <item x="191"/>
        <item x="544"/>
        <item x="250"/>
        <item x="494"/>
        <item x="410"/>
        <item x="312"/>
        <item x="477"/>
        <item x="500"/>
        <item x="408"/>
        <item x="536"/>
        <item x="334"/>
        <item x="251"/>
        <item x="43"/>
        <item x="433"/>
        <item x="540"/>
        <item x="370"/>
        <item x="201"/>
        <item x="68"/>
        <item x="30"/>
        <item x="64"/>
        <item x="403"/>
        <item x="141"/>
        <item x="419"/>
        <item x="338"/>
        <item x="498"/>
        <item x="523"/>
        <item x="197"/>
        <item x="257"/>
        <item x="290"/>
        <item x="88"/>
        <item x="565"/>
        <item x="268"/>
        <item x="91"/>
        <item x="52"/>
        <item x="361"/>
        <item x="98"/>
        <item x="110"/>
        <item x="479"/>
        <item x="285"/>
        <item x="131"/>
        <item x="444"/>
        <item x="144"/>
        <item x="262"/>
        <item x="6"/>
        <item x="564"/>
        <item x="220"/>
        <item x="202"/>
        <item x="299"/>
        <item x="186"/>
        <item x="314"/>
        <item x="430"/>
        <item x="87"/>
        <item x="62"/>
        <item x="474"/>
        <item x="364"/>
        <item x="437"/>
        <item x="538"/>
        <item x="417"/>
        <item x="623"/>
        <item x="339"/>
        <item x="510"/>
        <item x="283"/>
        <item x="337"/>
        <item x="446"/>
        <item x="515"/>
        <item x="584"/>
        <item x="13"/>
        <item x="10"/>
        <item x="33"/>
        <item x="336"/>
        <item x="472"/>
        <item x="252"/>
        <item x="516"/>
        <item x="301"/>
        <item x="395"/>
        <item x="325"/>
        <item x="156"/>
        <item x="355"/>
        <item x="499"/>
        <item x="340"/>
        <item x="4"/>
        <item x="469"/>
        <item x="411"/>
        <item x="591"/>
        <item x="359"/>
        <item x="255"/>
        <item x="571"/>
        <item x="563"/>
        <item x="67"/>
        <item x="44"/>
        <item x="533"/>
        <item x="147"/>
        <item x="605"/>
        <item x="475"/>
        <item x="90"/>
        <item x="412"/>
        <item x="576"/>
        <item x="238"/>
        <item x="134"/>
        <item x="549"/>
        <item x="558"/>
        <item x="36"/>
        <item x="457"/>
        <item x="611"/>
        <item x="259"/>
        <item x="73"/>
        <item x="585"/>
        <item x="269"/>
        <item x="372"/>
        <item x="617"/>
        <item x="535"/>
        <item x="553"/>
        <item x="22"/>
        <item x="185"/>
        <item x="462"/>
        <item x="568"/>
        <item x="522"/>
        <item x="578"/>
        <item x="595"/>
        <item x="29"/>
        <item x="15"/>
        <item x="37"/>
        <item x="150"/>
        <item x="182"/>
        <item x="358"/>
        <item x="502"/>
        <item x="435"/>
        <item x="14"/>
        <item x="598"/>
        <item x="471"/>
        <item x="294"/>
        <item x="590"/>
        <item x="183"/>
        <item x="192"/>
        <item x="288"/>
        <item x="253"/>
        <item x="120"/>
        <item x="170"/>
        <item x="560"/>
        <item x="248"/>
        <item x="92"/>
        <item x="513"/>
        <item x="342"/>
        <item x="628"/>
        <item x="630"/>
        <item x="161"/>
        <item x="454"/>
        <item x="158"/>
        <item x="619"/>
        <item x="143"/>
        <item x="75"/>
        <item x="45"/>
        <item x="200"/>
        <item x="381"/>
        <item x="362"/>
        <item x="473"/>
        <item x="379"/>
        <item x="313"/>
        <item x="171"/>
        <item x="401"/>
        <item x="416"/>
        <item x="55"/>
        <item x="574"/>
        <item x="27"/>
        <item x="559"/>
        <item x="48"/>
        <item x="581"/>
        <item x="438"/>
        <item x="102"/>
        <item x="300"/>
        <item x="38"/>
        <item x="154"/>
        <item x="451"/>
        <item x="319"/>
        <item x="351"/>
        <item x="548"/>
        <item x="69"/>
        <item x="557"/>
        <item x="203"/>
        <item x="16"/>
        <item x="146"/>
        <item x="303"/>
        <item x="327"/>
        <item x="449"/>
        <item x="492"/>
        <item x="157"/>
        <item x="452"/>
        <item x="509"/>
        <item x="168"/>
        <item x="11"/>
        <item x="70"/>
        <item x="74"/>
        <item x="241"/>
        <item x="164"/>
        <item x="153"/>
        <item x="618"/>
        <item x="518"/>
        <item x="506"/>
        <item x="348"/>
        <item x="228"/>
        <item x="367"/>
        <item x="429"/>
        <item x="530"/>
        <item x="132"/>
        <item x="384"/>
        <item x="612"/>
        <item x="176"/>
        <item x="543"/>
        <item x="450"/>
        <item x="24"/>
        <item x="125"/>
        <item x="360"/>
        <item x="279"/>
        <item x="352"/>
        <item x="404"/>
        <item x="440"/>
        <item x="349"/>
        <item x="600"/>
        <item x="193"/>
        <item x="346"/>
        <item x="320"/>
        <item x="375"/>
        <item x="190"/>
        <item x="504"/>
        <item x="151"/>
        <item x="487"/>
        <item x="94"/>
        <item x="324"/>
        <item x="244"/>
        <item x="19"/>
        <item x="592"/>
        <item x="204"/>
        <item x="317"/>
        <item x="284"/>
        <item x="388"/>
        <item x="402"/>
        <item x="624"/>
        <item x="184"/>
        <item x="162"/>
        <item x="40"/>
        <item x="229"/>
        <item x="272"/>
        <item x="589"/>
        <item x="363"/>
        <item x="207"/>
        <item x="425"/>
        <item x="550"/>
        <item x="478"/>
        <item x="365"/>
        <item x="59"/>
        <item x="524"/>
        <item x="520"/>
        <item x="126"/>
        <item x="287"/>
        <item x="18"/>
        <item x="629"/>
        <item x="189"/>
        <item x="225"/>
        <item x="66"/>
        <item x="332"/>
        <item x="273"/>
        <item x="527"/>
        <item x="1"/>
        <item x="95"/>
        <item x="216"/>
        <item x="135"/>
        <item x="224"/>
        <item x="210"/>
        <item x="280"/>
        <item x="152"/>
        <item x="610"/>
        <item x="420"/>
        <item x="281"/>
        <item x="266"/>
        <item x="77"/>
        <item x="377"/>
        <item x="400"/>
        <item x="260"/>
        <item x="79"/>
        <item x="405"/>
        <item x="392"/>
        <item x="181"/>
        <item x="503"/>
        <item x="497"/>
        <item x="596"/>
        <item x="393"/>
        <item x="107"/>
        <item x="539"/>
        <item x="382"/>
        <item x="292"/>
        <item x="198"/>
        <item x="603"/>
        <item x="383"/>
        <item x="455"/>
        <item x="534"/>
        <item x="427"/>
        <item x="56"/>
        <item x="105"/>
        <item x="385"/>
        <item x="554"/>
        <item x="387"/>
        <item x="212"/>
        <item x="567"/>
        <item x="552"/>
        <item x="468"/>
        <item x="278"/>
        <item x="399"/>
        <item x="60"/>
        <item x="357"/>
        <item x="205"/>
        <item x="81"/>
        <item x="333"/>
        <item x="85"/>
        <item x="111"/>
        <item x="555"/>
        <item x="562"/>
        <item x="413"/>
        <item x="223"/>
        <item x="99"/>
        <item x="431"/>
        <item x="397"/>
        <item x="356"/>
        <item x="138"/>
        <item x="209"/>
        <item x="421"/>
        <item x="448"/>
        <item x="41"/>
        <item x="265"/>
        <item x="528"/>
        <item x="606"/>
        <item x="249"/>
        <item x="371"/>
        <item x="480"/>
        <item x="159"/>
        <item x="58"/>
        <item x="17"/>
        <item x="242"/>
        <item x="97"/>
        <item x="376"/>
        <item x="343"/>
        <item x="501"/>
        <item x="587"/>
        <item x="353"/>
        <item x="566"/>
        <item x="63"/>
        <item x="165"/>
        <item x="235"/>
        <item x="227"/>
        <item x="31"/>
        <item x="208"/>
        <item x="593"/>
        <item x="100"/>
        <item x="414"/>
        <item x="541"/>
        <item x="142"/>
        <item x="187"/>
        <item x="173"/>
        <item x="459"/>
        <item x="302"/>
        <item x="267"/>
        <item x="426"/>
        <item x="289"/>
        <item x="23"/>
        <item x="368"/>
        <item x="521"/>
        <item x="482"/>
        <item x="415"/>
        <item x="335"/>
        <item x="537"/>
        <item x="496"/>
        <item x="366"/>
        <item x="8"/>
        <item x="394"/>
        <item x="149"/>
        <item x="121"/>
        <item x="547"/>
        <item x="322"/>
        <item x="65"/>
        <item x="49"/>
        <item x="545"/>
        <item x="484"/>
        <item x="234"/>
        <item x="398"/>
        <item x="422"/>
        <item x="615"/>
        <item x="199"/>
        <item x="613"/>
        <item x="21"/>
        <item x="9"/>
        <item x="507"/>
        <item x="188"/>
        <item x="465"/>
        <item x="601"/>
        <item x="276"/>
        <item x="236"/>
        <item x="622"/>
        <item x="626"/>
        <item x="625"/>
        <item x="246"/>
        <item x="226"/>
        <item x="406"/>
        <item x="442"/>
        <item x="295"/>
        <item x="123"/>
        <item x="237"/>
        <item x="86"/>
        <item x="588"/>
        <item x="583"/>
        <item x="542"/>
        <item x="329"/>
        <item x="72"/>
        <item x="195"/>
        <item x="512"/>
        <item x="117"/>
        <item x="76"/>
        <item x="122"/>
        <item x="42"/>
        <item x="396"/>
        <item x="529"/>
        <item x="310"/>
        <item x="104"/>
        <item x="196"/>
        <item x="569"/>
        <item x="467"/>
        <item x="80"/>
        <item x="275"/>
        <item x="136"/>
        <item x="175"/>
        <item x="409"/>
        <item x="614"/>
        <item x="47"/>
        <item x="84"/>
        <item x="514"/>
        <item x="34"/>
        <item x="407"/>
        <item x="556"/>
        <item x="213"/>
        <item x="306"/>
        <item x="50"/>
        <item x="264"/>
        <item x="2"/>
        <item x="32"/>
        <item x="140"/>
        <item x="607"/>
        <item x="489"/>
        <item x="61"/>
        <item x="256"/>
        <item x="261"/>
        <item x="115"/>
        <item x="424"/>
        <item x="167"/>
        <item x="374"/>
        <item x="390"/>
        <item x="423"/>
        <item x="25"/>
        <item x="20"/>
        <item x="345"/>
        <item t="default"/>
      </items>
    </pivotField>
    <pivotField compact="0" numFmtId="44" showAll="0">
      <items count="631">
        <item x="615"/>
        <item x="2"/>
        <item x="58"/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numFmtId="44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numFmtId="184" showAll="0">
      <items count="229">
        <item x="5"/>
        <item x="140"/>
        <item x="10"/>
        <item x="20"/>
        <item x="99"/>
        <item x="19"/>
        <item x="84"/>
        <item x="170"/>
        <item x="212"/>
        <item x="108"/>
        <item x="205"/>
        <item x="113"/>
        <item x="106"/>
        <item x="118"/>
        <item x="109"/>
        <item x="179"/>
        <item x="134"/>
        <item x="71"/>
        <item x="8"/>
        <item x="195"/>
        <item x="76"/>
        <item x="42"/>
        <item x="32"/>
        <item x="16"/>
        <item x="188"/>
        <item x="208"/>
        <item x="174"/>
        <item x="89"/>
        <item x="221"/>
        <item x="107"/>
        <item x="215"/>
        <item x="58"/>
        <item x="216"/>
        <item x="54"/>
        <item x="130"/>
        <item x="114"/>
        <item x="223"/>
        <item x="133"/>
        <item x="121"/>
        <item x="92"/>
        <item x="193"/>
        <item x="163"/>
        <item x="227"/>
        <item x="96"/>
        <item x="201"/>
        <item x="176"/>
        <item x="72"/>
        <item x="143"/>
        <item x="55"/>
        <item x="90"/>
        <item x="68"/>
        <item x="88"/>
        <item x="3"/>
        <item x="93"/>
        <item x="13"/>
        <item x="43"/>
        <item x="171"/>
        <item x="202"/>
        <item x="117"/>
        <item x="164"/>
        <item x="226"/>
        <item x="104"/>
        <item x="200"/>
        <item x="26"/>
        <item x="147"/>
        <item x="24"/>
        <item x="167"/>
        <item x="25"/>
        <item x="168"/>
        <item x="119"/>
        <item x="77"/>
        <item x="142"/>
        <item x="12"/>
        <item x="148"/>
        <item x="73"/>
        <item x="224"/>
        <item x="199"/>
        <item x="74"/>
        <item x="165"/>
        <item x="27"/>
        <item x="4"/>
        <item x="172"/>
        <item x="67"/>
        <item x="52"/>
        <item x="192"/>
        <item x="105"/>
        <item x="86"/>
        <item x="14"/>
        <item x="46"/>
        <item x="95"/>
        <item x="0"/>
        <item x="139"/>
        <item x="60"/>
        <item x="158"/>
        <item x="144"/>
        <item x="85"/>
        <item x="45"/>
        <item x="18"/>
        <item x="173"/>
        <item x="153"/>
        <item x="82"/>
        <item x="213"/>
        <item x="22"/>
        <item x="38"/>
        <item x="110"/>
        <item x="137"/>
        <item x="31"/>
        <item x="49"/>
        <item x="2"/>
        <item x="191"/>
        <item x="112"/>
        <item x="61"/>
        <item x="157"/>
        <item x="29"/>
        <item x="81"/>
        <item x="159"/>
        <item x="23"/>
        <item x="78"/>
        <item x="169"/>
        <item x="56"/>
        <item x="17"/>
        <item x="41"/>
        <item x="180"/>
        <item x="34"/>
        <item x="6"/>
        <item x="135"/>
        <item x="9"/>
        <item x="209"/>
        <item x="102"/>
        <item x="136"/>
        <item x="125"/>
        <item x="69"/>
        <item x="131"/>
        <item x="161"/>
        <item x="87"/>
        <item x="181"/>
        <item x="129"/>
        <item x="75"/>
        <item x="64"/>
        <item x="196"/>
        <item x="156"/>
        <item x="211"/>
        <item x="150"/>
        <item x="21"/>
        <item x="36"/>
        <item x="189"/>
        <item x="225"/>
        <item x="145"/>
        <item x="122"/>
        <item x="155"/>
        <item x="30"/>
        <item x="166"/>
        <item x="120"/>
        <item x="94"/>
        <item x="79"/>
        <item x="111"/>
        <item x="35"/>
        <item x="15"/>
        <item x="50"/>
        <item x="57"/>
        <item x="63"/>
        <item x="37"/>
        <item x="70"/>
        <item x="51"/>
        <item x="197"/>
        <item x="98"/>
        <item x="7"/>
        <item x="124"/>
        <item x="115"/>
        <item x="47"/>
        <item x="138"/>
        <item x="91"/>
        <item x="53"/>
        <item x="44"/>
        <item x="162"/>
        <item x="222"/>
        <item x="219"/>
        <item x="182"/>
        <item x="126"/>
        <item x="123"/>
        <item x="207"/>
        <item x="66"/>
        <item x="154"/>
        <item x="203"/>
        <item x="218"/>
        <item x="97"/>
        <item x="217"/>
        <item x="152"/>
        <item x="204"/>
        <item x="83"/>
        <item x="214"/>
        <item x="127"/>
        <item x="146"/>
        <item x="128"/>
        <item x="1"/>
        <item x="149"/>
        <item x="177"/>
        <item x="183"/>
        <item x="65"/>
        <item x="28"/>
        <item x="103"/>
        <item x="220"/>
        <item x="11"/>
        <item x="116"/>
        <item x="48"/>
        <item x="194"/>
        <item x="62"/>
        <item x="132"/>
        <item x="101"/>
        <item x="187"/>
        <item x="151"/>
        <item x="100"/>
        <item x="141"/>
        <item x="178"/>
        <item x="190"/>
        <item x="80"/>
        <item x="186"/>
        <item x="39"/>
        <item x="210"/>
        <item x="40"/>
        <item x="184"/>
        <item x="206"/>
        <item x="160"/>
        <item x="33"/>
        <item x="59"/>
        <item x="175"/>
        <item x="198"/>
        <item x="18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04">
        <item x="5"/>
        <item x="130"/>
        <item x="10"/>
        <item x="20"/>
        <item x="93"/>
        <item x="19"/>
        <item x="78"/>
        <item x="157"/>
        <item x="188"/>
        <item x="100"/>
        <item x="183"/>
        <item x="105"/>
        <item x="98"/>
        <item x="109"/>
        <item x="101"/>
        <item x="164"/>
        <item x="124"/>
        <item x="66"/>
        <item x="8"/>
        <item x="174"/>
        <item x="71"/>
        <item x="40"/>
        <item x="32"/>
        <item x="16"/>
        <item x="169"/>
        <item x="185"/>
        <item x="161"/>
        <item x="83"/>
        <item x="196"/>
        <item x="99"/>
        <item x="190"/>
        <item x="55"/>
        <item x="191"/>
        <item x="51"/>
        <item x="121"/>
        <item x="106"/>
        <item x="198"/>
        <item x="123"/>
        <item x="112"/>
        <item x="86"/>
        <item x="173"/>
        <item x="150"/>
        <item x="202"/>
        <item x="90"/>
        <item x="179"/>
        <item x="162"/>
        <item x="67"/>
        <item x="132"/>
        <item x="52"/>
        <item x="84"/>
        <item x="63"/>
        <item x="82"/>
        <item x="3"/>
        <item x="87"/>
        <item x="13"/>
        <item x="41"/>
        <item x="158"/>
        <item x="180"/>
        <item x="108"/>
        <item x="151"/>
        <item x="201"/>
        <item x="96"/>
        <item x="178"/>
        <item x="26"/>
        <item x="136"/>
        <item x="24"/>
        <item x="154"/>
        <item x="25"/>
        <item x="155"/>
        <item x="110"/>
        <item x="72"/>
        <item x="131"/>
        <item x="12"/>
        <item x="137"/>
        <item x="68"/>
        <item x="199"/>
        <item x="177"/>
        <item x="69"/>
        <item x="152"/>
        <item x="27"/>
        <item x="4"/>
        <item x="159"/>
        <item x="62"/>
        <item x="49"/>
        <item x="172"/>
        <item x="97"/>
        <item x="80"/>
        <item x="14"/>
        <item x="44"/>
        <item x="89"/>
        <item x="0"/>
        <item x="129"/>
        <item x="56"/>
        <item x="146"/>
        <item x="133"/>
        <item x="79"/>
        <item x="43"/>
        <item x="18"/>
        <item x="160"/>
        <item x="141"/>
        <item x="76"/>
        <item x="189"/>
        <item x="22"/>
        <item x="38"/>
        <item x="102"/>
        <item x="127"/>
        <item x="31"/>
        <item x="46"/>
        <item x="2"/>
        <item x="171"/>
        <item x="104"/>
        <item x="57"/>
        <item x="145"/>
        <item x="29"/>
        <item x="75"/>
        <item x="147"/>
        <item x="23"/>
        <item x="73"/>
        <item x="156"/>
        <item x="53"/>
        <item x="17"/>
        <item x="39"/>
        <item x="165"/>
        <item x="34"/>
        <item x="6"/>
        <item x="125"/>
        <item x="9"/>
        <item x="186"/>
        <item x="94"/>
        <item x="126"/>
        <item x="116"/>
        <item x="64"/>
        <item x="122"/>
        <item x="148"/>
        <item x="81"/>
        <item x="166"/>
        <item x="120"/>
        <item x="70"/>
        <item x="59"/>
        <item x="175"/>
        <item x="144"/>
        <item x="187"/>
        <item x="139"/>
        <item x="21"/>
        <item x="36"/>
        <item x="170"/>
        <item x="200"/>
        <item x="134"/>
        <item x="113"/>
        <item x="143"/>
        <item x="30"/>
        <item x="153"/>
        <item x="111"/>
        <item x="88"/>
        <item x="74"/>
        <item x="103"/>
        <item x="35"/>
        <item x="15"/>
        <item x="47"/>
        <item x="54"/>
        <item x="58"/>
        <item x="37"/>
        <item x="65"/>
        <item x="48"/>
        <item x="176"/>
        <item x="92"/>
        <item x="7"/>
        <item x="115"/>
        <item x="107"/>
        <item x="45"/>
        <item x="128"/>
        <item x="85"/>
        <item x="50"/>
        <item x="42"/>
        <item x="149"/>
        <item x="197"/>
        <item x="194"/>
        <item x="167"/>
        <item x="117"/>
        <item x="114"/>
        <item x="184"/>
        <item x="61"/>
        <item x="142"/>
        <item x="181"/>
        <item x="193"/>
        <item x="91"/>
        <item x="192"/>
        <item x="140"/>
        <item x="182"/>
        <item x="77"/>
        <item x="33"/>
        <item x="118"/>
        <item x="135"/>
        <item x="119"/>
        <item x="1"/>
        <item x="138"/>
        <item x="163"/>
        <item x="168"/>
        <item x="60"/>
        <item x="28"/>
        <item x="95"/>
        <item x="195"/>
        <item x="11"/>
        <item t="default"/>
      </items>
    </pivotField>
    <pivotField compact="0" numFmtId="183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dataField="1"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51"/>
        <item x="247"/>
        <item x="531"/>
        <item x="89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41"/>
        <item x="354"/>
        <item x="139"/>
        <item x="114"/>
        <item x="490"/>
        <item x="305"/>
        <item x="87"/>
        <item x="108"/>
        <item x="460"/>
        <item x="26"/>
        <item x="211"/>
        <item x="582"/>
        <item x="464"/>
        <item x="551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137"/>
        <item x="258"/>
        <item x="193"/>
        <item x="598"/>
        <item x="131"/>
        <item x="179"/>
        <item x="74"/>
        <item x="240"/>
        <item x="222"/>
        <item x="369"/>
        <item x="59"/>
        <item x="571"/>
        <item x="201"/>
        <item x="408"/>
        <item x="495"/>
        <item x="543"/>
        <item x="481"/>
        <item x="57"/>
        <item x="361"/>
        <item x="546"/>
        <item x="186"/>
        <item x="334"/>
        <item x="0"/>
        <item x="79"/>
        <item x="12"/>
        <item x="314"/>
        <item x="627"/>
        <item x="483"/>
        <item x="486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447"/>
        <item x="333"/>
        <item x="161"/>
        <item x="593"/>
        <item x="118"/>
        <item x="52"/>
        <item x="231"/>
        <item x="304"/>
        <item x="443"/>
        <item x="103"/>
        <item x="599"/>
        <item x="485"/>
        <item x="277"/>
        <item x="581"/>
        <item x="328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332"/>
        <item x="271"/>
        <item x="46"/>
        <item x="580"/>
        <item x="156"/>
        <item x="270"/>
        <item x="363"/>
        <item x="437"/>
        <item x="293"/>
        <item x="520"/>
        <item x="501"/>
        <item x="229"/>
        <item x="601"/>
        <item x="321"/>
        <item x="492"/>
        <item x="259"/>
        <item x="14"/>
        <item x="458"/>
        <item x="269"/>
        <item x="182"/>
        <item x="130"/>
        <item x="216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343"/>
        <item x="590"/>
        <item x="316"/>
        <item x="510"/>
        <item x="612"/>
        <item x="530"/>
        <item x="73"/>
        <item x="419"/>
        <item x="386"/>
        <item x="489"/>
        <item x="32"/>
        <item x="241"/>
        <item x="136"/>
        <item x="446"/>
        <item x="246"/>
        <item x="30"/>
        <item x="518"/>
        <item x="325"/>
        <item x="309"/>
        <item x="301"/>
        <item x="143"/>
        <item x="421"/>
        <item x="92"/>
        <item x="564"/>
        <item x="504"/>
        <item x="610"/>
        <item x="11"/>
        <item x="158"/>
        <item x="185"/>
        <item x="470"/>
        <item x="78"/>
        <item x="289"/>
        <item x="615"/>
        <item x="558"/>
        <item x="41"/>
        <item x="70"/>
        <item x="43"/>
        <item x="623"/>
        <item x="616"/>
        <item x="545"/>
        <item x="123"/>
        <item x="515"/>
        <item x="502"/>
        <item x="416"/>
        <item x="22"/>
        <item x="549"/>
        <item x="62"/>
        <item x="4"/>
        <item x="154"/>
        <item x="312"/>
        <item x="393"/>
        <item x="197"/>
        <item x="380"/>
        <item x="527"/>
        <item x="274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105"/>
        <item x="576"/>
        <item x="65"/>
        <item x="250"/>
        <item x="163"/>
        <item x="349"/>
        <item x="244"/>
        <item x="449"/>
        <item x="104"/>
        <item x="167"/>
        <item x="450"/>
        <item x="265"/>
        <item x="441"/>
        <item x="299"/>
        <item x="364"/>
        <item x="630"/>
        <item x="381"/>
        <item x="145"/>
        <item x="430"/>
        <item x="433"/>
        <item x="399"/>
        <item x="281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170"/>
        <item x="8"/>
        <item x="455"/>
        <item x="359"/>
        <item x="148"/>
        <item x="50"/>
        <item x="595"/>
        <item x="200"/>
        <item x="38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335"/>
        <item x="469"/>
        <item x="317"/>
        <item x="351"/>
        <item x="499"/>
        <item x="228"/>
        <item x="371"/>
        <item x="402"/>
        <item x="340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427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99"/>
        <item x="204"/>
        <item x="300"/>
        <item x="144"/>
        <item x="16"/>
        <item x="324"/>
        <item x="339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329"/>
        <item x="188"/>
        <item x="219"/>
        <item x="336"/>
        <item x="207"/>
        <item x="487"/>
        <item x="607"/>
        <item x="159"/>
        <item x="273"/>
        <item x="423"/>
        <item x="153"/>
        <item x="56"/>
        <item x="550"/>
        <item x="111"/>
        <item x="622"/>
        <item x="426"/>
        <item x="226"/>
        <item x="42"/>
        <item x="542"/>
        <item x="496"/>
        <item x="310"/>
        <item x="374"/>
        <item x="195"/>
        <item x="442"/>
        <item x="414"/>
        <item x="173"/>
        <item x="55"/>
        <item x="548"/>
        <item x="142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92"/>
        <item x="357"/>
        <item x="624"/>
        <item x="512"/>
        <item x="557"/>
        <item x="537"/>
        <item x="592"/>
        <item x="100"/>
        <item x="319"/>
        <item x="199"/>
        <item x="396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247"/>
        <item x="531"/>
        <item x="89"/>
        <item x="51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54"/>
        <item x="341"/>
        <item x="114"/>
        <item x="139"/>
        <item x="490"/>
        <item x="305"/>
        <item x="87"/>
        <item x="108"/>
        <item x="460"/>
        <item x="26"/>
        <item x="211"/>
        <item x="582"/>
        <item x="551"/>
        <item x="464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258"/>
        <item x="193"/>
        <item x="598"/>
        <item x="131"/>
        <item x="179"/>
        <item x="240"/>
        <item x="222"/>
        <item x="137"/>
        <item x="369"/>
        <item x="59"/>
        <item x="571"/>
        <item x="408"/>
        <item x="495"/>
        <item x="543"/>
        <item x="481"/>
        <item x="57"/>
        <item x="361"/>
        <item x="201"/>
        <item x="546"/>
        <item x="186"/>
        <item x="334"/>
        <item x="0"/>
        <item x="79"/>
        <item x="12"/>
        <item x="314"/>
        <item x="627"/>
        <item x="483"/>
        <item x="486"/>
        <item x="74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333"/>
        <item x="161"/>
        <item x="593"/>
        <item x="118"/>
        <item x="52"/>
        <item x="231"/>
        <item x="304"/>
        <item x="443"/>
        <item x="103"/>
        <item x="599"/>
        <item x="447"/>
        <item x="485"/>
        <item x="277"/>
        <item x="581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271"/>
        <item x="46"/>
        <item x="580"/>
        <item x="156"/>
        <item x="270"/>
        <item x="328"/>
        <item x="437"/>
        <item x="293"/>
        <item x="520"/>
        <item x="501"/>
        <item x="229"/>
        <item x="601"/>
        <item x="321"/>
        <item x="332"/>
        <item x="492"/>
        <item x="259"/>
        <item x="14"/>
        <item x="458"/>
        <item x="269"/>
        <item x="182"/>
        <item x="130"/>
        <item x="216"/>
        <item x="363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590"/>
        <item x="316"/>
        <item x="510"/>
        <item x="612"/>
        <item x="530"/>
        <item x="343"/>
        <item x="73"/>
        <item x="419"/>
        <item x="386"/>
        <item x="489"/>
        <item x="32"/>
        <item x="241"/>
        <item x="136"/>
        <item x="446"/>
        <item x="30"/>
        <item x="518"/>
        <item x="325"/>
        <item x="309"/>
        <item x="301"/>
        <item x="143"/>
        <item x="421"/>
        <item x="92"/>
        <item x="564"/>
        <item x="504"/>
        <item x="246"/>
        <item x="610"/>
        <item x="11"/>
        <item x="158"/>
        <item x="185"/>
        <item x="470"/>
        <item x="289"/>
        <item x="615"/>
        <item x="558"/>
        <item x="41"/>
        <item x="70"/>
        <item x="43"/>
        <item x="623"/>
        <item x="616"/>
        <item x="545"/>
        <item x="123"/>
        <item x="78"/>
        <item x="515"/>
        <item x="502"/>
        <item x="416"/>
        <item x="22"/>
        <item x="549"/>
        <item x="62"/>
        <item x="4"/>
        <item x="154"/>
        <item x="312"/>
        <item x="197"/>
        <item x="380"/>
        <item x="527"/>
        <item x="274"/>
        <item x="393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576"/>
        <item x="65"/>
        <item x="250"/>
        <item x="163"/>
        <item x="349"/>
        <item x="244"/>
        <item x="449"/>
        <item x="104"/>
        <item x="450"/>
        <item x="265"/>
        <item x="441"/>
        <item x="299"/>
        <item x="364"/>
        <item x="630"/>
        <item x="167"/>
        <item x="381"/>
        <item x="105"/>
        <item x="145"/>
        <item x="430"/>
        <item x="433"/>
        <item x="399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281"/>
        <item x="8"/>
        <item x="455"/>
        <item x="359"/>
        <item x="148"/>
        <item x="595"/>
        <item x="200"/>
        <item x="38"/>
        <item x="170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50"/>
        <item x="335"/>
        <item x="469"/>
        <item x="317"/>
        <item x="351"/>
        <item x="499"/>
        <item x="228"/>
        <item x="371"/>
        <item x="402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427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204"/>
        <item x="300"/>
        <item x="144"/>
        <item x="16"/>
        <item x="324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99"/>
        <item x="329"/>
        <item x="188"/>
        <item x="336"/>
        <item x="207"/>
        <item x="339"/>
        <item x="487"/>
        <item x="607"/>
        <item x="159"/>
        <item x="273"/>
        <item x="219"/>
        <item x="423"/>
        <item x="153"/>
        <item x="56"/>
        <item x="550"/>
        <item x="111"/>
        <item x="340"/>
        <item x="622"/>
        <item x="426"/>
        <item x="226"/>
        <item x="542"/>
        <item x="496"/>
        <item x="310"/>
        <item x="195"/>
        <item x="442"/>
        <item x="414"/>
        <item x="173"/>
        <item x="55"/>
        <item x="548"/>
        <item x="142"/>
        <item x="374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42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57"/>
        <item x="624"/>
        <item x="512"/>
        <item x="557"/>
        <item x="537"/>
        <item x="592"/>
        <item x="100"/>
        <item x="319"/>
        <item x="199"/>
        <item x="396"/>
        <item x="392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493"/>
        <item x="172"/>
        <item x="286"/>
        <item x="298"/>
        <item x="96"/>
        <item x="586"/>
        <item x="389"/>
        <item x="54"/>
        <item x="83"/>
        <item x="247"/>
        <item x="631"/>
        <item x="119"/>
        <item x="575"/>
        <item x="89"/>
        <item x="572"/>
        <item x="418"/>
        <item x="106"/>
        <item x="177"/>
        <item x="7"/>
        <item x="517"/>
        <item x="532"/>
        <item x="282"/>
        <item x="354"/>
        <item x="263"/>
        <item x="243"/>
        <item x="51"/>
        <item x="531"/>
        <item x="109"/>
        <item x="305"/>
        <item x="461"/>
        <item x="341"/>
        <item x="221"/>
        <item x="620"/>
        <item x="291"/>
        <item x="311"/>
        <item x="108"/>
        <item x="602"/>
        <item x="230"/>
        <item x="490"/>
        <item x="551"/>
        <item x="127"/>
        <item x="519"/>
        <item x="445"/>
        <item x="323"/>
        <item x="476"/>
        <item x="464"/>
        <item x="582"/>
        <item x="391"/>
        <item x="347"/>
        <item x="26"/>
        <item x="621"/>
        <item x="217"/>
        <item x="330"/>
        <item x="326"/>
        <item x="460"/>
        <item x="116"/>
        <item x="211"/>
        <item x="412"/>
        <item x="128"/>
        <item x="124"/>
        <item x="174"/>
        <item x="466"/>
        <item x="344"/>
        <item x="463"/>
        <item x="597"/>
        <item x="245"/>
        <item x="139"/>
        <item x="113"/>
        <item x="570"/>
        <item x="169"/>
        <item x="87"/>
        <item x="28"/>
        <item x="526"/>
        <item x="232"/>
        <item x="608"/>
        <item x="318"/>
        <item x="257"/>
        <item x="609"/>
        <item x="565"/>
        <item x="439"/>
        <item x="114"/>
        <item x="5"/>
        <item x="508"/>
        <item x="579"/>
        <item x="6"/>
        <item x="297"/>
        <item x="434"/>
        <item x="481"/>
        <item x="334"/>
        <item x="222"/>
        <item x="133"/>
        <item x="495"/>
        <item x="627"/>
        <item x="403"/>
        <item x="0"/>
        <item x="258"/>
        <item x="82"/>
        <item x="584"/>
        <item x="581"/>
        <item x="546"/>
        <item x="53"/>
        <item x="327"/>
        <item x="511"/>
        <item x="296"/>
        <item x="239"/>
        <item x="231"/>
        <item x="57"/>
        <item x="436"/>
        <item x="304"/>
        <item x="39"/>
        <item x="604"/>
        <item x="254"/>
        <item x="443"/>
        <item x="370"/>
        <item x="491"/>
        <item x="194"/>
        <item x="378"/>
        <item x="307"/>
        <item x="277"/>
        <item x="240"/>
        <item x="233"/>
        <item x="598"/>
        <item x="293"/>
        <item x="486"/>
        <item x="71"/>
        <item x="178"/>
        <item x="103"/>
        <item x="248"/>
        <item x="488"/>
        <item x="156"/>
        <item x="12"/>
        <item x="130"/>
        <item x="571"/>
        <item x="79"/>
        <item x="350"/>
        <item x="118"/>
        <item x="308"/>
        <item x="186"/>
        <item x="458"/>
        <item x="462"/>
        <item x="410"/>
        <item x="182"/>
        <item x="328"/>
        <item x="432"/>
        <item x="358"/>
        <item x="483"/>
        <item x="285"/>
        <item x="513"/>
        <item x="563"/>
        <item x="161"/>
        <item x="498"/>
        <item x="369"/>
        <item x="599"/>
        <item x="594"/>
        <item x="314"/>
        <item x="171"/>
        <item x="59"/>
        <item x="524"/>
        <item x="437"/>
        <item x="332"/>
        <item x="46"/>
        <item x="69"/>
        <item x="191"/>
        <item x="141"/>
        <item x="509"/>
        <item x="338"/>
        <item x="137"/>
        <item x="179"/>
        <item x="74"/>
        <item x="214"/>
        <item x="616"/>
        <item x="279"/>
        <item x="90"/>
        <item x="447"/>
        <item x="158"/>
        <item x="540"/>
        <item x="373"/>
        <item x="315"/>
        <item x="201"/>
        <item x="227"/>
        <item x="446"/>
        <item x="473"/>
        <item x="206"/>
        <item x="218"/>
        <item x="27"/>
        <item x="470"/>
        <item x="271"/>
        <item x="525"/>
        <item x="408"/>
        <item x="578"/>
        <item x="43"/>
        <item x="146"/>
        <item x="502"/>
        <item x="168"/>
        <item x="331"/>
        <item x="183"/>
        <item x="309"/>
        <item x="503"/>
        <item x="596"/>
        <item x="543"/>
        <item x="3"/>
        <item x="88"/>
        <item x="386"/>
        <item x="75"/>
        <item x="270"/>
        <item x="262"/>
        <item x="301"/>
        <item x="32"/>
        <item x="489"/>
        <item x="349"/>
        <item x="193"/>
        <item x="485"/>
        <item x="333"/>
        <item x="25"/>
        <item x="102"/>
        <item x="274"/>
        <item x="94"/>
        <item x="37"/>
        <item x="131"/>
        <item x="589"/>
        <item x="593"/>
        <item x="145"/>
        <item x="163"/>
        <item x="520"/>
        <item x="368"/>
        <item x="558"/>
        <item x="316"/>
        <item x="92"/>
        <item x="544"/>
        <item x="33"/>
        <item x="630"/>
        <item x="220"/>
        <item x="250"/>
        <item x="518"/>
        <item x="398"/>
        <item x="152"/>
        <item x="430"/>
        <item x="35"/>
        <item x="477"/>
        <item x="580"/>
        <item x="450"/>
        <item x="62"/>
        <item x="561"/>
        <item x="536"/>
        <item x="533"/>
        <item x="595"/>
        <item x="417"/>
        <item x="15"/>
        <item x="433"/>
        <item x="101"/>
        <item x="238"/>
        <item x="212"/>
        <item x="515"/>
        <item x="104"/>
        <item x="312"/>
        <item x="294"/>
        <item x="361"/>
        <item x="78"/>
        <item x="162"/>
        <item x="269"/>
        <item x="421"/>
        <item x="197"/>
        <item x="41"/>
        <item x="411"/>
        <item x="22"/>
        <item x="241"/>
        <item x="164"/>
        <item x="143"/>
        <item x="268"/>
        <item x="343"/>
        <item x="129"/>
        <item x="345"/>
        <item x="283"/>
        <item x="189"/>
        <item x="577"/>
        <item x="419"/>
        <item x="216"/>
        <item x="453"/>
        <item x="98"/>
        <item x="523"/>
        <item x="559"/>
        <item x="281"/>
        <item x="472"/>
        <item x="8"/>
        <item x="325"/>
        <item x="405"/>
        <item x="615"/>
        <item x="507"/>
        <item x="52"/>
        <item x="198"/>
        <item x="246"/>
        <item x="70"/>
        <item x="425"/>
        <item x="155"/>
        <item x="413"/>
        <item x="367"/>
        <item x="30"/>
        <item x="530"/>
        <item x="549"/>
        <item x="275"/>
        <item x="136"/>
        <item x="612"/>
        <item x="176"/>
        <item x="457"/>
        <item x="499"/>
        <item x="359"/>
        <item x="527"/>
        <item x="623"/>
        <item x="154"/>
        <item x="535"/>
        <item x="510"/>
        <item x="451"/>
        <item x="67"/>
        <item x="564"/>
        <item x="610"/>
        <item x="541"/>
        <item x="185"/>
        <item x="494"/>
        <item x="342"/>
        <item x="68"/>
        <item x="321"/>
        <item x="303"/>
        <item x="605"/>
        <item x="504"/>
        <item x="415"/>
        <item x="335"/>
        <item x="455"/>
        <item x="538"/>
        <item x="363"/>
        <item x="601"/>
        <item x="14"/>
        <item x="290"/>
        <item x="148"/>
        <item x="380"/>
        <item x="93"/>
        <item x="295"/>
        <item x="147"/>
        <item x="287"/>
        <item x="13"/>
        <item x="249"/>
        <item x="404"/>
        <item x="492"/>
        <item x="467"/>
        <item x="210"/>
        <item x="320"/>
        <item x="280"/>
        <item x="441"/>
        <item x="4"/>
        <item x="591"/>
        <item x="611"/>
        <item x="255"/>
        <item x="267"/>
        <item x="23"/>
        <item x="393"/>
        <item x="229"/>
        <item x="261"/>
        <item x="366"/>
        <item x="394"/>
        <item x="547"/>
        <item x="545"/>
        <item x="500"/>
        <item x="20"/>
        <item x="576"/>
        <item x="29"/>
        <item x="399"/>
        <item x="21"/>
        <item x="440"/>
        <item x="225"/>
        <item x="452"/>
        <item x="474"/>
        <item x="123"/>
        <item x="428"/>
        <item x="420"/>
        <item x="324"/>
        <item x="38"/>
        <item x="469"/>
        <item x="614"/>
        <item x="24"/>
        <item x="259"/>
        <item x="364"/>
        <item x="251"/>
        <item x="50"/>
        <item x="381"/>
        <item x="121"/>
        <item x="444"/>
        <item x="115"/>
        <item x="590"/>
        <item x="209"/>
        <item x="228"/>
        <item x="204"/>
        <item x="454"/>
        <item x="150"/>
        <item x="284"/>
        <item x="377"/>
        <item x="501"/>
        <item x="395"/>
        <item x="568"/>
        <item x="56"/>
        <item x="253"/>
        <item x="170"/>
        <item x="552"/>
        <item x="34"/>
        <item x="456"/>
        <item x="73"/>
        <item x="205"/>
        <item x="213"/>
        <item x="299"/>
        <item x="85"/>
        <item x="234"/>
        <item x="91"/>
        <item x="607"/>
        <item x="256"/>
        <item x="606"/>
        <item x="125"/>
        <item x="167"/>
        <item x="371"/>
        <item x="207"/>
        <item x="449"/>
        <item x="260"/>
        <item x="157"/>
        <item x="416"/>
        <item x="86"/>
        <item x="107"/>
        <item x="208"/>
        <item x="414"/>
        <item x="355"/>
        <item x="215"/>
        <item x="105"/>
        <item x="554"/>
        <item x="529"/>
        <item x="135"/>
        <item x="573"/>
        <item x="336"/>
        <item x="288"/>
        <item x="574"/>
        <item x="10"/>
        <item x="110"/>
        <item x="153"/>
        <item x="44"/>
        <item x="348"/>
        <item x="351"/>
        <item x="442"/>
        <item x="160"/>
        <item x="200"/>
        <item x="505"/>
        <item x="132"/>
        <item x="379"/>
        <item x="329"/>
        <item x="585"/>
        <item x="487"/>
        <item x="166"/>
        <item x="475"/>
        <item x="317"/>
        <item x="202"/>
        <item x="555"/>
        <item x="496"/>
        <item x="550"/>
        <item x="400"/>
        <item x="514"/>
        <item x="219"/>
        <item x="340"/>
        <item x="292"/>
        <item x="566"/>
        <item x="553"/>
        <item x="235"/>
        <item x="401"/>
        <item x="144"/>
        <item x="244"/>
        <item x="387"/>
        <item x="402"/>
        <item x="224"/>
        <item x="390"/>
        <item x="300"/>
        <item x="459"/>
        <item x="289"/>
        <item x="372"/>
        <item x="122"/>
        <item x="310"/>
        <item x="569"/>
        <item x="65"/>
        <item x="384"/>
        <item x="409"/>
        <item x="484"/>
        <item x="159"/>
        <item x="522"/>
        <item x="66"/>
        <item x="388"/>
        <item x="339"/>
        <item x="516"/>
        <item x="2"/>
        <item x="468"/>
        <item x="226"/>
        <item x="61"/>
        <item x="374"/>
        <item x="151"/>
        <item x="471"/>
        <item x="76"/>
        <item x="252"/>
        <item x="352"/>
        <item x="11"/>
        <item x="134"/>
        <item x="322"/>
        <item x="479"/>
        <item x="120"/>
        <item x="84"/>
        <item x="628"/>
        <item x="188"/>
        <item x="600"/>
        <item x="190"/>
        <item x="625"/>
        <item x="77"/>
        <item x="81"/>
        <item x="173"/>
        <item x="365"/>
        <item x="406"/>
        <item x="18"/>
        <item x="36"/>
        <item x="19"/>
        <item x="629"/>
        <item x="482"/>
        <item x="603"/>
        <item x="480"/>
        <item x="95"/>
        <item x="42"/>
        <item x="17"/>
        <item x="587"/>
        <item x="31"/>
        <item x="64"/>
        <item x="278"/>
        <item x="560"/>
        <item x="111"/>
        <item x="617"/>
        <item x="397"/>
        <item x="265"/>
        <item x="48"/>
        <item x="438"/>
        <item x="427"/>
        <item x="266"/>
        <item x="100"/>
        <item x="99"/>
        <item x="273"/>
        <item x="356"/>
        <item x="478"/>
        <item x="542"/>
        <item x="97"/>
        <item x="429"/>
        <item x="181"/>
        <item x="313"/>
        <item x="562"/>
        <item x="360"/>
        <item x="626"/>
        <item x="534"/>
        <item x="337"/>
        <item x="45"/>
        <item x="435"/>
        <item x="149"/>
        <item x="72"/>
        <item x="184"/>
        <item x="60"/>
        <item x="557"/>
        <item x="196"/>
        <item x="618"/>
        <item x="353"/>
        <item x="16"/>
        <item x="431"/>
        <item x="548"/>
        <item x="407"/>
        <item x="556"/>
        <item x="506"/>
        <item x="195"/>
        <item x="592"/>
        <item x="138"/>
        <item x="624"/>
        <item x="426"/>
        <item x="567"/>
        <item x="242"/>
        <item x="376"/>
        <item x="537"/>
        <item x="40"/>
        <item x="448"/>
        <item x="302"/>
        <item x="396"/>
        <item x="49"/>
        <item x="272"/>
        <item x="192"/>
        <item x="583"/>
        <item x="223"/>
        <item x="142"/>
        <item x="521"/>
        <item x="497"/>
        <item x="187"/>
        <item x="357"/>
        <item x="382"/>
        <item x="117"/>
        <item x="236"/>
        <item x="622"/>
        <item x="55"/>
        <item x="199"/>
        <item x="264"/>
        <item x="1"/>
        <item x="375"/>
        <item x="588"/>
        <item x="613"/>
        <item x="306"/>
        <item x="619"/>
        <item x="424"/>
        <item x="423"/>
        <item x="385"/>
        <item x="203"/>
        <item x="539"/>
        <item x="80"/>
        <item x="362"/>
        <item x="392"/>
        <item x="126"/>
        <item x="9"/>
        <item x="346"/>
        <item x="47"/>
        <item x="512"/>
        <item x="319"/>
        <item x="383"/>
        <item x="528"/>
        <item x="465"/>
        <item x="276"/>
        <item x="175"/>
        <item x="165"/>
        <item x="422"/>
        <item x="63"/>
        <item x="140"/>
        <item x="58"/>
        <item x="237"/>
        <item t="default"/>
      </items>
    </pivotField>
    <pivotField compact="0" numFmtId="44" showAll="0">
      <items count="633">
        <item x="1"/>
        <item x="385"/>
        <item x="626"/>
        <item x="265"/>
        <item x="11"/>
        <item x="560"/>
        <item x="132"/>
        <item x="134"/>
        <item x="423"/>
        <item x="289"/>
        <item x="497"/>
        <item x="58"/>
        <item x="501"/>
        <item x="187"/>
        <item x="65"/>
        <item x="125"/>
        <item x="192"/>
        <item x="407"/>
        <item x="150"/>
        <item x="244"/>
        <item x="259"/>
        <item x="73"/>
        <item x="72"/>
        <item x="388"/>
        <item x="590"/>
        <item x="229"/>
        <item x="416"/>
        <item x="152"/>
        <item x="477"/>
        <item x="492"/>
        <item x="98"/>
        <item x="361"/>
        <item x="2"/>
        <item x="196"/>
        <item x="52"/>
        <item x="617"/>
        <item x="363"/>
        <item x="622"/>
        <item x="404"/>
        <item x="601"/>
        <item x="605"/>
        <item x="105"/>
        <item x="397"/>
        <item x="14"/>
        <item x="146"/>
        <item x="131"/>
        <item x="384"/>
        <item x="540"/>
        <item x="338"/>
        <item x="193"/>
        <item x="321"/>
        <item x="66"/>
        <item x="432"/>
        <item x="27"/>
        <item x="449"/>
        <item x="427"/>
        <item x="543"/>
        <item x="167"/>
        <item x="224"/>
        <item x="55"/>
        <item x="303"/>
        <item x="373"/>
        <item x="457"/>
        <item x="166"/>
        <item x="81"/>
        <item x="122"/>
        <item x="114"/>
        <item x="101"/>
        <item x="94"/>
        <item x="408"/>
        <item x="593"/>
        <item x="116"/>
        <item x="3"/>
        <item x="252"/>
        <item x="268"/>
        <item x="434"/>
        <item x="411"/>
        <item x="323"/>
        <item x="299"/>
        <item x="333"/>
        <item x="238"/>
        <item x="201"/>
        <item x="36"/>
        <item x="68"/>
        <item x="137"/>
        <item x="390"/>
        <item x="230"/>
        <item x="177"/>
        <item x="179"/>
        <item x="74"/>
        <item x="87"/>
        <item x="53"/>
        <item x="519"/>
        <item x="127"/>
        <item x="631"/>
        <item x="123"/>
        <item x="574"/>
        <item x="139"/>
        <item x="54"/>
        <item x="476"/>
        <item x="200"/>
        <item x="109"/>
        <item x="298"/>
        <item x="286"/>
        <item x="112"/>
        <item x="212"/>
        <item x="609"/>
        <item x="180"/>
        <item x="263"/>
        <item x="532"/>
        <item x="96"/>
        <item x="51"/>
        <item x="106"/>
        <item x="35"/>
        <item x="172"/>
        <item x="531"/>
        <item x="493"/>
        <item x="311"/>
        <item x="561"/>
        <item x="575"/>
        <item x="285"/>
        <item x="85"/>
        <item x="275"/>
        <item x="282"/>
        <item x="216"/>
        <item x="485"/>
        <item x="243"/>
        <item x="7"/>
        <item x="83"/>
        <item x="586"/>
        <item x="89"/>
        <item x="221"/>
        <item x="119"/>
        <item x="389"/>
        <item x="358"/>
        <item x="602"/>
        <item x="461"/>
        <item x="526"/>
        <item x="247"/>
        <item x="418"/>
        <item x="620"/>
        <item x="15"/>
        <item x="291"/>
        <item x="257"/>
        <item x="59"/>
        <item x="198"/>
        <item x="545"/>
        <item x="462"/>
        <item x="248"/>
        <item x="572"/>
        <item x="460"/>
        <item x="463"/>
        <item x="341"/>
        <item x="211"/>
        <item x="269"/>
        <item x="517"/>
        <item x="369"/>
        <item x="174"/>
        <item x="510"/>
        <item x="86"/>
        <item x="6"/>
        <item x="580"/>
        <item x="113"/>
        <item x="606"/>
        <item x="354"/>
        <item x="227"/>
        <item x="26"/>
        <item x="307"/>
        <item x="169"/>
        <item x="490"/>
        <item x="155"/>
        <item x="402"/>
        <item x="124"/>
        <item x="190"/>
        <item x="582"/>
        <item x="412"/>
        <item x="439"/>
        <item x="447"/>
        <item x="464"/>
        <item x="383"/>
        <item x="608"/>
        <item x="39"/>
        <item x="350"/>
        <item x="612"/>
        <item x="488"/>
        <item x="511"/>
        <item x="530"/>
        <item x="297"/>
        <item x="108"/>
        <item x="314"/>
        <item x="318"/>
        <item x="551"/>
        <item x="232"/>
        <item x="194"/>
        <item x="445"/>
        <item x="305"/>
        <item x="162"/>
        <item x="618"/>
        <item x="16"/>
        <item x="4"/>
        <item x="217"/>
        <item x="520"/>
        <item x="317"/>
        <item x="347"/>
        <item x="393"/>
        <item x="133"/>
        <item x="189"/>
        <item x="239"/>
        <item x="75"/>
        <item x="536"/>
        <item x="327"/>
        <item x="326"/>
        <item x="417"/>
        <item x="513"/>
        <item x="234"/>
        <item x="621"/>
        <item x="370"/>
        <item x="10"/>
        <item x="340"/>
        <item x="364"/>
        <item x="381"/>
        <item x="504"/>
        <item x="128"/>
        <item x="136"/>
        <item x="571"/>
        <item x="584"/>
        <item x="186"/>
        <item x="401"/>
        <item x="466"/>
        <item x="483"/>
        <item x="235"/>
        <item x="598"/>
        <item x="330"/>
        <item x="240"/>
        <item x="564"/>
        <item x="391"/>
        <item x="30"/>
        <item x="168"/>
        <item x="215"/>
        <item x="245"/>
        <item x="270"/>
        <item x="218"/>
        <item x="610"/>
        <item x="578"/>
        <item x="566"/>
        <item x="79"/>
        <item x="296"/>
        <item x="351"/>
        <item x="343"/>
        <item x="185"/>
        <item x="410"/>
        <item x="161"/>
        <item x="576"/>
        <item x="206"/>
        <item x="597"/>
        <item x="508"/>
        <item x="12"/>
        <item x="246"/>
        <item x="344"/>
        <item x="570"/>
        <item x="170"/>
        <item x="591"/>
        <item x="294"/>
        <item x="599"/>
        <item x="258"/>
        <item x="380"/>
        <item x="554"/>
        <item x="271"/>
        <item x="308"/>
        <item x="5"/>
        <item x="419"/>
        <item x="579"/>
        <item x="325"/>
        <item x="486"/>
        <item x="395"/>
        <item x="57"/>
        <item x="623"/>
        <item x="28"/>
        <item x="400"/>
        <item x="222"/>
        <item x="208"/>
        <item x="249"/>
        <item x="565"/>
        <item x="233"/>
        <item x="546"/>
        <item x="524"/>
        <item x="495"/>
        <item x="154"/>
        <item x="241"/>
        <item x="0"/>
        <item x="262"/>
        <item x="481"/>
        <item x="118"/>
        <item x="328"/>
        <item x="399"/>
        <item x="334"/>
        <item x="70"/>
        <item x="596"/>
        <item x="428"/>
        <item x="549"/>
        <item x="615"/>
        <item x="365"/>
        <item x="84"/>
        <item x="627"/>
        <item x="143"/>
        <item x="604"/>
        <item x="25"/>
        <item x="316"/>
        <item x="441"/>
        <item x="527"/>
        <item x="403"/>
        <item x="46"/>
        <item x="103"/>
        <item x="421"/>
        <item x="436"/>
        <item x="82"/>
        <item x="332"/>
        <item x="184"/>
        <item x="503"/>
        <item x="277"/>
        <item x="494"/>
        <item x="231"/>
        <item x="44"/>
        <item x="142"/>
        <item x="443"/>
        <item x="437"/>
        <item x="377"/>
        <item x="525"/>
        <item x="304"/>
        <item x="183"/>
        <item x="214"/>
        <item x="71"/>
        <item x="331"/>
        <item x="50"/>
        <item x="284"/>
        <item x="518"/>
        <item x="78"/>
        <item x="473"/>
        <item x="41"/>
        <item x="406"/>
        <item x="387"/>
        <item x="90"/>
        <item x="420"/>
        <item x="371"/>
        <item x="151"/>
        <item x="378"/>
        <item x="581"/>
        <item x="438"/>
        <item x="254"/>
        <item x="22"/>
        <item x="491"/>
        <item x="141"/>
        <item x="38"/>
        <item x="92"/>
        <item x="426"/>
        <item x="489"/>
        <item x="147"/>
        <item x="509"/>
        <item x="32"/>
        <item x="386"/>
        <item x="515"/>
        <item x="315"/>
        <item x="182"/>
        <item x="99"/>
        <item x="178"/>
        <item x="156"/>
        <item x="458"/>
        <item x="301"/>
        <item x="435"/>
        <item x="197"/>
        <item x="553"/>
        <item x="558"/>
        <item x="279"/>
        <item x="312"/>
        <item x="283"/>
        <item x="594"/>
        <item x="309"/>
        <item x="293"/>
        <item x="191"/>
        <item x="62"/>
        <item x="479"/>
        <item x="453"/>
        <item x="130"/>
        <item x="467"/>
        <item x="512"/>
        <item x="228"/>
        <item x="563"/>
        <item x="164"/>
        <item x="69"/>
        <item x="498"/>
        <item x="516"/>
        <item x="171"/>
        <item x="446"/>
        <item x="375"/>
        <item x="236"/>
        <item x="484"/>
        <item x="573"/>
        <item x="469"/>
        <item x="195"/>
        <item x="547"/>
        <item x="533"/>
        <item x="470"/>
        <item x="281"/>
        <item x="104"/>
        <item x="522"/>
        <item x="43"/>
        <item x="274"/>
        <item x="559"/>
        <item x="587"/>
        <item x="148"/>
        <item x="502"/>
        <item x="158"/>
        <item x="67"/>
        <item x="405"/>
        <item x="455"/>
        <item x="382"/>
        <item x="250"/>
        <item x="49"/>
        <item x="209"/>
        <item x="450"/>
        <item x="256"/>
        <item x="163"/>
        <item x="589"/>
        <item x="251"/>
        <item x="272"/>
        <item x="37"/>
        <item x="552"/>
        <item x="88"/>
        <item x="616"/>
        <item x="433"/>
        <item x="359"/>
        <item x="345"/>
        <item x="31"/>
        <item x="619"/>
        <item x="548"/>
        <item x="630"/>
        <item x="91"/>
        <item x="349"/>
        <item x="577"/>
        <item x="430"/>
        <item x="64"/>
        <item x="535"/>
        <item x="145"/>
        <item x="264"/>
        <item x="398"/>
        <item x="319"/>
        <item x="409"/>
        <item x="33"/>
        <item x="8"/>
        <item x="220"/>
        <item x="160"/>
        <item x="425"/>
        <item x="242"/>
        <item x="614"/>
        <item x="176"/>
        <item x="335"/>
        <item x="507"/>
        <item x="292"/>
        <item x="368"/>
        <item x="267"/>
        <item x="280"/>
        <item x="585"/>
        <item x="472"/>
        <item x="102"/>
        <item x="261"/>
        <item x="544"/>
        <item x="468"/>
        <item x="413"/>
        <item x="456"/>
        <item x="459"/>
        <item x="273"/>
        <item x="499"/>
        <item x="611"/>
        <item x="595"/>
        <item x="210"/>
        <item x="306"/>
        <item x="474"/>
        <item x="352"/>
        <item x="523"/>
        <item x="392"/>
        <item x="129"/>
        <item x="506"/>
        <item x="339"/>
        <item x="542"/>
        <item x="138"/>
        <item x="300"/>
        <item x="366"/>
        <item x="21"/>
        <item x="45"/>
        <item x="188"/>
        <item x="355"/>
        <item x="415"/>
        <item x="394"/>
        <item x="260"/>
        <item x="144"/>
        <item x="29"/>
        <item x="290"/>
        <item x="63"/>
        <item x="500"/>
        <item x="440"/>
        <item x="444"/>
        <item x="202"/>
        <item x="111"/>
        <item x="107"/>
        <item x="23"/>
        <item x="61"/>
        <item x="367"/>
        <item x="353"/>
        <item x="60"/>
        <item x="562"/>
        <item x="287"/>
        <item x="93"/>
        <item x="157"/>
        <item x="225"/>
        <item x="541"/>
        <item x="451"/>
        <item x="295"/>
        <item x="454"/>
        <item x="42"/>
        <item x="342"/>
        <item x="213"/>
        <item x="538"/>
        <item x="121"/>
        <item x="528"/>
        <item x="203"/>
        <item x="302"/>
        <item x="583"/>
        <item x="13"/>
        <item x="475"/>
        <item x="97"/>
        <item x="159"/>
        <item x="348"/>
        <item x="360"/>
        <item x="219"/>
        <item x="288"/>
        <item x="568"/>
        <item x="320"/>
        <item x="173"/>
        <item x="329"/>
        <item x="253"/>
        <item x="115"/>
        <item x="110"/>
        <item x="452"/>
        <item x="226"/>
        <item x="205"/>
        <item x="374"/>
        <item x="135"/>
        <item x="20"/>
        <item x="204"/>
        <item x="40"/>
        <item x="24"/>
        <item x="487"/>
        <item x="625"/>
        <item x="310"/>
        <item x="336"/>
        <item x="255"/>
        <item x="77"/>
        <item x="550"/>
        <item x="34"/>
        <item x="628"/>
        <item x="153"/>
        <item x="278"/>
        <item x="324"/>
        <item x="207"/>
        <item x="48"/>
        <item x="496"/>
        <item x="600"/>
        <item x="337"/>
        <item x="372"/>
        <item x="17"/>
        <item x="607"/>
        <item x="442"/>
        <item x="376"/>
        <item x="482"/>
        <item x="56"/>
        <item x="567"/>
        <item x="76"/>
        <item x="505"/>
        <item x="569"/>
        <item x="357"/>
        <item x="514"/>
        <item x="313"/>
        <item x="414"/>
        <item x="266"/>
        <item x="448"/>
        <item x="555"/>
        <item x="379"/>
        <item x="471"/>
        <item x="429"/>
        <item x="181"/>
        <item x="18"/>
        <item x="149"/>
        <item x="534"/>
        <item x="529"/>
        <item x="9"/>
        <item x="19"/>
        <item x="478"/>
        <item x="603"/>
        <item x="556"/>
        <item x="480"/>
        <item x="120"/>
        <item x="629"/>
        <item x="322"/>
        <item x="356"/>
        <item x="424"/>
        <item x="199"/>
        <item x="140"/>
        <item x="624"/>
        <item x="80"/>
        <item x="95"/>
        <item x="537"/>
        <item x="126"/>
        <item x="592"/>
        <item x="276"/>
        <item x="557"/>
        <item x="396"/>
        <item x="539"/>
        <item x="465"/>
        <item x="165"/>
        <item x="100"/>
        <item x="431"/>
        <item x="117"/>
        <item x="588"/>
        <item x="521"/>
        <item x="346"/>
        <item x="223"/>
        <item x="175"/>
        <item x="362"/>
        <item x="422"/>
        <item x="613"/>
        <item x="237"/>
        <item x="47"/>
        <item t="default"/>
      </items>
    </pivotField>
    <pivotField compact="0" numFmtId="44" showAll="0">
      <items count="633">
        <item x="1"/>
        <item x="385"/>
        <item x="11"/>
        <item x="626"/>
        <item x="132"/>
        <item x="265"/>
        <item x="289"/>
        <item x="501"/>
        <item x="560"/>
        <item x="134"/>
        <item x="150"/>
        <item x="125"/>
        <item x="259"/>
        <item x="152"/>
        <item x="477"/>
        <item x="361"/>
        <item x="65"/>
        <item x="146"/>
        <item x="98"/>
        <item x="338"/>
        <item x="540"/>
        <item x="73"/>
        <item x="432"/>
        <item x="116"/>
        <item x="229"/>
        <item x="52"/>
        <item x="131"/>
        <item x="114"/>
        <item x="323"/>
        <item x="177"/>
        <item x="298"/>
        <item x="631"/>
        <item x="193"/>
        <item x="112"/>
        <item x="180"/>
        <item x="286"/>
        <item x="54"/>
        <item x="230"/>
        <item x="96"/>
        <item x="172"/>
        <item x="493"/>
        <item x="109"/>
        <item x="519"/>
        <item x="532"/>
        <item x="127"/>
        <item x="263"/>
        <item x="106"/>
        <item x="27"/>
        <item x="492"/>
        <item x="244"/>
        <item x="531"/>
        <item x="434"/>
        <item x="575"/>
        <item x="590"/>
        <item x="51"/>
        <item x="476"/>
        <item x="586"/>
        <item x="282"/>
        <item x="83"/>
        <item x="389"/>
        <item x="311"/>
        <item x="119"/>
        <item x="89"/>
        <item x="7"/>
        <item x="87"/>
        <item x="243"/>
        <item x="247"/>
        <item x="221"/>
        <item x="139"/>
        <item x="418"/>
        <item x="605"/>
        <item x="461"/>
        <item x="602"/>
        <item x="373"/>
        <item x="620"/>
        <item x="601"/>
        <item x="572"/>
        <item x="291"/>
        <item x="543"/>
        <item x="609"/>
        <item x="53"/>
        <item x="404"/>
        <item x="14"/>
        <item x="517"/>
        <item x="341"/>
        <item x="354"/>
        <item x="460"/>
        <item x="526"/>
        <item x="416"/>
        <item x="211"/>
        <item x="408"/>
        <item x="463"/>
        <item x="490"/>
        <item x="257"/>
        <item x="363"/>
        <item x="321"/>
        <item x="174"/>
        <item x="26"/>
        <item x="113"/>
        <item x="582"/>
        <item x="3"/>
        <item x="94"/>
        <item x="179"/>
        <item x="124"/>
        <item x="412"/>
        <item x="169"/>
        <item x="108"/>
        <item x="464"/>
        <item x="593"/>
        <item x="285"/>
        <item x="305"/>
        <item x="551"/>
        <item x="201"/>
        <item x="6"/>
        <item x="137"/>
        <item x="445"/>
        <item x="101"/>
        <item x="248"/>
        <item x="333"/>
        <item x="358"/>
        <item x="388"/>
        <item x="439"/>
        <item x="608"/>
        <item x="462"/>
        <item x="217"/>
        <item x="347"/>
        <item x="307"/>
        <item x="318"/>
        <item x="232"/>
        <item x="59"/>
        <item x="297"/>
        <item x="303"/>
        <item x="326"/>
        <item x="39"/>
        <item x="268"/>
        <item x="411"/>
        <item x="621"/>
        <item x="457"/>
        <item x="238"/>
        <item x="511"/>
        <item x="369"/>
        <item x="128"/>
        <item x="350"/>
        <item x="488"/>
        <item x="466"/>
        <item x="330"/>
        <item x="485"/>
        <item x="391"/>
        <item x="133"/>
        <item x="194"/>
        <item x="35"/>
        <item x="74"/>
        <item x="212"/>
        <item x="561"/>
        <item x="245"/>
        <item x="239"/>
        <item x="327"/>
        <item x="227"/>
        <item x="584"/>
        <item x="314"/>
        <item x="370"/>
        <item x="597"/>
        <item x="15"/>
        <item x="68"/>
        <item x="598"/>
        <item x="344"/>
        <item x="216"/>
        <item x="571"/>
        <item x="570"/>
        <item x="240"/>
        <item x="186"/>
        <item x="2"/>
        <item x="513"/>
        <item x="296"/>
        <item x="508"/>
        <item x="580"/>
        <item x="483"/>
        <item x="275"/>
        <item x="407"/>
        <item x="449"/>
        <item x="269"/>
        <item x="79"/>
        <item x="198"/>
        <item x="447"/>
        <item x="497"/>
        <item x="5"/>
        <item x="258"/>
        <item x="12"/>
        <item x="28"/>
        <item x="105"/>
        <item x="410"/>
        <item x="579"/>
        <item x="75"/>
        <item x="161"/>
        <item x="384"/>
        <item x="520"/>
        <item x="565"/>
        <item x="123"/>
        <item x="222"/>
        <item x="57"/>
        <item x="155"/>
        <item x="510"/>
        <item x="218"/>
        <item x="72"/>
        <item x="168"/>
        <item x="308"/>
        <item x="486"/>
        <item x="578"/>
        <item x="162"/>
        <item x="536"/>
        <item x="495"/>
        <item x="546"/>
        <item x="599"/>
        <item x="167"/>
        <item x="417"/>
        <item x="270"/>
        <item x="206"/>
        <item x="612"/>
        <item x="233"/>
        <item x="481"/>
        <item x="530"/>
        <item x="189"/>
        <item x="0"/>
        <item x="192"/>
        <item x="299"/>
        <item x="545"/>
        <item x="423"/>
        <item x="334"/>
        <item x="617"/>
        <item x="66"/>
        <item x="166"/>
        <item x="271"/>
        <item x="118"/>
        <item x="627"/>
        <item x="524"/>
        <item x="187"/>
        <item x="224"/>
        <item x="604"/>
        <item x="403"/>
        <item x="136"/>
        <item x="82"/>
        <item x="397"/>
        <item x="85"/>
        <item x="436"/>
        <item x="504"/>
        <item x="30"/>
        <item x="4"/>
        <item x="103"/>
        <item x="122"/>
        <item x="564"/>
        <item x="574"/>
        <item x="294"/>
        <item x="610"/>
        <item x="231"/>
        <item x="277"/>
        <item x="200"/>
        <item x="343"/>
        <item x="443"/>
        <item x="185"/>
        <item x="262"/>
        <item x="304"/>
        <item x="46"/>
        <item x="419"/>
        <item x="196"/>
        <item x="596"/>
        <item x="606"/>
        <item x="390"/>
        <item x="325"/>
        <item x="86"/>
        <item x="393"/>
        <item x="71"/>
        <item x="364"/>
        <item x="25"/>
        <item x="81"/>
        <item x="252"/>
        <item x="437"/>
        <item x="246"/>
        <item x="381"/>
        <item x="581"/>
        <item x="241"/>
        <item x="623"/>
        <item x="332"/>
        <item x="576"/>
        <item x="316"/>
        <item x="380"/>
        <item x="378"/>
        <item x="591"/>
        <item x="254"/>
        <item x="214"/>
        <item x="503"/>
        <item x="525"/>
        <item x="491"/>
        <item x="328"/>
        <item x="143"/>
        <item x="234"/>
        <item x="70"/>
        <item x="154"/>
        <item x="183"/>
        <item x="615"/>
        <item x="249"/>
        <item x="473"/>
        <item x="421"/>
        <item x="36"/>
        <item x="331"/>
        <item x="549"/>
        <item x="178"/>
        <item x="90"/>
        <item x="156"/>
        <item x="402"/>
        <item x="182"/>
        <item x="141"/>
        <item x="458"/>
        <item x="215"/>
        <item x="509"/>
        <item x="317"/>
        <item x="527"/>
        <item x="518"/>
        <item x="10"/>
        <item x="293"/>
        <item x="399"/>
        <item x="315"/>
        <item x="41"/>
        <item x="395"/>
        <item x="130"/>
        <item x="489"/>
        <item x="441"/>
        <item x="594"/>
        <item x="494"/>
        <item x="32"/>
        <item x="428"/>
        <item x="386"/>
        <item x="279"/>
        <item x="351"/>
        <item x="92"/>
        <item x="235"/>
        <item x="401"/>
        <item x="191"/>
        <item x="170"/>
        <item x="554"/>
        <item x="190"/>
        <item x="22"/>
        <item x="301"/>
        <item x="78"/>
        <item x="563"/>
        <item x="208"/>
        <item x="566"/>
        <item x="498"/>
        <item x="515"/>
        <item x="69"/>
        <item x="309"/>
        <item x="558"/>
        <item x="171"/>
        <item x="197"/>
        <item x="62"/>
        <item x="312"/>
        <item x="446"/>
        <item x="400"/>
        <item x="283"/>
        <item x="147"/>
        <item x="377"/>
        <item x="622"/>
        <item x="453"/>
        <item x="420"/>
        <item x="164"/>
        <item x="284"/>
        <item x="470"/>
        <item x="427"/>
        <item x="38"/>
        <item x="43"/>
        <item x="158"/>
        <item x="502"/>
        <item x="44"/>
        <item x="533"/>
        <item x="274"/>
        <item x="467"/>
        <item x="371"/>
        <item x="104"/>
        <item x="618"/>
        <item x="616"/>
        <item x="84"/>
        <item x="250"/>
        <item x="559"/>
        <item x="16"/>
        <item x="365"/>
        <item x="589"/>
        <item x="163"/>
        <item x="55"/>
        <item x="37"/>
        <item x="450"/>
        <item x="50"/>
        <item x="88"/>
        <item x="405"/>
        <item x="228"/>
        <item x="387"/>
        <item x="67"/>
        <item x="547"/>
        <item x="349"/>
        <item x="469"/>
        <item x="148"/>
        <item x="433"/>
        <item x="455"/>
        <item x="630"/>
        <item x="430"/>
        <item x="345"/>
        <item x="151"/>
        <item x="553"/>
        <item x="145"/>
        <item x="577"/>
        <item x="406"/>
        <item x="398"/>
        <item x="359"/>
        <item x="33"/>
        <item x="573"/>
        <item x="535"/>
        <item x="220"/>
        <item x="251"/>
        <item x="209"/>
        <item x="184"/>
        <item x="438"/>
        <item x="281"/>
        <item x="8"/>
        <item x="368"/>
        <item x="479"/>
        <item x="516"/>
        <item x="102"/>
        <item x="425"/>
        <item x="256"/>
        <item x="552"/>
        <item x="484"/>
        <item x="544"/>
        <item x="176"/>
        <item x="507"/>
        <item x="335"/>
        <item x="472"/>
        <item x="91"/>
        <item x="522"/>
        <item x="595"/>
        <item x="413"/>
        <item x="435"/>
        <item x="267"/>
        <item x="614"/>
        <item x="280"/>
        <item x="499"/>
        <item x="261"/>
        <item x="523"/>
        <item x="587"/>
        <item x="142"/>
        <item x="129"/>
        <item x="611"/>
        <item x="426"/>
        <item x="210"/>
        <item x="160"/>
        <item x="409"/>
        <item x="474"/>
        <item x="456"/>
        <item x="31"/>
        <item x="585"/>
        <item x="64"/>
        <item x="292"/>
        <item x="99"/>
        <item x="195"/>
        <item x="415"/>
        <item x="366"/>
        <item x="21"/>
        <item x="290"/>
        <item x="394"/>
        <item x="459"/>
        <item x="468"/>
        <item x="29"/>
        <item x="367"/>
        <item x="58"/>
        <item x="500"/>
        <item x="23"/>
        <item x="440"/>
        <item x="383"/>
        <item x="548"/>
        <item x="260"/>
        <item x="287"/>
        <item x="355"/>
        <item x="444"/>
        <item x="541"/>
        <item x="93"/>
        <item x="352"/>
        <item x="49"/>
        <item x="236"/>
        <item x="451"/>
        <item x="272"/>
        <item x="295"/>
        <item x="300"/>
        <item x="375"/>
        <item x="273"/>
        <item x="342"/>
        <item x="107"/>
        <item x="225"/>
        <item x="538"/>
        <item x="144"/>
        <item x="382"/>
        <item x="202"/>
        <item x="242"/>
        <item x="454"/>
        <item x="157"/>
        <item x="188"/>
        <item x="121"/>
        <item x="542"/>
        <item x="13"/>
        <item x="213"/>
        <item x="61"/>
        <item x="320"/>
        <item x="111"/>
        <item x="264"/>
        <item x="45"/>
        <item x="619"/>
        <item x="506"/>
        <item x="452"/>
        <item x="568"/>
        <item x="339"/>
        <item x="115"/>
        <item x="138"/>
        <item x="475"/>
        <item x="253"/>
        <item x="20"/>
        <item x="348"/>
        <item x="288"/>
        <item x="562"/>
        <item x="60"/>
        <item x="512"/>
        <item x="24"/>
        <item x="353"/>
        <item x="204"/>
        <item x="205"/>
        <item x="329"/>
        <item x="159"/>
        <item x="110"/>
        <item x="255"/>
        <item x="135"/>
        <item x="306"/>
        <item x="226"/>
        <item x="173"/>
        <item x="487"/>
        <item x="336"/>
        <item x="97"/>
        <item x="34"/>
        <item x="324"/>
        <item x="219"/>
        <item x="550"/>
        <item x="360"/>
        <item x="310"/>
        <item x="340"/>
        <item x="207"/>
        <item x="319"/>
        <item x="153"/>
        <item x="625"/>
        <item x="374"/>
        <item x="302"/>
        <item x="77"/>
        <item x="496"/>
        <item x="583"/>
        <item x="628"/>
        <item x="607"/>
        <item x="372"/>
        <item x="278"/>
        <item x="42"/>
        <item x="600"/>
        <item x="56"/>
        <item x="48"/>
        <item x="442"/>
        <item x="40"/>
        <item x="17"/>
        <item x="203"/>
        <item x="505"/>
        <item x="414"/>
        <item x="337"/>
        <item x="514"/>
        <item x="569"/>
        <item x="482"/>
        <item x="76"/>
        <item x="379"/>
        <item x="555"/>
        <item x="529"/>
        <item x="471"/>
        <item x="266"/>
        <item x="313"/>
        <item x="528"/>
        <item x="376"/>
        <item x="18"/>
        <item x="567"/>
        <item x="429"/>
        <item x="181"/>
        <item x="19"/>
        <item x="448"/>
        <item x="149"/>
        <item x="534"/>
        <item x="603"/>
        <item x="478"/>
        <item x="357"/>
        <item x="120"/>
        <item x="480"/>
        <item x="322"/>
        <item x="629"/>
        <item x="556"/>
        <item x="356"/>
        <item x="392"/>
        <item x="63"/>
        <item x="95"/>
        <item x="9"/>
        <item x="624"/>
        <item x="537"/>
        <item x="199"/>
        <item x="424"/>
        <item x="592"/>
        <item x="557"/>
        <item x="80"/>
        <item x="126"/>
        <item x="396"/>
        <item x="100"/>
        <item x="539"/>
        <item x="431"/>
        <item x="140"/>
        <item x="276"/>
        <item x="117"/>
        <item x="521"/>
        <item x="588"/>
        <item x="465"/>
        <item x="165"/>
        <item x="223"/>
        <item x="346"/>
        <item x="362"/>
        <item x="175"/>
        <item x="613"/>
        <item x="422"/>
        <item x="47"/>
        <item x="237"/>
        <item t="default"/>
      </items>
    </pivotField>
    <pivotField compact="0" showAll="0">
      <items count="633">
        <item x="1"/>
        <item x="132"/>
        <item x="11"/>
        <item x="116"/>
        <item x="501"/>
        <item x="626"/>
        <item x="385"/>
        <item x="265"/>
        <item x="152"/>
        <item x="177"/>
        <item x="289"/>
        <item x="477"/>
        <item x="150"/>
        <item x="298"/>
        <item x="560"/>
        <item x="259"/>
        <item x="134"/>
        <item x="338"/>
        <item x="146"/>
        <item x="125"/>
        <item x="323"/>
        <item x="361"/>
        <item x="540"/>
        <item x="432"/>
        <item x="98"/>
        <item x="114"/>
        <item x="65"/>
        <item x="112"/>
        <item x="131"/>
        <item x="52"/>
        <item x="73"/>
        <item x="229"/>
        <item x="631"/>
        <item x="193"/>
        <item x="244"/>
        <item x="590"/>
        <item x="492"/>
        <item x="230"/>
        <item x="27"/>
        <item x="286"/>
        <item x="605"/>
        <item x="363"/>
        <item x="601"/>
        <item x="416"/>
        <item x="404"/>
        <item x="54"/>
        <item x="14"/>
        <item x="388"/>
        <item x="497"/>
        <item x="434"/>
        <item x="423"/>
        <item x="407"/>
        <item x="373"/>
        <item x="543"/>
        <item x="321"/>
        <item x="187"/>
        <item x="180"/>
        <item x="192"/>
        <item x="72"/>
        <item x="2"/>
        <item x="105"/>
        <item x="519"/>
        <item x="127"/>
        <item x="408"/>
        <item x="617"/>
        <item x="384"/>
        <item x="94"/>
        <item x="303"/>
        <item x="196"/>
        <item x="397"/>
        <item x="3"/>
        <item x="593"/>
        <item x="449"/>
        <item x="457"/>
        <item x="101"/>
        <item x="87"/>
        <item x="66"/>
        <item x="58"/>
        <item x="167"/>
        <item x="109"/>
        <item x="201"/>
        <item x="622"/>
        <item x="268"/>
        <item x="411"/>
        <item x="427"/>
        <item x="333"/>
        <item x="224"/>
        <item x="53"/>
        <item x="137"/>
        <item x="139"/>
        <item x="166"/>
        <item x="238"/>
        <item x="476"/>
        <item x="122"/>
        <item x="81"/>
        <item x="179"/>
        <item x="74"/>
        <item x="252"/>
        <item x="68"/>
        <item x="55"/>
        <item x="299"/>
        <item x="36"/>
        <item x="390"/>
        <item x="123"/>
        <item x="574"/>
        <item x="263"/>
        <item x="609"/>
        <item x="200"/>
        <item x="532"/>
        <item x="212"/>
        <item x="96"/>
        <item x="35"/>
        <item x="85"/>
        <item x="561"/>
        <item x="275"/>
        <item x="383"/>
        <item x="216"/>
        <item x="485"/>
        <item x="285"/>
        <item x="51"/>
        <item x="545"/>
        <item x="106"/>
        <item x="190"/>
        <item x="402"/>
        <item x="86"/>
        <item x="16"/>
        <item x="618"/>
        <item x="15"/>
        <item x="606"/>
        <item x="198"/>
        <item x="531"/>
        <item x="358"/>
        <item x="510"/>
        <item x="269"/>
        <item x="317"/>
        <item x="155"/>
        <item x="311"/>
        <item x="340"/>
        <item x="401"/>
        <item x="235"/>
        <item x="59"/>
        <item x="10"/>
        <item x="580"/>
        <item x="234"/>
        <item x="612"/>
        <item x="566"/>
        <item x="512"/>
        <item x="530"/>
        <item x="462"/>
        <item x="215"/>
        <item x="4"/>
        <item x="393"/>
        <item x="351"/>
        <item x="381"/>
        <item x="364"/>
        <item x="142"/>
        <item x="227"/>
        <item x="248"/>
        <item x="369"/>
        <item x="184"/>
        <item x="526"/>
        <item x="400"/>
        <item x="170"/>
        <item x="504"/>
        <item x="365"/>
        <item x="554"/>
        <item x="162"/>
        <item x="84"/>
        <item x="426"/>
        <item x="189"/>
        <item x="375"/>
        <item x="319"/>
        <item x="447"/>
        <item x="136"/>
        <item x="208"/>
        <item x="236"/>
        <item x="576"/>
        <item x="63"/>
        <item x="564"/>
        <item x="257"/>
        <item x="520"/>
        <item x="395"/>
        <item x="30"/>
        <item x="536"/>
        <item x="610"/>
        <item x="417"/>
        <item x="435"/>
        <item x="382"/>
        <item x="438"/>
        <item x="406"/>
        <item x="185"/>
        <item x="591"/>
        <item x="619"/>
        <item x="99"/>
        <item x="75"/>
        <item x="307"/>
        <item x="195"/>
        <item x="151"/>
        <item x="264"/>
        <item x="380"/>
        <item x="49"/>
        <item x="314"/>
        <item x="246"/>
        <item x="272"/>
        <item x="44"/>
        <item x="343"/>
        <item x="282"/>
        <item x="387"/>
        <item x="392"/>
        <item x="249"/>
        <item x="575"/>
        <item x="350"/>
        <item x="428"/>
        <item x="399"/>
        <item x="6"/>
        <item x="623"/>
        <item x="306"/>
        <item x="479"/>
        <item x="528"/>
        <item x="270"/>
        <item x="548"/>
        <item x="221"/>
        <item x="488"/>
        <item x="325"/>
        <item x="377"/>
        <item x="168"/>
        <item x="553"/>
        <item x="419"/>
        <item x="294"/>
        <item x="39"/>
        <item x="371"/>
        <item x="242"/>
        <item x="516"/>
        <item x="154"/>
        <item x="284"/>
        <item x="587"/>
        <item x="441"/>
        <item x="463"/>
        <item x="602"/>
        <item x="578"/>
        <item x="50"/>
        <item x="218"/>
        <item x="484"/>
        <item x="513"/>
        <item x="549"/>
        <item x="243"/>
        <item x="70"/>
        <item x="511"/>
        <item x="460"/>
        <item x="522"/>
        <item x="211"/>
        <item x="194"/>
        <item x="31"/>
        <item x="527"/>
        <item x="206"/>
        <item x="420"/>
        <item x="241"/>
        <item x="64"/>
        <item x="439"/>
        <item x="203"/>
        <item x="615"/>
        <item x="483"/>
        <item x="38"/>
        <item x="506"/>
        <item x="461"/>
        <item x="7"/>
        <item x="494"/>
        <item x="138"/>
        <item x="573"/>
        <item x="169"/>
        <item x="174"/>
        <item x="297"/>
        <item x="186"/>
        <item x="113"/>
        <item x="143"/>
        <item x="140"/>
        <item x="608"/>
        <item x="273"/>
        <item x="271"/>
        <item x="571"/>
        <item x="620"/>
        <item x="228"/>
        <item x="421"/>
        <item x="147"/>
        <item x="161"/>
        <item x="409"/>
        <item x="291"/>
        <item x="370"/>
        <item x="542"/>
        <item x="239"/>
        <item x="89"/>
        <item x="262"/>
        <item x="45"/>
        <item x="598"/>
        <item x="353"/>
        <item x="583"/>
        <item x="316"/>
        <item x="172"/>
        <item x="327"/>
        <item x="302"/>
        <item x="410"/>
        <item x="60"/>
        <item x="318"/>
        <item x="133"/>
        <item x="596"/>
        <item x="468"/>
        <item x="240"/>
        <item x="25"/>
        <item x="469"/>
        <item x="256"/>
        <item x="599"/>
        <item x="467"/>
        <item x="79"/>
        <item x="124"/>
        <item x="562"/>
        <item x="232"/>
        <item x="41"/>
        <item x="352"/>
        <item x="119"/>
        <item x="292"/>
        <item x="552"/>
        <item x="78"/>
        <item x="160"/>
        <item x="9"/>
        <item x="91"/>
        <item x="459"/>
        <item x="209"/>
        <item x="276"/>
        <item x="584"/>
        <item x="40"/>
        <item x="412"/>
        <item x="26"/>
        <item x="111"/>
        <item x="547"/>
        <item x="22"/>
        <item x="12"/>
        <item x="585"/>
        <item x="339"/>
        <item x="188"/>
        <item x="518"/>
        <item x="83"/>
        <item x="251"/>
        <item x="524"/>
        <item x="503"/>
        <item x="418"/>
        <item x="360"/>
        <item x="97"/>
        <item x="515"/>
        <item x="357"/>
        <item x="296"/>
        <item x="308"/>
        <item x="300"/>
        <item x="283"/>
        <item x="42"/>
        <item x="197"/>
        <item x="61"/>
        <item x="183"/>
        <item x="465"/>
        <item x="453"/>
        <item x="165"/>
        <item x="341"/>
        <item x="148"/>
        <item x="92"/>
        <item x="144"/>
        <item x="331"/>
        <item x="582"/>
        <item x="312"/>
        <item x="525"/>
        <item x="455"/>
        <item x="126"/>
        <item x="456"/>
        <item x="376"/>
        <item x="164"/>
        <item x="328"/>
        <item x="46"/>
        <item x="486"/>
        <item x="614"/>
        <item x="67"/>
        <item x="424"/>
        <item x="489"/>
        <item x="464"/>
        <item x="567"/>
        <item x="332"/>
        <item x="448"/>
        <item x="558"/>
        <item x="80"/>
        <item x="32"/>
        <item x="202"/>
        <item x="62"/>
        <item x="490"/>
        <item x="473"/>
        <item x="386"/>
        <item x="173"/>
        <item x="337"/>
        <item x="237"/>
        <item x="247"/>
        <item x="355"/>
        <item x="281"/>
        <item x="214"/>
        <item x="301"/>
        <item x="233"/>
        <item x="199"/>
        <item x="559"/>
        <item x="118"/>
        <item x="260"/>
        <item x="405"/>
        <item x="359"/>
        <item x="159"/>
        <item x="90"/>
        <item x="175"/>
        <item x="57"/>
        <item x="48"/>
        <item x="508"/>
        <item x="437"/>
        <item x="625"/>
        <item x="267"/>
        <item x="107"/>
        <item x="226"/>
        <item x="258"/>
        <item x="535"/>
        <item x="374"/>
        <item x="261"/>
        <item x="278"/>
        <item x="77"/>
        <item x="309"/>
        <item x="104"/>
        <item x="533"/>
        <item x="280"/>
        <item x="474"/>
        <item x="313"/>
        <item x="219"/>
        <item x="628"/>
        <item x="315"/>
        <item x="556"/>
        <item x="475"/>
        <item x="157"/>
        <item x="335"/>
        <item x="611"/>
        <item x="17"/>
        <item x="600"/>
        <item x="539"/>
        <item x="141"/>
        <item x="348"/>
        <item x="149"/>
        <item x="345"/>
        <item x="546"/>
        <item x="181"/>
        <item x="429"/>
        <item x="210"/>
        <item x="310"/>
        <item x="509"/>
        <item x="329"/>
        <item x="577"/>
        <item x="176"/>
        <item x="534"/>
        <item x="266"/>
        <item x="444"/>
        <item x="217"/>
        <item x="422"/>
        <item x="425"/>
        <item x="103"/>
        <item x="572"/>
        <item x="579"/>
        <item x="128"/>
        <item x="213"/>
        <item x="288"/>
        <item x="110"/>
        <item x="346"/>
        <item x="222"/>
        <item x="279"/>
        <item x="21"/>
        <item x="466"/>
        <item x="5"/>
        <item x="482"/>
        <item x="537"/>
        <item x="450"/>
        <item x="250"/>
        <item x="624"/>
        <item x="366"/>
        <item x="274"/>
        <item x="347"/>
        <item x="8"/>
        <item x="454"/>
        <item x="433"/>
        <item x="495"/>
        <item x="29"/>
        <item x="517"/>
        <item x="487"/>
        <item x="394"/>
        <item x="550"/>
        <item x="326"/>
        <item x="586"/>
        <item x="507"/>
        <item x="440"/>
        <item x="163"/>
        <item x="478"/>
        <item x="604"/>
        <item x="413"/>
        <item x="245"/>
        <item x="499"/>
        <item x="135"/>
        <item x="0"/>
        <item x="551"/>
        <item x="389"/>
        <item x="500"/>
        <item x="445"/>
        <item x="372"/>
        <item x="76"/>
        <item x="446"/>
        <item x="589"/>
        <item x="592"/>
        <item x="191"/>
        <item x="430"/>
        <item x="121"/>
        <item x="277"/>
        <item x="630"/>
        <item x="496"/>
        <item x="472"/>
        <item x="37"/>
        <item x="18"/>
        <item x="23"/>
        <item x="336"/>
        <item x="568"/>
        <item x="481"/>
        <item x="253"/>
        <item x="621"/>
        <item x="153"/>
        <item x="225"/>
        <item x="436"/>
        <item x="43"/>
        <item x="182"/>
        <item x="588"/>
        <item x="396"/>
        <item x="470"/>
        <item x="398"/>
        <item x="565"/>
        <item x="205"/>
        <item x="502"/>
        <item x="71"/>
        <item x="334"/>
        <item x="594"/>
        <item x="108"/>
        <item x="69"/>
        <item x="471"/>
        <item x="570"/>
        <item x="354"/>
        <item x="356"/>
        <item x="569"/>
        <item x="290"/>
        <item x="117"/>
        <item x="19"/>
        <item x="415"/>
        <item x="145"/>
        <item x="603"/>
        <item x="33"/>
        <item x="627"/>
        <item x="88"/>
        <item x="493"/>
        <item x="443"/>
        <item x="349"/>
        <item x="480"/>
        <item x="28"/>
        <item x="115"/>
        <item x="458"/>
        <item x="597"/>
        <item x="82"/>
        <item x="220"/>
        <item x="287"/>
        <item x="523"/>
        <item x="403"/>
        <item x="204"/>
        <item x="629"/>
        <item x="330"/>
        <item x="442"/>
        <item x="362"/>
        <item x="231"/>
        <item x="171"/>
        <item x="563"/>
        <item x="93"/>
        <item x="557"/>
        <item x="207"/>
        <item x="34"/>
        <item x="514"/>
        <item x="158"/>
        <item x="498"/>
        <item x="304"/>
        <item x="120"/>
        <item x="295"/>
        <item x="505"/>
        <item x="368"/>
        <item x="344"/>
        <item x="129"/>
        <item x="521"/>
        <item x="555"/>
        <item x="322"/>
        <item x="378"/>
        <item x="24"/>
        <item x="544"/>
        <item x="452"/>
        <item x="156"/>
        <item x="391"/>
        <item x="595"/>
        <item x="379"/>
        <item x="367"/>
        <item x="607"/>
        <item x="95"/>
        <item x="178"/>
        <item x="541"/>
        <item x="538"/>
        <item x="13"/>
        <item x="491"/>
        <item x="451"/>
        <item x="342"/>
        <item x="102"/>
        <item x="254"/>
        <item x="320"/>
        <item x="20"/>
        <item x="414"/>
        <item x="616"/>
        <item x="431"/>
        <item x="130"/>
        <item x="223"/>
        <item x="56"/>
        <item x="324"/>
        <item x="293"/>
        <item x="305"/>
        <item x="581"/>
        <item x="613"/>
        <item x="529"/>
        <item x="255"/>
        <item x="100"/>
        <item x="47"/>
        <item t="default"/>
      </items>
    </pivotField>
    <pivotField compact="0" defaultSubtotal="0" showAll="0">
      <items count="5">
        <item x="0"/>
        <item x="4"/>
        <item x="1"/>
        <item x="2"/>
        <item x="3"/>
      </items>
    </pivotField>
  </pivotFields>
  <rowFields count="2">
    <field x="9"/>
    <field x="1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Sum of GrossRevenue" fld="27" baseField="0" baseItem="0"/>
  </dataFields>
  <formats count="1">
    <format dxfId="447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>
  <location ref="A3:I17" firstHeaderRow="1" firstDataRow="2" firstDataCol="1" rowPageCount="1" colPageCount="1"/>
  <pivotFields count="34">
    <pivotField compact="0" showAll="0">
      <items count="632">
        <item x="605"/>
        <item x="449"/>
        <item x="7"/>
        <item x="518"/>
        <item x="573"/>
        <item x="46"/>
        <item x="367"/>
        <item x="201"/>
        <item x="551"/>
        <item x="324"/>
        <item x="438"/>
        <item x="166"/>
        <item x="80"/>
        <item x="361"/>
        <item x="328"/>
        <item x="300"/>
        <item x="453"/>
        <item x="577"/>
        <item x="193"/>
        <item x="122"/>
        <item x="332"/>
        <item x="439"/>
        <item x="457"/>
        <item x="148"/>
        <item x="224"/>
        <item x="190"/>
        <item x="347"/>
        <item x="278"/>
        <item x="350"/>
        <item x="535"/>
        <item x="54"/>
        <item x="65"/>
        <item x="163"/>
        <item x="470"/>
        <item x="580"/>
        <item x="625"/>
        <item x="106"/>
        <item x="269"/>
        <item x="256"/>
        <item x="89"/>
        <item x="339"/>
        <item x="24"/>
        <item x="220"/>
        <item x="281"/>
        <item x="250"/>
        <item x="376"/>
        <item x="540"/>
        <item x="172"/>
        <item x="225"/>
        <item x="78"/>
        <item x="49"/>
        <item x="603"/>
        <item x="226"/>
        <item x="168"/>
        <item x="45"/>
        <item x="144"/>
        <item x="183"/>
        <item x="574"/>
        <item x="81"/>
        <item x="512"/>
        <item x="562"/>
        <item x="315"/>
        <item x="391"/>
        <item x="288"/>
        <item x="272"/>
        <item x="2"/>
        <item x="92"/>
        <item x="292"/>
        <item x="434"/>
        <item x="585"/>
        <item x="199"/>
        <item x="74"/>
        <item x="363"/>
        <item x="204"/>
        <item x="185"/>
        <item x="497"/>
        <item x="52"/>
        <item x="99"/>
        <item x="118"/>
        <item x="132"/>
        <item x="215"/>
        <item x="495"/>
        <item x="171"/>
        <item x="613"/>
        <item x="543"/>
        <item x="629"/>
        <item x="520"/>
        <item x="547"/>
        <item x="255"/>
        <item x="351"/>
        <item x="64"/>
        <item x="546"/>
        <item x="151"/>
        <item x="223"/>
        <item x="615"/>
        <item x="239"/>
        <item x="260"/>
        <item x="129"/>
        <item x="532"/>
        <item x="326"/>
        <item x="459"/>
        <item x="371"/>
        <item x="66"/>
        <item x="626"/>
        <item x="604"/>
        <item x="624"/>
        <item x="31"/>
        <item x="515"/>
        <item x="477"/>
        <item x="344"/>
        <item x="499"/>
        <item x="197"/>
        <item x="121"/>
        <item x="445"/>
        <item x="455"/>
        <item x="202"/>
        <item x="474"/>
        <item x="301"/>
        <item x="382"/>
        <item x="152"/>
        <item x="485"/>
        <item x="296"/>
        <item x="124"/>
        <item x="229"/>
        <item x="478"/>
        <item x="284"/>
        <item x="137"/>
        <item x="216"/>
        <item x="387"/>
        <item x="591"/>
        <item x="316"/>
        <item x="537"/>
        <item x="419"/>
        <item x="261"/>
        <item x="266"/>
        <item x="259"/>
        <item x="528"/>
        <item x="39"/>
        <item x="213"/>
        <item x="431"/>
        <item x="337"/>
        <item x="176"/>
        <item x="609"/>
        <item x="291"/>
        <item x="408"/>
        <item x="384"/>
        <item x="596"/>
        <item x="526"/>
        <item x="198"/>
        <item x="460"/>
        <item x="221"/>
        <item x="576"/>
        <item x="279"/>
        <item x="75"/>
        <item x="5"/>
        <item x="589"/>
        <item x="466"/>
        <item x="412"/>
        <item x="349"/>
        <item x="501"/>
        <item x="243"/>
        <item x="68"/>
        <item x="436"/>
        <item x="619"/>
        <item x="340"/>
        <item x="444"/>
        <item x="450"/>
        <item x="476"/>
        <item x="437"/>
        <item x="69"/>
        <item x="539"/>
        <item x="369"/>
        <item x="4"/>
        <item x="338"/>
        <item x="145"/>
        <item x="187"/>
        <item x="318"/>
        <item x="388"/>
        <item x="85"/>
        <item x="154"/>
        <item x="441"/>
        <item x="160"/>
        <item x="404"/>
        <item x="370"/>
        <item x="581"/>
        <item x="35"/>
        <item x="507"/>
        <item x="483"/>
        <item x="135"/>
        <item x="21"/>
        <item x="570"/>
        <item x="95"/>
        <item x="115"/>
        <item x="456"/>
        <item x="125"/>
        <item x="308"/>
        <item x="165"/>
        <item x="623"/>
        <item x="258"/>
        <item x="321"/>
        <item x="311"/>
        <item x="28"/>
        <item x="346"/>
        <item x="140"/>
        <item x="142"/>
        <item x="509"/>
        <item x="205"/>
        <item x="627"/>
        <item x="192"/>
        <item x="393"/>
        <item x="469"/>
        <item x="411"/>
        <item x="15"/>
        <item x="331"/>
        <item x="233"/>
        <item x="228"/>
        <item x="555"/>
        <item x="542"/>
        <item x="628"/>
        <item x="237"/>
        <item x="267"/>
        <item x="538"/>
        <item x="114"/>
        <item x="414"/>
        <item x="178"/>
        <item x="396"/>
        <item x="479"/>
        <item x="336"/>
        <item x="164"/>
        <item x="155"/>
        <item x="549"/>
        <item x="325"/>
        <item x="105"/>
        <item x="134"/>
        <item x="309"/>
        <item x="109"/>
        <item x="34"/>
        <item x="401"/>
        <item x="30"/>
        <item x="79"/>
        <item x="214"/>
        <item x="153"/>
        <item x="458"/>
        <item x="548"/>
        <item x="16"/>
        <item x="322"/>
        <item x="523"/>
        <item x="297"/>
        <item x="564"/>
        <item x="480"/>
        <item x="10"/>
        <item x="147"/>
        <item x="191"/>
        <item x="25"/>
        <item x="162"/>
        <item x="251"/>
        <item x="111"/>
        <item x="353"/>
        <item x="139"/>
        <item x="181"/>
        <item x="586"/>
        <item x="489"/>
        <item x="63"/>
        <item x="560"/>
        <item x="392"/>
        <item x="454"/>
        <item x="51"/>
        <item x="607"/>
        <item x="0"/>
        <item x="287"/>
        <item x="234"/>
        <item x="107"/>
        <item x="70"/>
        <item x="57"/>
        <item x="41"/>
        <item x="252"/>
        <item x="390"/>
        <item x="504"/>
        <item x="247"/>
        <item x="167"/>
        <item x="561"/>
        <item x="610"/>
        <item x="334"/>
        <item x="341"/>
        <item x="6"/>
        <item x="612"/>
        <item x="362"/>
        <item x="67"/>
        <item x="253"/>
        <item x="536"/>
        <item x="572"/>
        <item x="461"/>
        <item x="161"/>
        <item x="1"/>
        <item x="524"/>
        <item x="283"/>
        <item x="486"/>
        <item x="410"/>
        <item x="429"/>
        <item x="484"/>
        <item x="143"/>
        <item x="44"/>
        <item x="405"/>
        <item x="383"/>
        <item x="517"/>
        <item x="310"/>
        <item x="545"/>
        <item x="231"/>
        <item x="313"/>
        <item x="494"/>
        <item x="568"/>
        <item x="149"/>
        <item x="594"/>
        <item x="194"/>
        <item x="440"/>
        <item x="76"/>
        <item x="77"/>
        <item x="413"/>
        <item x="50"/>
        <item x="521"/>
        <item x="423"/>
        <item x="117"/>
        <item x="103"/>
        <item x="578"/>
        <item x="274"/>
        <item x="23"/>
        <item x="265"/>
        <item x="323"/>
        <item x="188"/>
        <item x="464"/>
        <item x="443"/>
        <item x="356"/>
        <item x="424"/>
        <item x="492"/>
        <item x="386"/>
        <item x="529"/>
        <item x="554"/>
        <item x="409"/>
        <item x="245"/>
        <item x="47"/>
        <item x="600"/>
        <item x="157"/>
        <item x="558"/>
        <item x="448"/>
        <item x="500"/>
        <item x="232"/>
        <item x="335"/>
        <item x="587"/>
        <item x="493"/>
        <item x="277"/>
        <item x="433"/>
        <item x="126"/>
        <item x="598"/>
        <item x="123"/>
        <item x="8"/>
        <item x="582"/>
        <item x="86"/>
        <item x="38"/>
        <item x="88"/>
        <item x="128"/>
        <item x="170"/>
        <item x="400"/>
        <item x="541"/>
        <item x="33"/>
        <item x="40"/>
        <item x="97"/>
        <item x="184"/>
        <item x="475"/>
        <item x="342"/>
        <item x="472"/>
        <item x="430"/>
        <item x="415"/>
        <item x="249"/>
        <item x="195"/>
        <item x="402"/>
        <item x="209"/>
        <item x="557"/>
        <item x="207"/>
        <item x="583"/>
        <item x="373"/>
        <item x="36"/>
        <item x="359"/>
        <item x="527"/>
        <item x="320"/>
        <item x="217"/>
        <item x="496"/>
        <item x="506"/>
        <item x="611"/>
        <item x="442"/>
        <item x="271"/>
        <item x="418"/>
        <item x="618"/>
        <item x="189"/>
        <item x="156"/>
        <item x="567"/>
        <item x="104"/>
        <item x="508"/>
        <item x="218"/>
        <item x="138"/>
        <item x="465"/>
        <item x="26"/>
        <item x="295"/>
        <item x="490"/>
        <item x="108"/>
        <item x="20"/>
        <item x="73"/>
        <item x="235"/>
        <item x="427"/>
        <item x="621"/>
        <item x="365"/>
        <item x="319"/>
        <item x="522"/>
        <item x="273"/>
        <item x="136"/>
        <item x="432"/>
        <item x="608"/>
        <item x="101"/>
        <item x="451"/>
        <item x="244"/>
        <item x="27"/>
        <item x="254"/>
        <item x="286"/>
        <item x="242"/>
        <item x="374"/>
        <item x="559"/>
        <item x="303"/>
        <item x="268"/>
        <item x="447"/>
        <item x="13"/>
        <item x="358"/>
        <item x="519"/>
        <item x="343"/>
        <item x="238"/>
        <item x="345"/>
        <item x="141"/>
        <item x="60"/>
        <item x="599"/>
        <item x="110"/>
        <item x="352"/>
        <item x="112"/>
        <item x="354"/>
        <item x="312"/>
        <item x="616"/>
        <item x="72"/>
        <item x="169"/>
        <item x="592"/>
        <item x="275"/>
        <item x="177"/>
        <item x="510"/>
        <item x="357"/>
        <item x="511"/>
        <item x="48"/>
        <item x="196"/>
        <item x="174"/>
        <item x="435"/>
        <item x="398"/>
        <item x="487"/>
        <item x="565"/>
        <item x="211"/>
        <item x="426"/>
        <item x="93"/>
        <item x="42"/>
        <item x="200"/>
        <item x="82"/>
        <item x="364"/>
        <item x="236"/>
        <item x="513"/>
        <item x="304"/>
        <item x="206"/>
        <item x="534"/>
        <item x="617"/>
        <item x="579"/>
        <item x="3"/>
        <item x="569"/>
        <item x="571"/>
        <item x="120"/>
        <item x="257"/>
        <item x="375"/>
        <item x="601"/>
        <item x="299"/>
        <item x="379"/>
        <item x="417"/>
        <item x="314"/>
        <item x="17"/>
        <item x="146"/>
        <item x="150"/>
        <item x="584"/>
        <item x="248"/>
        <item x="482"/>
        <item x="488"/>
        <item x="606"/>
        <item x="96"/>
        <item x="372"/>
        <item x="420"/>
        <item x="302"/>
        <item x="588"/>
        <item x="575"/>
        <item x="227"/>
        <item x="462"/>
        <item x="368"/>
        <item x="533"/>
        <item x="333"/>
        <item x="100"/>
        <item x="84"/>
        <item x="502"/>
        <item x="553"/>
        <item x="552"/>
        <item x="133"/>
        <item x="306"/>
        <item x="294"/>
        <item x="416"/>
        <item x="307"/>
        <item x="481"/>
        <item x="452"/>
        <item x="159"/>
        <item x="550"/>
        <item x="263"/>
        <item x="525"/>
        <item x="446"/>
        <item x="505"/>
        <item x="32"/>
        <item x="348"/>
        <item x="270"/>
        <item x="389"/>
        <item x="394"/>
        <item x="293"/>
        <item x="12"/>
        <item x="83"/>
        <item x="463"/>
        <item x="131"/>
        <item x="240"/>
        <item x="407"/>
        <item x="11"/>
        <item x="62"/>
        <item x="91"/>
        <item x="614"/>
        <item x="127"/>
        <item x="285"/>
        <item x="98"/>
        <item x="186"/>
        <item x="29"/>
        <item x="212"/>
        <item x="53"/>
        <item x="22"/>
        <item x="210"/>
        <item x="397"/>
        <item x="360"/>
        <item x="399"/>
        <item x="366"/>
        <item x="90"/>
        <item x="208"/>
        <item x="514"/>
        <item x="377"/>
        <item x="58"/>
        <item x="71"/>
        <item x="241"/>
        <item x="113"/>
        <item x="622"/>
        <item x="130"/>
        <item x="421"/>
        <item x="179"/>
        <item x="329"/>
        <item x="563"/>
        <item x="102"/>
        <item x="180"/>
        <item x="428"/>
        <item x="395"/>
        <item x="276"/>
        <item x="222"/>
        <item x="503"/>
        <item x="473"/>
        <item x="597"/>
        <item x="280"/>
        <item x="116"/>
        <item x="173"/>
        <item x="491"/>
        <item x="595"/>
        <item x="37"/>
        <item x="94"/>
        <item x="630"/>
        <item x="330"/>
        <item x="19"/>
        <item x="602"/>
        <item x="290"/>
        <item x="230"/>
        <item x="219"/>
        <item x="59"/>
        <item x="55"/>
        <item x="158"/>
        <item x="531"/>
        <item x="327"/>
        <item x="61"/>
        <item x="471"/>
        <item x="381"/>
        <item x="467"/>
        <item x="425"/>
        <item x="43"/>
        <item x="380"/>
        <item x="498"/>
        <item x="516"/>
        <item x="422"/>
        <item x="14"/>
        <item x="18"/>
        <item x="175"/>
        <item x="593"/>
        <item x="317"/>
        <item x="87"/>
        <item x="385"/>
        <item x="556"/>
        <item x="406"/>
        <item x="264"/>
        <item x="182"/>
        <item x="620"/>
        <item x="262"/>
        <item x="403"/>
        <item x="378"/>
        <item x="289"/>
        <item x="530"/>
        <item x="566"/>
        <item x="56"/>
        <item x="298"/>
        <item x="305"/>
        <item x="246"/>
        <item x="468"/>
        <item x="355"/>
        <item x="119"/>
        <item x="544"/>
        <item x="203"/>
        <item x="282"/>
        <item x="590"/>
        <item x="9"/>
        <item t="default"/>
      </items>
    </pivotField>
    <pivotField compact="0" numFmtId="17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3">
        <item x="4"/>
        <item x="2"/>
        <item x="0"/>
        <item x="7"/>
        <item x="5"/>
        <item x="9"/>
        <item x="8"/>
        <item x="11"/>
        <item x="6"/>
        <item x="1"/>
        <item x="10"/>
        <item x="3"/>
        <item t="default"/>
      </items>
    </pivotField>
    <pivotField compact="0" showAll="0">
      <items count="469">
        <item x="5"/>
        <item x="455"/>
        <item x="271"/>
        <item x="415"/>
        <item x="181"/>
        <item x="7"/>
        <item x="371"/>
        <item x="184"/>
        <item x="119"/>
        <item x="424"/>
        <item x="122"/>
        <item x="171"/>
        <item x="180"/>
        <item x="312"/>
        <item x="23"/>
        <item x="77"/>
        <item x="426"/>
        <item x="62"/>
        <item x="152"/>
        <item x="147"/>
        <item x="361"/>
        <item x="29"/>
        <item x="159"/>
        <item x="452"/>
        <item x="2"/>
        <item x="107"/>
        <item x="432"/>
        <item x="226"/>
        <item x="336"/>
        <item x="206"/>
        <item x="315"/>
        <item x="211"/>
        <item x="342"/>
        <item x="64"/>
        <item x="278"/>
        <item x="150"/>
        <item x="33"/>
        <item x="50"/>
        <item x="451"/>
        <item x="163"/>
        <item x="89"/>
        <item x="458"/>
        <item x="125"/>
        <item x="290"/>
        <item x="27"/>
        <item x="387"/>
        <item x="153"/>
        <item x="43"/>
        <item x="67"/>
        <item x="460"/>
        <item x="15"/>
        <item x="441"/>
        <item x="410"/>
        <item x="129"/>
        <item x="449"/>
        <item x="177"/>
        <item x="275"/>
        <item x="239"/>
        <item x="406"/>
        <item x="20"/>
        <item x="382"/>
        <item x="362"/>
        <item x="72"/>
        <item x="207"/>
        <item x="373"/>
        <item x="234"/>
        <item x="328"/>
        <item x="408"/>
        <item x="446"/>
        <item x="308"/>
        <item x="109"/>
        <item x="280"/>
        <item x="367"/>
        <item x="75"/>
        <item x="251"/>
        <item x="37"/>
        <item x="264"/>
        <item x="169"/>
        <item x="44"/>
        <item x="87"/>
        <item x="85"/>
        <item x="306"/>
        <item x="186"/>
        <item x="140"/>
        <item x="133"/>
        <item x="422"/>
        <item x="425"/>
        <item x="376"/>
        <item x="47"/>
        <item x="289"/>
        <item x="386"/>
        <item x="256"/>
        <item x="172"/>
        <item x="370"/>
        <item x="245"/>
        <item x="288"/>
        <item x="131"/>
        <item x="203"/>
        <item x="443"/>
        <item x="242"/>
        <item x="235"/>
        <item x="174"/>
        <item x="389"/>
        <item x="115"/>
        <item x="183"/>
        <item x="419"/>
        <item x="66"/>
        <item x="114"/>
        <item x="260"/>
        <item x="417"/>
        <item x="343"/>
        <item x="200"/>
        <item x="161"/>
        <item x="345"/>
        <item x="52"/>
        <item x="429"/>
        <item x="137"/>
        <item x="459"/>
        <item x="73"/>
        <item x="216"/>
        <item x="364"/>
        <item x="158"/>
        <item x="199"/>
        <item x="323"/>
        <item x="204"/>
        <item x="231"/>
        <item x="155"/>
        <item x="327"/>
        <item x="233"/>
        <item x="348"/>
        <item x="176"/>
        <item x="358"/>
        <item x="259"/>
        <item x="282"/>
        <item x="391"/>
        <item x="324"/>
        <item x="250"/>
        <item x="143"/>
        <item x="193"/>
        <item x="276"/>
        <item x="285"/>
        <item x="112"/>
        <item x="106"/>
        <item x="214"/>
        <item x="134"/>
        <item x="294"/>
        <item x="297"/>
        <item x="63"/>
        <item x="374"/>
        <item x="4"/>
        <item x="141"/>
        <item x="340"/>
        <item x="380"/>
        <item x="202"/>
        <item x="195"/>
        <item x="295"/>
        <item x="81"/>
        <item x="240"/>
        <item x="311"/>
        <item x="423"/>
        <item x="113"/>
        <item x="360"/>
        <item x="300"/>
        <item x="279"/>
        <item x="435"/>
        <item x="241"/>
        <item x="39"/>
        <item x="182"/>
        <item x="94"/>
        <item x="347"/>
        <item x="303"/>
        <item x="13"/>
        <item x="84"/>
        <item x="436"/>
        <item x="247"/>
        <item x="10"/>
        <item x="145"/>
        <item x="162"/>
        <item x="383"/>
        <item x="437"/>
        <item x="179"/>
        <item x="128"/>
        <item x="221"/>
        <item x="292"/>
        <item x="142"/>
        <item x="351"/>
        <item x="439"/>
        <item x="354"/>
        <item x="352"/>
        <item x="194"/>
        <item x="397"/>
        <item x="263"/>
        <item x="314"/>
        <item x="428"/>
        <item x="220"/>
        <item x="34"/>
        <item x="307"/>
        <item x="58"/>
        <item x="0"/>
        <item x="450"/>
        <item x="227"/>
        <item x="246"/>
        <item x="68"/>
        <item x="363"/>
        <item x="265"/>
        <item x="248"/>
        <item x="215"/>
        <item x="244"/>
        <item x="149"/>
        <item x="136"/>
        <item x="403"/>
        <item x="82"/>
        <item x="286"/>
        <item x="70"/>
        <item x="413"/>
        <item x="31"/>
        <item x="36"/>
        <item x="395"/>
        <item x="412"/>
        <item x="400"/>
        <item x="230"/>
        <item x="372"/>
        <item x="8"/>
        <item x="375"/>
        <item x="322"/>
        <item x="385"/>
        <item x="393"/>
        <item x="45"/>
        <item x="313"/>
        <item x="22"/>
        <item x="173"/>
        <item x="42"/>
        <item x="98"/>
        <item x="65"/>
        <item x="154"/>
        <item x="398"/>
        <item x="91"/>
        <item x="118"/>
        <item x="101"/>
        <item x="368"/>
        <item x="151"/>
        <item x="416"/>
        <item x="344"/>
        <item x="116"/>
        <item x="274"/>
        <item x="102"/>
        <item x="103"/>
        <item x="369"/>
        <item x="132"/>
        <item x="249"/>
        <item x="269"/>
        <item x="304"/>
        <item x="463"/>
        <item x="104"/>
        <item x="24"/>
        <item x="411"/>
        <item x="287"/>
        <item x="293"/>
        <item x="157"/>
        <item x="320"/>
        <item x="26"/>
        <item x="334"/>
        <item x="19"/>
        <item x="465"/>
        <item x="228"/>
        <item x="453"/>
        <item x="447"/>
        <item x="399"/>
        <item x="144"/>
        <item x="298"/>
        <item x="326"/>
        <item x="175"/>
        <item x="99"/>
        <item x="421"/>
        <item x="456"/>
        <item x="353"/>
        <item x="396"/>
        <item x="365"/>
        <item x="32"/>
        <item x="38"/>
        <item x="74"/>
        <item x="341"/>
        <item x="434"/>
        <item x="225"/>
        <item x="209"/>
        <item x="210"/>
        <item x="331"/>
        <item x="255"/>
        <item x="191"/>
        <item x="187"/>
        <item x="212"/>
        <item x="97"/>
        <item x="197"/>
        <item x="178"/>
        <item x="138"/>
        <item x="366"/>
        <item x="189"/>
        <item x="166"/>
        <item x="88"/>
        <item x="238"/>
        <item x="156"/>
        <item x="407"/>
        <item x="196"/>
        <item x="464"/>
        <item x="46"/>
        <item x="100"/>
        <item x="49"/>
        <item x="462"/>
        <item x="168"/>
        <item x="1"/>
        <item x="404"/>
        <item x="40"/>
        <item x="229"/>
        <item x="291"/>
        <item x="148"/>
        <item x="356"/>
        <item x="61"/>
        <item x="273"/>
        <item x="333"/>
        <item x="48"/>
        <item x="299"/>
        <item x="223"/>
        <item x="444"/>
        <item x="405"/>
        <item x="392"/>
        <item x="127"/>
        <item x="76"/>
        <item x="379"/>
        <item x="302"/>
        <item x="461"/>
        <item x="25"/>
        <item x="219"/>
        <item x="96"/>
        <item x="430"/>
        <item x="390"/>
        <item x="16"/>
        <item x="330"/>
        <item x="126"/>
        <item x="71"/>
        <item x="55"/>
        <item x="337"/>
        <item x="124"/>
        <item x="130"/>
        <item x="359"/>
        <item x="6"/>
        <item x="357"/>
        <item x="272"/>
        <item x="11"/>
        <item x="409"/>
        <item x="316"/>
        <item x="123"/>
        <item x="420"/>
        <item x="283"/>
        <item x="170"/>
        <item x="105"/>
        <item x="335"/>
        <item x="51"/>
        <item x="266"/>
        <item x="93"/>
        <item x="192"/>
        <item x="318"/>
        <item x="167"/>
        <item x="185"/>
        <item x="317"/>
        <item x="414"/>
        <item x="54"/>
        <item x="120"/>
        <item x="146"/>
        <item x="433"/>
        <item x="454"/>
        <item x="243"/>
        <item x="338"/>
        <item x="349"/>
        <item x="467"/>
        <item x="121"/>
        <item x="12"/>
        <item x="339"/>
        <item x="402"/>
        <item x="418"/>
        <item x="252"/>
        <item x="310"/>
        <item x="309"/>
        <item x="381"/>
        <item x="401"/>
        <item x="80"/>
        <item x="3"/>
        <item x="258"/>
        <item x="95"/>
        <item x="277"/>
        <item x="254"/>
        <item x="53"/>
        <item x="28"/>
        <item x="69"/>
        <item x="377"/>
        <item x="261"/>
        <item x="332"/>
        <item x="440"/>
        <item x="160"/>
        <item x="139"/>
        <item x="448"/>
        <item x="222"/>
        <item x="79"/>
        <item x="208"/>
        <item x="60"/>
        <item x="86"/>
        <item x="57"/>
        <item x="355"/>
        <item x="267"/>
        <item x="321"/>
        <item x="78"/>
        <item x="394"/>
        <item x="217"/>
        <item x="253"/>
        <item x="270"/>
        <item x="281"/>
        <item x="9"/>
        <item x="329"/>
        <item x="41"/>
        <item x="262"/>
        <item x="108"/>
        <item x="346"/>
        <item x="56"/>
        <item x="21"/>
        <item x="325"/>
        <item x="296"/>
        <item x="111"/>
        <item x="236"/>
        <item x="268"/>
        <item x="35"/>
        <item x="305"/>
        <item x="438"/>
        <item x="232"/>
        <item x="350"/>
        <item x="110"/>
        <item x="445"/>
        <item x="190"/>
        <item x="201"/>
        <item x="213"/>
        <item x="466"/>
        <item x="18"/>
        <item x="188"/>
        <item x="92"/>
        <item x="319"/>
        <item x="30"/>
        <item x="378"/>
        <item x="90"/>
        <item x="218"/>
        <item x="442"/>
        <item x="117"/>
        <item x="431"/>
        <item x="83"/>
        <item x="205"/>
        <item x="457"/>
        <item x="384"/>
        <item x="301"/>
        <item x="427"/>
        <item x="164"/>
        <item x="198"/>
        <item x="257"/>
        <item x="388"/>
        <item x="14"/>
        <item x="237"/>
        <item x="17"/>
        <item x="59"/>
        <item x="135"/>
        <item x="224"/>
        <item x="284"/>
        <item x="165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numFmtId="181" showAll="0">
      <items count="470">
        <item x="5"/>
        <item x="7"/>
        <item x="185"/>
        <item x="199"/>
        <item x="411"/>
        <item x="270"/>
        <item x="125"/>
        <item x="128"/>
        <item x="187"/>
        <item x="441"/>
        <item x="78"/>
        <item x="24"/>
        <item x="419"/>
        <item x="183"/>
        <item x="62"/>
        <item x="279"/>
        <item x="174"/>
        <item x="152"/>
        <item x="111"/>
        <item x="422"/>
        <item x="297"/>
        <item x="162"/>
        <item x="157"/>
        <item x="384"/>
        <item x="96"/>
        <item x="223"/>
        <item x="2"/>
        <item x="155"/>
        <item x="214"/>
        <item x="211"/>
        <item x="314"/>
        <item x="50"/>
        <item x="339"/>
        <item x="310"/>
        <item x="64"/>
        <item x="290"/>
        <item x="132"/>
        <item x="277"/>
        <item x="166"/>
        <item x="130"/>
        <item x="357"/>
        <item x="400"/>
        <item x="15"/>
        <item x="453"/>
        <item x="450"/>
        <item x="437"/>
        <item x="92"/>
        <item x="189"/>
        <item x="43"/>
        <item x="430"/>
        <item x="235"/>
        <item x="206"/>
        <item x="67"/>
        <item x="184"/>
        <item x="28"/>
        <item x="295"/>
        <item x="72"/>
        <item x="370"/>
        <item x="426"/>
        <item x="379"/>
        <item x="383"/>
        <item x="180"/>
        <item x="408"/>
        <item x="21"/>
        <item x="281"/>
        <item x="435"/>
        <item x="359"/>
        <item x="103"/>
        <item x="403"/>
        <item x="212"/>
        <item x="374"/>
        <item x="76"/>
        <item x="282"/>
        <item x="114"/>
        <item x="326"/>
        <item x="367"/>
        <item x="271"/>
        <item x="90"/>
        <item x="37"/>
        <item x="305"/>
        <item x="440"/>
        <item x="87"/>
        <item x="44"/>
        <item x="393"/>
        <item x="260"/>
        <item x="420"/>
        <item x="416"/>
        <item x="438"/>
        <item x="418"/>
        <item x="138"/>
        <item x="467"/>
        <item x="373"/>
        <item x="172"/>
        <item x="264"/>
        <item x="145"/>
        <item x="175"/>
        <item x="47"/>
        <item x="464"/>
        <item x="208"/>
        <item x="254"/>
        <item x="241"/>
        <item x="238"/>
        <item x="386"/>
        <item x="289"/>
        <item x="177"/>
        <item x="170"/>
        <item x="230"/>
        <item x="136"/>
        <item x="466"/>
        <item x="52"/>
        <item x="286"/>
        <item x="120"/>
        <item x="121"/>
        <item x="66"/>
        <item x="204"/>
        <item x="165"/>
        <item x="79"/>
        <item x="340"/>
        <item x="460"/>
        <item x="142"/>
        <item x="380"/>
        <item x="413"/>
        <item x="258"/>
        <item x="360"/>
        <item x="203"/>
        <item x="322"/>
        <item x="227"/>
        <item x="73"/>
        <item x="308"/>
        <item x="161"/>
        <item x="456"/>
        <item x="229"/>
        <item x="355"/>
        <item x="353"/>
        <item x="159"/>
        <item x="325"/>
        <item x="395"/>
        <item x="209"/>
        <item x="406"/>
        <item x="263"/>
        <item x="147"/>
        <item x="323"/>
        <item x="257"/>
        <item x="179"/>
        <item x="247"/>
        <item x="284"/>
        <item x="388"/>
        <item x="196"/>
        <item x="139"/>
        <item x="275"/>
        <item x="110"/>
        <item x="287"/>
        <item x="217"/>
        <item x="371"/>
        <item x="369"/>
        <item x="117"/>
        <item x="298"/>
        <item x="293"/>
        <item x="336"/>
        <item x="207"/>
        <item x="83"/>
        <item x="63"/>
        <item x="4"/>
        <item x="236"/>
        <item x="436"/>
        <item x="309"/>
        <item x="296"/>
        <item x="358"/>
        <item x="429"/>
        <item x="362"/>
        <item x="198"/>
        <item x="385"/>
        <item x="465"/>
        <item x="118"/>
        <item x="98"/>
        <item x="237"/>
        <item x="86"/>
        <item x="243"/>
        <item x="186"/>
        <item x="253"/>
        <item x="454"/>
        <item x="39"/>
        <item x="303"/>
        <item x="431"/>
        <item x="250"/>
        <item x="414"/>
        <item x="10"/>
        <item x="344"/>
        <item x="13"/>
        <item x="134"/>
        <item x="176"/>
        <item x="433"/>
        <item x="149"/>
        <item x="381"/>
        <item x="391"/>
        <item x="182"/>
        <item x="146"/>
        <item x="348"/>
        <item x="351"/>
        <item x="280"/>
        <item x="259"/>
        <item x="312"/>
        <item x="68"/>
        <item x="447"/>
        <item x="402"/>
        <item x="34"/>
        <item x="221"/>
        <item x="427"/>
        <item x="197"/>
        <item x="375"/>
        <item x="261"/>
        <item x="0"/>
        <item x="154"/>
        <item x="58"/>
        <item x="244"/>
        <item x="242"/>
        <item x="240"/>
        <item x="288"/>
        <item x="301"/>
        <item x="141"/>
        <item x="84"/>
        <item x="410"/>
        <item x="36"/>
        <item x="70"/>
        <item x="32"/>
        <item x="409"/>
        <item x="321"/>
        <item x="365"/>
        <item x="372"/>
        <item x="226"/>
        <item x="338"/>
        <item x="428"/>
        <item x="23"/>
        <item x="390"/>
        <item x="94"/>
        <item x="102"/>
        <item x="45"/>
        <item x="8"/>
        <item x="42"/>
        <item x="163"/>
        <item x="65"/>
        <item x="105"/>
        <item x="421"/>
        <item x="107"/>
        <item x="124"/>
        <item x="158"/>
        <item x="307"/>
        <item x="156"/>
        <item x="392"/>
        <item x="278"/>
        <item x="266"/>
        <item x="443"/>
        <item x="412"/>
        <item x="273"/>
        <item x="304"/>
        <item x="122"/>
        <item x="75"/>
        <item x="455"/>
        <item x="246"/>
        <item x="137"/>
        <item x="106"/>
        <item x="364"/>
        <item x="292"/>
        <item x="25"/>
        <item x="160"/>
        <item x="27"/>
        <item x="446"/>
        <item x="20"/>
        <item x="108"/>
        <item x="224"/>
        <item x="294"/>
        <item x="423"/>
        <item x="319"/>
        <item x="332"/>
        <item x="442"/>
        <item x="331"/>
        <item x="148"/>
        <item x="299"/>
        <item x="33"/>
        <item x="462"/>
        <item x="417"/>
        <item x="448"/>
        <item x="178"/>
        <item x="104"/>
        <item x="337"/>
        <item x="252"/>
        <item x="213"/>
        <item x="350"/>
        <item x="394"/>
        <item x="150"/>
        <item x="38"/>
        <item x="74"/>
        <item x="425"/>
        <item x="181"/>
        <item x="215"/>
        <item x="361"/>
        <item x="330"/>
        <item x="101"/>
        <item x="191"/>
        <item x="234"/>
        <item x="168"/>
        <item x="201"/>
        <item x="143"/>
        <item x="1"/>
        <item x="193"/>
        <item x="459"/>
        <item x="399"/>
        <item x="171"/>
        <item x="91"/>
        <item x="291"/>
        <item x="272"/>
        <item x="49"/>
        <item x="432"/>
        <item x="46"/>
        <item x="200"/>
        <item x="352"/>
        <item x="40"/>
        <item x="61"/>
        <item x="225"/>
        <item x="401"/>
        <item x="48"/>
        <item x="153"/>
        <item x="300"/>
        <item x="389"/>
        <item x="119"/>
        <item x="302"/>
        <item x="387"/>
        <item x="341"/>
        <item x="220"/>
        <item x="133"/>
        <item x="55"/>
        <item x="354"/>
        <item x="71"/>
        <item x="77"/>
        <item x="452"/>
        <item x="129"/>
        <item x="100"/>
        <item x="368"/>
        <item x="26"/>
        <item x="113"/>
        <item x="404"/>
        <item x="16"/>
        <item x="135"/>
        <item x="131"/>
        <item x="356"/>
        <item x="6"/>
        <item x="30"/>
        <item x="457"/>
        <item x="315"/>
        <item x="262"/>
        <item x="11"/>
        <item x="109"/>
        <item x="333"/>
        <item x="269"/>
        <item x="195"/>
        <item x="173"/>
        <item x="190"/>
        <item x="97"/>
        <item x="51"/>
        <item x="316"/>
        <item x="188"/>
        <item x="444"/>
        <item x="126"/>
        <item x="54"/>
        <item x="169"/>
        <item x="239"/>
        <item x="468"/>
        <item x="335"/>
        <item x="345"/>
        <item x="334"/>
        <item x="127"/>
        <item x="397"/>
        <item x="268"/>
        <item x="398"/>
        <item x="248"/>
        <item x="12"/>
        <item x="3"/>
        <item x="99"/>
        <item x="256"/>
        <item x="343"/>
        <item x="306"/>
        <item x="311"/>
        <item x="29"/>
        <item x="267"/>
        <item x="251"/>
        <item x="434"/>
        <item x="82"/>
        <item x="376"/>
        <item x="81"/>
        <item x="232"/>
        <item x="276"/>
        <item x="363"/>
        <item x="53"/>
        <item x="222"/>
        <item x="461"/>
        <item x="164"/>
        <item x="69"/>
        <item x="415"/>
        <item x="57"/>
        <item x="88"/>
        <item x="144"/>
        <item x="283"/>
        <item x="449"/>
        <item x="19"/>
        <item x="80"/>
        <item x="60"/>
        <item x="320"/>
        <item x="218"/>
        <item x="249"/>
        <item x="407"/>
        <item x="378"/>
        <item x="274"/>
        <item x="327"/>
        <item x="9"/>
        <item x="112"/>
        <item x="342"/>
        <item x="56"/>
        <item x="41"/>
        <item x="451"/>
        <item x="366"/>
        <item x="89"/>
        <item x="231"/>
        <item x="22"/>
        <item x="324"/>
        <item x="228"/>
        <item x="346"/>
        <item x="265"/>
        <item x="35"/>
        <item x="313"/>
        <item x="116"/>
        <item x="245"/>
        <item x="458"/>
        <item x="205"/>
        <item x="115"/>
        <item x="216"/>
        <item x="463"/>
        <item x="439"/>
        <item x="194"/>
        <item x="18"/>
        <item x="31"/>
        <item x="192"/>
        <item x="219"/>
        <item x="123"/>
        <item x="377"/>
        <item x="93"/>
        <item x="318"/>
        <item x="95"/>
        <item x="85"/>
        <item x="151"/>
        <item x="424"/>
        <item x="255"/>
        <item x="405"/>
        <item x="210"/>
        <item x="382"/>
        <item x="349"/>
        <item x="317"/>
        <item x="233"/>
        <item x="59"/>
        <item x="328"/>
        <item x="17"/>
        <item x="167"/>
        <item x="445"/>
        <item x="329"/>
        <item x="202"/>
        <item x="347"/>
        <item x="285"/>
        <item x="140"/>
        <item x="14"/>
        <item x="396"/>
        <item t="default"/>
      </items>
    </pivotField>
    <pivotField compact="0" numFmtId="181" showAll="0">
      <items count="473">
        <item x="5"/>
        <item x="185"/>
        <item x="7"/>
        <item x="412"/>
        <item x="199"/>
        <item x="123"/>
        <item x="126"/>
        <item x="187"/>
        <item x="443"/>
        <item x="78"/>
        <item x="24"/>
        <item x="420"/>
        <item x="183"/>
        <item x="62"/>
        <item x="174"/>
        <item x="152"/>
        <item x="109"/>
        <item x="424"/>
        <item x="276"/>
        <item x="294"/>
        <item x="162"/>
        <item x="157"/>
        <item x="381"/>
        <item x="95"/>
        <item x="222"/>
        <item x="2"/>
        <item x="155"/>
        <item x="214"/>
        <item x="211"/>
        <item x="311"/>
        <item x="50"/>
        <item x="335"/>
        <item x="307"/>
        <item x="64"/>
        <item x="130"/>
        <item x="273"/>
        <item x="166"/>
        <item x="128"/>
        <item x="382"/>
        <item x="287"/>
        <item x="34"/>
        <item x="457"/>
        <item x="454"/>
        <item x="440"/>
        <item x="91"/>
        <item x="189"/>
        <item x="15"/>
        <item x="433"/>
        <item x="206"/>
        <item x="67"/>
        <item x="184"/>
        <item x="28"/>
        <item x="292"/>
        <item x="133"/>
        <item x="366"/>
        <item x="428"/>
        <item x="376"/>
        <item x="380"/>
        <item x="180"/>
        <item x="72"/>
        <item x="21"/>
        <item x="278"/>
        <item x="438"/>
        <item x="354"/>
        <item x="102"/>
        <item x="403"/>
        <item x="212"/>
        <item x="370"/>
        <item x="76"/>
        <item x="279"/>
        <item x="112"/>
        <item x="322"/>
        <item x="363"/>
        <item x="246"/>
        <item x="38"/>
        <item x="302"/>
        <item x="89"/>
        <item x="86"/>
        <item x="44"/>
        <item x="392"/>
        <item x="258"/>
        <item x="421"/>
        <item x="417"/>
        <item x="441"/>
        <item x="419"/>
        <item x="137"/>
        <item x="470"/>
        <item x="369"/>
        <item x="172"/>
        <item x="262"/>
        <item x="144"/>
        <item x="360"/>
        <item x="175"/>
        <item x="47"/>
        <item x="208"/>
        <item x="252"/>
        <item x="239"/>
        <item x="236"/>
        <item x="385"/>
        <item x="286"/>
        <item x="177"/>
        <item x="170"/>
        <item x="229"/>
        <item x="135"/>
        <item x="469"/>
        <item x="52"/>
        <item x="283"/>
        <item x="118"/>
        <item x="119"/>
        <item x="66"/>
        <item x="204"/>
        <item x="165"/>
        <item x="79"/>
        <item x="336"/>
        <item x="464"/>
        <item x="141"/>
        <item x="377"/>
        <item x="414"/>
        <item x="256"/>
        <item x="355"/>
        <item x="203"/>
        <item x="318"/>
        <item x="226"/>
        <item x="73"/>
        <item x="305"/>
        <item x="161"/>
        <item x="460"/>
        <item x="228"/>
        <item x="351"/>
        <item x="349"/>
        <item x="159"/>
        <item x="321"/>
        <item x="394"/>
        <item x="209"/>
        <item x="406"/>
        <item x="261"/>
        <item x="147"/>
        <item x="319"/>
        <item x="255"/>
        <item x="179"/>
        <item x="245"/>
        <item x="281"/>
        <item x="387"/>
        <item x="196"/>
        <item x="271"/>
        <item x="108"/>
        <item x="284"/>
        <item x="138"/>
        <item x="367"/>
        <item x="365"/>
        <item x="115"/>
        <item x="145"/>
        <item x="295"/>
        <item x="290"/>
        <item x="332"/>
        <item x="207"/>
        <item x="82"/>
        <item x="63"/>
        <item x="4"/>
        <item x="234"/>
        <item x="439"/>
        <item x="306"/>
        <item x="293"/>
        <item x="353"/>
        <item x="275"/>
        <item x="432"/>
        <item x="357"/>
        <item x="198"/>
        <item x="383"/>
        <item x="468"/>
        <item x="116"/>
        <item x="97"/>
        <item x="235"/>
        <item x="85"/>
        <item x="241"/>
        <item x="186"/>
        <item x="251"/>
        <item x="458"/>
        <item x="40"/>
        <item x="300"/>
        <item x="434"/>
        <item x="248"/>
        <item x="415"/>
        <item x="10"/>
        <item x="340"/>
        <item x="13"/>
        <item x="132"/>
        <item x="176"/>
        <item x="436"/>
        <item x="149"/>
        <item x="378"/>
        <item x="182"/>
        <item x="146"/>
        <item x="344"/>
        <item x="390"/>
        <item x="347"/>
        <item x="277"/>
        <item x="257"/>
        <item x="309"/>
        <item x="68"/>
        <item x="451"/>
        <item x="402"/>
        <item x="35"/>
        <item x="220"/>
        <item x="430"/>
        <item x="197"/>
        <item x="371"/>
        <item x="259"/>
        <item x="0"/>
        <item x="154"/>
        <item x="58"/>
        <item x="242"/>
        <item x="240"/>
        <item x="238"/>
        <item x="285"/>
        <item x="298"/>
        <item x="140"/>
        <item x="83"/>
        <item x="411"/>
        <item x="396"/>
        <item x="37"/>
        <item x="70"/>
        <item x="32"/>
        <item x="410"/>
        <item x="317"/>
        <item x="361"/>
        <item x="368"/>
        <item x="225"/>
        <item x="334"/>
        <item x="431"/>
        <item x="23"/>
        <item x="389"/>
        <item x="408"/>
        <item x="101"/>
        <item x="45"/>
        <item x="8"/>
        <item x="43"/>
        <item x="163"/>
        <item x="93"/>
        <item x="65"/>
        <item x="104"/>
        <item x="422"/>
        <item x="105"/>
        <item x="122"/>
        <item x="158"/>
        <item x="304"/>
        <item x="156"/>
        <item x="391"/>
        <item x="274"/>
        <item x="264"/>
        <item x="445"/>
        <item x="413"/>
        <item x="269"/>
        <item x="301"/>
        <item x="120"/>
        <item x="374"/>
        <item x="459"/>
        <item x="244"/>
        <item x="136"/>
        <item x="75"/>
        <item x="359"/>
        <item x="409"/>
        <item x="25"/>
        <item x="160"/>
        <item x="27"/>
        <item x="289"/>
        <item x="448"/>
        <item x="106"/>
        <item x="223"/>
        <item x="20"/>
        <item x="291"/>
        <item x="425"/>
        <item x="316"/>
        <item x="328"/>
        <item x="444"/>
        <item x="327"/>
        <item x="148"/>
        <item x="296"/>
        <item x="466"/>
        <item x="450"/>
        <item x="418"/>
        <item x="33"/>
        <item x="452"/>
        <item x="178"/>
        <item x="103"/>
        <item x="333"/>
        <item x="250"/>
        <item x="213"/>
        <item x="346"/>
        <item x="393"/>
        <item x="150"/>
        <item x="39"/>
        <item x="74"/>
        <item x="427"/>
        <item x="181"/>
        <item x="215"/>
        <item x="356"/>
        <item x="326"/>
        <item x="100"/>
        <item x="191"/>
        <item x="233"/>
        <item x="168"/>
        <item x="201"/>
        <item x="142"/>
        <item x="193"/>
        <item x="463"/>
        <item x="400"/>
        <item x="171"/>
        <item x="1"/>
        <item x="90"/>
        <item x="288"/>
        <item x="268"/>
        <item x="49"/>
        <item x="435"/>
        <item x="46"/>
        <item x="200"/>
        <item x="348"/>
        <item x="41"/>
        <item x="61"/>
        <item x="224"/>
        <item x="401"/>
        <item x="48"/>
        <item x="153"/>
        <item x="297"/>
        <item x="388"/>
        <item x="117"/>
        <item x="299"/>
        <item x="386"/>
        <item x="337"/>
        <item x="219"/>
        <item x="131"/>
        <item x="55"/>
        <item x="350"/>
        <item x="71"/>
        <item x="77"/>
        <item x="456"/>
        <item x="127"/>
        <item x="99"/>
        <item x="364"/>
        <item x="26"/>
        <item x="111"/>
        <item x="404"/>
        <item x="16"/>
        <item x="134"/>
        <item x="129"/>
        <item x="352"/>
        <item x="6"/>
        <item x="30"/>
        <item x="461"/>
        <item x="312"/>
        <item x="260"/>
        <item x="11"/>
        <item x="107"/>
        <item x="329"/>
        <item x="267"/>
        <item x="195"/>
        <item x="173"/>
        <item x="190"/>
        <item x="96"/>
        <item x="51"/>
        <item x="313"/>
        <item x="449"/>
        <item x="188"/>
        <item x="446"/>
        <item x="124"/>
        <item x="54"/>
        <item x="169"/>
        <item x="237"/>
        <item x="471"/>
        <item x="331"/>
        <item x="341"/>
        <item x="330"/>
        <item x="125"/>
        <item x="397"/>
        <item x="266"/>
        <item x="398"/>
        <item x="247"/>
        <item x="12"/>
        <item x="3"/>
        <item x="98"/>
        <item x="254"/>
        <item x="339"/>
        <item x="303"/>
        <item x="308"/>
        <item x="29"/>
        <item x="265"/>
        <item x="249"/>
        <item x="437"/>
        <item x="81"/>
        <item x="372"/>
        <item x="231"/>
        <item x="272"/>
        <item x="358"/>
        <item x="53"/>
        <item x="221"/>
        <item x="465"/>
        <item x="164"/>
        <item x="69"/>
        <item x="416"/>
        <item x="57"/>
        <item x="87"/>
        <item x="143"/>
        <item x="399"/>
        <item x="453"/>
        <item x="384"/>
        <item x="429"/>
        <item x="80"/>
        <item x="60"/>
        <item x="280"/>
        <item x="217"/>
        <item x="19"/>
        <item x="407"/>
        <item x="375"/>
        <item x="270"/>
        <item x="323"/>
        <item x="9"/>
        <item x="110"/>
        <item x="338"/>
        <item x="56"/>
        <item x="42"/>
        <item x="455"/>
        <item x="362"/>
        <item x="88"/>
        <item x="230"/>
        <item x="22"/>
        <item x="320"/>
        <item x="227"/>
        <item x="342"/>
        <item x="263"/>
        <item x="36"/>
        <item x="310"/>
        <item x="114"/>
        <item x="243"/>
        <item x="462"/>
        <item x="205"/>
        <item x="113"/>
        <item x="216"/>
        <item x="467"/>
        <item x="442"/>
        <item x="194"/>
        <item x="18"/>
        <item x="31"/>
        <item x="192"/>
        <item x="218"/>
        <item x="121"/>
        <item x="373"/>
        <item x="92"/>
        <item x="315"/>
        <item x="94"/>
        <item x="84"/>
        <item x="151"/>
        <item x="426"/>
        <item x="423"/>
        <item x="405"/>
        <item x="210"/>
        <item x="379"/>
        <item x="253"/>
        <item x="345"/>
        <item x="314"/>
        <item x="232"/>
        <item x="59"/>
        <item x="324"/>
        <item x="17"/>
        <item x="167"/>
        <item x="447"/>
        <item x="325"/>
        <item x="202"/>
        <item x="343"/>
        <item x="282"/>
        <item x="139"/>
        <item x="14"/>
        <item x="395"/>
        <item t="default"/>
      </items>
    </pivotField>
    <pivotField compact="0" numFmtId="1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axis="axisPage" dataField="1" compact="0" multipleItemSelectionAllowed="1" showAll="0">
      <items count="4">
        <item h="1" m="1" x="2"/>
        <item h="1" x="0"/>
        <item x="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axis="axisRow" compact="0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compact="0" showAll="0">
      <items count="41">
        <item x="7"/>
        <item x="36"/>
        <item x="38"/>
        <item x="6"/>
        <item x="9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4"/>
        <item x="28"/>
        <item x="1"/>
        <item x="30"/>
        <item x="24"/>
        <item x="8"/>
        <item x="23"/>
        <item x="14"/>
        <item x="27"/>
        <item x="5"/>
        <item x="35"/>
        <item x="26"/>
        <item t="default"/>
      </items>
    </pivotField>
    <pivotField compact="0" showAll="0">
      <items count="7">
        <item x="3"/>
        <item x="0"/>
        <item x="1"/>
        <item x="5"/>
        <item x="2"/>
        <item x="4"/>
        <item t="default"/>
      </items>
    </pivotField>
    <pivotField compact="0" showAll="0">
      <items count="7">
        <item x="4"/>
        <item x="3"/>
        <item x="2"/>
        <item x="5"/>
        <item x="1"/>
        <item x="0"/>
        <item t="default"/>
      </items>
    </pivotField>
    <pivotField compact="0" showAll="0">
      <items count="17">
        <item x="8"/>
        <item x="5"/>
        <item x="0"/>
        <item x="14"/>
        <item x="6"/>
        <item x="9"/>
        <item x="3"/>
        <item x="10"/>
        <item x="2"/>
        <item x="1"/>
        <item x="11"/>
        <item x="4"/>
        <item x="12"/>
        <item x="13"/>
        <item x="7"/>
        <item x="15"/>
        <item t="default"/>
      </items>
    </pivotField>
    <pivotField axis="axisCol"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showAll="0">
      <items count="631">
        <item x="139"/>
        <item x="621"/>
        <item x="333"/>
        <item x="415"/>
        <item x="340"/>
        <item x="394"/>
        <item x="441"/>
        <item x="293"/>
        <item x="491"/>
        <item x="587"/>
        <item x="207"/>
        <item x="14"/>
        <item x="478"/>
        <item x="58"/>
        <item x="261"/>
        <item x="59"/>
        <item x="325"/>
        <item x="103"/>
        <item x="170"/>
        <item x="70"/>
        <item x="497"/>
        <item x="416"/>
        <item x="312"/>
        <item x="319"/>
        <item x="489"/>
        <item x="332"/>
        <item x="355"/>
        <item x="516"/>
        <item x="185"/>
        <item x="545"/>
        <item x="221"/>
        <item x="259"/>
        <item x="450"/>
        <item x="521"/>
        <item x="576"/>
        <item x="270"/>
        <item x="22"/>
        <item x="158"/>
        <item x="131"/>
        <item x="154"/>
        <item x="290"/>
        <item x="76"/>
        <item x="113"/>
        <item x="569"/>
        <item x="187"/>
        <item x="618"/>
        <item x="588"/>
        <item x="227"/>
        <item x="552"/>
        <item x="551"/>
        <item x="97"/>
        <item x="460"/>
        <item x="214"/>
        <item x="352"/>
        <item x="299"/>
        <item x="57"/>
        <item x="288"/>
        <item x="50"/>
        <item x="147"/>
        <item x="437"/>
        <item x="346"/>
        <item x="180"/>
        <item x="358"/>
        <item x="142"/>
        <item x="493"/>
        <item x="557"/>
        <item x="465"/>
        <item x="604"/>
        <item x="360"/>
        <item x="592"/>
        <item x="10"/>
        <item x="277"/>
        <item x="18"/>
        <item x="338"/>
        <item x="541"/>
        <item x="292"/>
        <item x="454"/>
        <item x="25"/>
        <item x="209"/>
        <item x="93"/>
        <item x="66"/>
        <item x="77"/>
        <item x="554"/>
        <item x="536"/>
        <item x="306"/>
        <item x="182"/>
        <item x="408"/>
        <item x="109"/>
        <item x="75"/>
        <item x="169"/>
        <item x="513"/>
        <item x="471"/>
        <item x="579"/>
        <item x="607"/>
        <item x="624"/>
        <item x="34"/>
        <item x="172"/>
        <item x="627"/>
        <item x="401"/>
        <item x="126"/>
        <item x="391"/>
        <item x="124"/>
        <item x="484"/>
        <item x="523"/>
        <item x="377"/>
        <item x="24"/>
        <item x="87"/>
        <item x="82"/>
        <item x="324"/>
        <item x="510"/>
        <item x="367"/>
        <item x="458"/>
        <item x="12"/>
        <item x="136"/>
        <item x="9"/>
        <item x="294"/>
        <item x="157"/>
        <item x="464"/>
        <item x="210"/>
        <item x="315"/>
        <item x="467"/>
        <item x="85"/>
        <item x="161"/>
        <item x="260"/>
        <item x="348"/>
        <item x="256"/>
        <item x="573"/>
        <item x="220"/>
        <item x="617"/>
        <item x="594"/>
        <item x="326"/>
        <item x="74"/>
        <item x="171"/>
        <item x="589"/>
        <item x="490"/>
        <item x="518"/>
        <item x="463"/>
        <item x="78"/>
        <item x="519"/>
        <item x="564"/>
        <item x="44"/>
        <item x="127"/>
        <item x="125"/>
        <item x="110"/>
        <item x="568"/>
        <item x="504"/>
        <item x="459"/>
        <item x="451"/>
        <item x="397"/>
        <item x="30"/>
        <item x="230"/>
        <item x="61"/>
        <item x="365"/>
        <item x="222"/>
        <item x="206"/>
        <item x="69"/>
        <item x="250"/>
        <item x="36"/>
        <item x="60"/>
        <item x="105"/>
        <item x="511"/>
        <item x="101"/>
        <item x="86"/>
        <item x="234"/>
        <item x="0"/>
        <item x="37"/>
        <item x="393"/>
        <item x="436"/>
        <item x="403"/>
        <item x="289"/>
        <item x="476"/>
        <item x="237"/>
        <item x="585"/>
        <item x="177"/>
        <item x="300"/>
        <item x="267"/>
        <item x="559"/>
        <item x="323"/>
        <item x="475"/>
        <item x="477"/>
        <item x="533"/>
        <item x="166"/>
        <item x="145"/>
        <item x="295"/>
        <item x="15"/>
        <item x="527"/>
        <item x="445"/>
        <item x="582"/>
        <item x="539"/>
        <item x="349"/>
        <item x="119"/>
        <item x="279"/>
        <item x="246"/>
        <item x="384"/>
        <item x="239"/>
        <item x="370"/>
        <item x="629"/>
        <item x="481"/>
        <item x="146"/>
        <item x="19"/>
        <item x="64"/>
        <item x="264"/>
        <item x="507"/>
        <item x="571"/>
        <item x="345"/>
        <item x="99"/>
        <item x="53"/>
        <item x="362"/>
        <item x="514"/>
        <item x="581"/>
        <item x="71"/>
        <item x="309"/>
        <item x="304"/>
        <item x="542"/>
        <item x="242"/>
        <item x="457"/>
        <item x="603"/>
        <item x="23"/>
        <item x="255"/>
        <item x="508"/>
        <item x="104"/>
        <item x="190"/>
        <item x="563"/>
        <item x="387"/>
        <item x="251"/>
        <item x="151"/>
        <item x="520"/>
        <item x="593"/>
        <item x="368"/>
        <item x="56"/>
        <item x="409"/>
        <item x="275"/>
        <item x="173"/>
        <item x="102"/>
        <item x="388"/>
        <item x="534"/>
        <item x="565"/>
        <item x="425"/>
        <item x="52"/>
        <item x="192"/>
        <item x="407"/>
        <item x="117"/>
        <item x="396"/>
        <item x="424"/>
        <item x="72"/>
        <item x="5"/>
        <item x="598"/>
        <item x="430"/>
        <item x="421"/>
        <item x="283"/>
        <item x="329"/>
        <item x="386"/>
        <item x="111"/>
        <item x="224"/>
        <item x="132"/>
        <item x="20"/>
        <item x="402"/>
        <item x="284"/>
        <item x="33"/>
        <item x="339"/>
        <item x="566"/>
        <item x="314"/>
        <item x="271"/>
        <item x="591"/>
        <item x="216"/>
        <item x="186"/>
        <item x="205"/>
        <item x="96"/>
        <item x="404"/>
        <item x="167"/>
        <item x="140"/>
        <item x="68"/>
        <item x="472"/>
        <item x="509"/>
        <item x="217"/>
        <item x="115"/>
        <item x="247"/>
        <item x="597"/>
        <item x="89"/>
        <item x="328"/>
        <item x="249"/>
        <item x="135"/>
        <item x="273"/>
        <item x="427"/>
        <item x="83"/>
        <item x="398"/>
        <item x="121"/>
        <item x="625"/>
        <item x="418"/>
        <item x="615"/>
        <item x="189"/>
        <item x="351"/>
        <item x="549"/>
        <item x="297"/>
        <item x="51"/>
        <item x="252"/>
        <item x="372"/>
        <item x="432"/>
        <item x="499"/>
        <item x="55"/>
        <item x="204"/>
        <item x="456"/>
        <item x="130"/>
        <item x="63"/>
        <item x="233"/>
        <item x="178"/>
        <item x="305"/>
        <item x="447"/>
        <item x="280"/>
        <item x="298"/>
        <item x="183"/>
        <item x="363"/>
        <item x="389"/>
        <item x="561"/>
        <item x="572"/>
        <item x="522"/>
        <item x="547"/>
        <item x="310"/>
        <item x="195"/>
        <item x="165"/>
        <item x="67"/>
        <item x="453"/>
        <item x="8"/>
        <item x="175"/>
        <item x="556"/>
        <item x="446"/>
        <item x="580"/>
        <item x="191"/>
        <item x="168"/>
        <item x="383"/>
        <item x="258"/>
        <item x="211"/>
        <item x="188"/>
        <item x="79"/>
        <item x="610"/>
        <item x="544"/>
        <item x="6"/>
        <item x="272"/>
        <item x="540"/>
        <item x="431"/>
        <item x="184"/>
        <item x="494"/>
        <item x="254"/>
        <item x="88"/>
        <item x="118"/>
        <item x="531"/>
        <item x="163"/>
        <item x="498"/>
        <item x="318"/>
        <item x="395"/>
        <item x="266"/>
        <item x="160"/>
        <item x="40"/>
        <item x="496"/>
        <item x="311"/>
        <item x="495"/>
        <item x="590"/>
        <item x="380"/>
        <item x="41"/>
        <item x="223"/>
        <item x="226"/>
        <item x="302"/>
        <item x="98"/>
        <item x="341"/>
        <item x="73"/>
        <item x="479"/>
        <item x="90"/>
        <item x="45"/>
        <item x="47"/>
        <item x="144"/>
        <item x="257"/>
        <item x="623"/>
        <item x="438"/>
        <item x="562"/>
        <item x="248"/>
        <item x="483"/>
        <item x="577"/>
        <item x="114"/>
        <item x="21"/>
        <item x="399"/>
        <item x="198"/>
        <item x="376"/>
        <item x="575"/>
        <item x="506"/>
        <item x="307"/>
        <item x="574"/>
        <item x="382"/>
        <item x="357"/>
        <item x="317"/>
        <item x="129"/>
        <item x="517"/>
        <item x="112"/>
        <item x="548"/>
        <item x="321"/>
        <item x="620"/>
        <item x="622"/>
        <item x="80"/>
        <item x="322"/>
        <item x="543"/>
        <item x="48"/>
        <item x="462"/>
        <item x="612"/>
        <item x="379"/>
        <item x="276"/>
        <item x="194"/>
        <item x="611"/>
        <item x="466"/>
        <item x="203"/>
        <item x="600"/>
        <item x="503"/>
        <item x="120"/>
        <item x="108"/>
        <item x="535"/>
        <item x="413"/>
        <item x="84"/>
        <item x="550"/>
        <item x="215"/>
        <item x="378"/>
        <item x="155"/>
        <item x="32"/>
        <item x="433"/>
        <item x="502"/>
        <item x="281"/>
        <item x="123"/>
        <item x="619"/>
        <item x="156"/>
        <item x="538"/>
        <item x="614"/>
        <item x="353"/>
        <item x="331"/>
        <item x="262"/>
        <item x="567"/>
        <item x="529"/>
        <item x="344"/>
        <item x="2"/>
        <item x="29"/>
        <item x="435"/>
        <item x="287"/>
        <item x="54"/>
        <item x="420"/>
        <item x="17"/>
        <item x="282"/>
        <item x="347"/>
        <item x="213"/>
        <item x="343"/>
        <item x="28"/>
        <item x="560"/>
        <item x="512"/>
        <item x="202"/>
        <item x="371"/>
        <item x="327"/>
        <item x="107"/>
        <item x="448"/>
        <item x="238"/>
        <item x="482"/>
        <item x="231"/>
        <item x="422"/>
        <item x="133"/>
        <item x="530"/>
        <item x="268"/>
        <item x="426"/>
        <item x="200"/>
        <item x="392"/>
        <item x="91"/>
        <item x="241"/>
        <item x="286"/>
        <item x="263"/>
        <item x="334"/>
        <item x="412"/>
        <item x="440"/>
        <item x="128"/>
        <item x="570"/>
        <item x="3"/>
        <item x="583"/>
        <item x="149"/>
        <item x="65"/>
        <item x="626"/>
        <item x="245"/>
        <item x="31"/>
        <item x="375"/>
        <item x="197"/>
        <item x="303"/>
        <item x="584"/>
        <item x="361"/>
        <item x="162"/>
        <item x="452"/>
        <item x="428"/>
        <item x="406"/>
        <item x="485"/>
        <item x="553"/>
        <item x="316"/>
        <item x="330"/>
        <item x="488"/>
        <item x="455"/>
        <item x="285"/>
        <item x="278"/>
        <item x="27"/>
        <item x="366"/>
        <item x="94"/>
        <item x="11"/>
        <item x="244"/>
        <item x="225"/>
        <item x="605"/>
        <item x="181"/>
        <item x="578"/>
        <item x="336"/>
        <item x="492"/>
        <item x="122"/>
        <item x="374"/>
        <item x="137"/>
        <item x="141"/>
        <item x="532"/>
        <item x="62"/>
        <item x="100"/>
        <item x="419"/>
        <item x="411"/>
        <item x="505"/>
        <item x="236"/>
        <item x="434"/>
        <item x="106"/>
        <item x="500"/>
        <item x="628"/>
        <item x="159"/>
        <item x="320"/>
        <item x="473"/>
        <item x="586"/>
        <item x="196"/>
        <item x="501"/>
        <item x="335"/>
        <item x="232"/>
        <item x="390"/>
        <item x="474"/>
        <item x="265"/>
        <item x="486"/>
        <item x="49"/>
        <item x="526"/>
        <item x="537"/>
        <item x="410"/>
        <item x="515"/>
        <item x="525"/>
        <item x="439"/>
        <item x="228"/>
        <item x="313"/>
        <item x="449"/>
        <item x="555"/>
        <item x="429"/>
        <item x="46"/>
        <item x="524"/>
        <item x="219"/>
        <item x="253"/>
        <item x="308"/>
        <item x="212"/>
        <item x="42"/>
        <item x="468"/>
        <item x="364"/>
        <item x="369"/>
        <item x="174"/>
        <item x="480"/>
        <item x="164"/>
        <item x="26"/>
        <item x="148"/>
        <item x="143"/>
        <item x="35"/>
        <item x="528"/>
        <item x="595"/>
        <item x="134"/>
        <item x="442"/>
        <item x="342"/>
        <item x="609"/>
        <item x="138"/>
        <item x="193"/>
        <item x="240"/>
        <item x="602"/>
        <item x="176"/>
        <item x="613"/>
        <item x="337"/>
        <item x="243"/>
        <item x="606"/>
        <item x="400"/>
        <item x="218"/>
        <item x="616"/>
        <item x="487"/>
        <item x="417"/>
        <item x="381"/>
        <item x="208"/>
        <item x="601"/>
        <item x="150"/>
        <item x="7"/>
        <item x="423"/>
        <item x="116"/>
        <item x="92"/>
        <item x="301"/>
        <item x="39"/>
        <item x="558"/>
        <item x="359"/>
        <item x="269"/>
        <item x="16"/>
        <item x="461"/>
        <item x="199"/>
        <item x="229"/>
        <item x="470"/>
        <item x="153"/>
        <item x="38"/>
        <item x="350"/>
        <item x="235"/>
        <item x="296"/>
        <item x="444"/>
        <item x="4"/>
        <item x="179"/>
        <item x="152"/>
        <item x="13"/>
        <item x="201"/>
        <item x="373"/>
        <item x="274"/>
        <item x="291"/>
        <item x="385"/>
        <item x="95"/>
        <item x="608"/>
        <item x="1"/>
        <item x="405"/>
        <item x="469"/>
        <item x="356"/>
        <item x="443"/>
        <item x="546"/>
        <item x="81"/>
        <item x="43"/>
        <item x="599"/>
        <item x="596"/>
        <item x="354"/>
        <item x="414"/>
        <item t="default"/>
      </items>
    </pivotField>
    <pivotField compact="0" numFmtId="44" showAll="0">
      <items count="633">
        <item x="493"/>
        <item x="112"/>
        <item x="180"/>
        <item x="298"/>
        <item x="172"/>
        <item x="286"/>
        <item x="106"/>
        <item x="247"/>
        <item x="389"/>
        <item x="83"/>
        <item x="572"/>
        <item x="96"/>
        <item x="7"/>
        <item x="341"/>
        <item x="177"/>
        <item x="461"/>
        <item x="127"/>
        <item x="582"/>
        <item x="481"/>
        <item x="54"/>
        <item x="311"/>
        <item x="631"/>
        <item x="230"/>
        <item x="354"/>
        <item x="89"/>
        <item x="119"/>
        <item x="532"/>
        <item x="586"/>
        <item x="245"/>
        <item x="139"/>
        <item x="517"/>
        <item x="291"/>
        <item x="243"/>
        <item x="51"/>
        <item x="116"/>
        <item x="347"/>
        <item x="323"/>
        <item x="418"/>
        <item x="575"/>
        <item x="108"/>
        <item x="551"/>
        <item x="305"/>
        <item x="443"/>
        <item x="211"/>
        <item x="526"/>
        <item x="282"/>
        <item x="263"/>
        <item x="330"/>
        <item x="344"/>
        <item x="103"/>
        <item x="609"/>
        <item x="488"/>
        <item x="463"/>
        <item x="531"/>
        <item x="26"/>
        <item x="308"/>
        <item x="436"/>
        <item x="163"/>
        <item x="206"/>
        <item x="570"/>
        <item x="460"/>
        <item x="113"/>
        <item x="608"/>
        <item x="221"/>
        <item x="217"/>
        <item x="318"/>
        <item x="128"/>
        <item x="239"/>
        <item x="579"/>
        <item x="599"/>
        <item x="621"/>
        <item x="82"/>
        <item x="458"/>
        <item x="577"/>
        <item x="124"/>
        <item x="35"/>
        <item x="174"/>
        <item x="434"/>
        <item x="490"/>
        <item x="447"/>
        <item x="233"/>
        <item x="232"/>
        <item x="53"/>
        <item x="28"/>
        <item x="293"/>
        <item x="476"/>
        <item x="178"/>
        <item x="511"/>
        <item x="627"/>
        <item x="508"/>
        <item x="391"/>
        <item x="215"/>
        <item x="304"/>
        <item x="270"/>
        <item x="222"/>
        <item x="466"/>
        <item x="445"/>
        <item x="296"/>
        <item x="194"/>
        <item x="620"/>
        <item x="369"/>
        <item x="485"/>
        <item x="3"/>
        <item x="71"/>
        <item x="464"/>
        <item x="145"/>
        <item x="0"/>
        <item x="274"/>
        <item x="486"/>
        <item x="373"/>
        <item x="316"/>
        <item x="109"/>
        <item x="491"/>
        <item x="597"/>
        <item x="160"/>
        <item x="137"/>
        <item x="133"/>
        <item x="350"/>
        <item x="456"/>
        <item x="326"/>
        <item x="101"/>
        <item x="39"/>
        <item x="258"/>
        <item x="5"/>
        <item x="254"/>
        <item x="594"/>
        <item x="386"/>
        <item x="428"/>
        <item x="271"/>
        <item x="519"/>
        <item x="166"/>
        <item x="12"/>
        <item x="297"/>
        <item x="46"/>
        <item x="118"/>
        <item x="169"/>
        <item x="57"/>
        <item x="483"/>
        <item x="439"/>
        <item x="179"/>
        <item x="495"/>
        <item x="114"/>
        <item x="78"/>
        <item x="148"/>
        <item x="380"/>
        <item x="315"/>
        <item x="441"/>
        <item x="307"/>
        <item x="328"/>
        <item x="432"/>
        <item x="277"/>
        <item x="240"/>
        <item x="219"/>
        <item x="214"/>
        <item x="580"/>
        <item x="616"/>
        <item x="218"/>
        <item x="231"/>
        <item x="505"/>
        <item x="453"/>
        <item x="525"/>
        <item x="309"/>
        <item x="321"/>
        <item x="604"/>
        <item x="93"/>
        <item x="129"/>
        <item x="130"/>
        <item x="602"/>
        <item x="331"/>
        <item x="470"/>
        <item x="378"/>
        <item x="155"/>
        <item x="546"/>
        <item x="573"/>
        <item x="561"/>
        <item x="191"/>
        <item x="544"/>
        <item x="250"/>
        <item x="494"/>
        <item x="410"/>
        <item x="312"/>
        <item x="477"/>
        <item x="500"/>
        <item x="408"/>
        <item x="536"/>
        <item x="334"/>
        <item x="251"/>
        <item x="43"/>
        <item x="433"/>
        <item x="540"/>
        <item x="370"/>
        <item x="201"/>
        <item x="68"/>
        <item x="30"/>
        <item x="64"/>
        <item x="403"/>
        <item x="141"/>
        <item x="419"/>
        <item x="338"/>
        <item x="498"/>
        <item x="523"/>
        <item x="197"/>
        <item x="257"/>
        <item x="290"/>
        <item x="88"/>
        <item x="565"/>
        <item x="268"/>
        <item x="91"/>
        <item x="52"/>
        <item x="361"/>
        <item x="98"/>
        <item x="110"/>
        <item x="479"/>
        <item x="285"/>
        <item x="131"/>
        <item x="444"/>
        <item x="144"/>
        <item x="262"/>
        <item x="6"/>
        <item x="564"/>
        <item x="220"/>
        <item x="202"/>
        <item x="299"/>
        <item x="186"/>
        <item x="314"/>
        <item x="430"/>
        <item x="87"/>
        <item x="62"/>
        <item x="474"/>
        <item x="364"/>
        <item x="437"/>
        <item x="538"/>
        <item x="417"/>
        <item x="623"/>
        <item x="339"/>
        <item x="510"/>
        <item x="283"/>
        <item x="337"/>
        <item x="446"/>
        <item x="515"/>
        <item x="584"/>
        <item x="13"/>
        <item x="10"/>
        <item x="33"/>
        <item x="336"/>
        <item x="472"/>
        <item x="252"/>
        <item x="516"/>
        <item x="301"/>
        <item x="395"/>
        <item x="325"/>
        <item x="156"/>
        <item x="355"/>
        <item x="499"/>
        <item x="340"/>
        <item x="4"/>
        <item x="469"/>
        <item x="411"/>
        <item x="591"/>
        <item x="359"/>
        <item x="255"/>
        <item x="571"/>
        <item x="563"/>
        <item x="67"/>
        <item x="44"/>
        <item x="533"/>
        <item x="147"/>
        <item x="605"/>
        <item x="475"/>
        <item x="90"/>
        <item x="412"/>
        <item x="576"/>
        <item x="238"/>
        <item x="134"/>
        <item x="549"/>
        <item x="558"/>
        <item x="36"/>
        <item x="457"/>
        <item x="611"/>
        <item x="259"/>
        <item x="73"/>
        <item x="585"/>
        <item x="269"/>
        <item x="372"/>
        <item x="617"/>
        <item x="535"/>
        <item x="553"/>
        <item x="22"/>
        <item x="185"/>
        <item x="462"/>
        <item x="568"/>
        <item x="522"/>
        <item x="578"/>
        <item x="595"/>
        <item x="29"/>
        <item x="15"/>
        <item x="37"/>
        <item x="150"/>
        <item x="182"/>
        <item x="358"/>
        <item x="502"/>
        <item x="435"/>
        <item x="14"/>
        <item x="598"/>
        <item x="471"/>
        <item x="294"/>
        <item x="590"/>
        <item x="183"/>
        <item x="192"/>
        <item x="288"/>
        <item x="253"/>
        <item x="120"/>
        <item x="170"/>
        <item x="560"/>
        <item x="248"/>
        <item x="92"/>
        <item x="513"/>
        <item x="342"/>
        <item x="628"/>
        <item x="630"/>
        <item x="161"/>
        <item x="454"/>
        <item x="158"/>
        <item x="619"/>
        <item x="143"/>
        <item x="75"/>
        <item x="45"/>
        <item x="200"/>
        <item x="381"/>
        <item x="362"/>
        <item x="473"/>
        <item x="379"/>
        <item x="313"/>
        <item x="171"/>
        <item x="401"/>
        <item x="416"/>
        <item x="55"/>
        <item x="574"/>
        <item x="27"/>
        <item x="559"/>
        <item x="48"/>
        <item x="581"/>
        <item x="438"/>
        <item x="102"/>
        <item x="300"/>
        <item x="38"/>
        <item x="154"/>
        <item x="451"/>
        <item x="319"/>
        <item x="351"/>
        <item x="548"/>
        <item x="69"/>
        <item x="557"/>
        <item x="203"/>
        <item x="16"/>
        <item x="146"/>
        <item x="303"/>
        <item x="327"/>
        <item x="449"/>
        <item x="492"/>
        <item x="157"/>
        <item x="452"/>
        <item x="509"/>
        <item x="168"/>
        <item x="11"/>
        <item x="70"/>
        <item x="74"/>
        <item x="241"/>
        <item x="164"/>
        <item x="153"/>
        <item x="618"/>
        <item x="518"/>
        <item x="506"/>
        <item x="348"/>
        <item x="228"/>
        <item x="367"/>
        <item x="429"/>
        <item x="530"/>
        <item x="132"/>
        <item x="384"/>
        <item x="612"/>
        <item x="176"/>
        <item x="543"/>
        <item x="450"/>
        <item x="24"/>
        <item x="125"/>
        <item x="360"/>
        <item x="279"/>
        <item x="352"/>
        <item x="404"/>
        <item x="440"/>
        <item x="349"/>
        <item x="600"/>
        <item x="193"/>
        <item x="346"/>
        <item x="320"/>
        <item x="375"/>
        <item x="190"/>
        <item x="504"/>
        <item x="151"/>
        <item x="487"/>
        <item x="94"/>
        <item x="324"/>
        <item x="244"/>
        <item x="19"/>
        <item x="592"/>
        <item x="204"/>
        <item x="317"/>
        <item x="284"/>
        <item x="388"/>
        <item x="402"/>
        <item x="624"/>
        <item x="184"/>
        <item x="162"/>
        <item x="40"/>
        <item x="229"/>
        <item x="272"/>
        <item x="589"/>
        <item x="363"/>
        <item x="207"/>
        <item x="425"/>
        <item x="550"/>
        <item x="478"/>
        <item x="365"/>
        <item x="59"/>
        <item x="524"/>
        <item x="520"/>
        <item x="126"/>
        <item x="287"/>
        <item x="18"/>
        <item x="629"/>
        <item x="189"/>
        <item x="225"/>
        <item x="66"/>
        <item x="332"/>
        <item x="273"/>
        <item x="527"/>
        <item x="1"/>
        <item x="95"/>
        <item x="216"/>
        <item x="135"/>
        <item x="224"/>
        <item x="210"/>
        <item x="280"/>
        <item x="152"/>
        <item x="610"/>
        <item x="420"/>
        <item x="281"/>
        <item x="266"/>
        <item x="77"/>
        <item x="377"/>
        <item x="400"/>
        <item x="260"/>
        <item x="79"/>
        <item x="405"/>
        <item x="392"/>
        <item x="181"/>
        <item x="503"/>
        <item x="497"/>
        <item x="596"/>
        <item x="393"/>
        <item x="107"/>
        <item x="539"/>
        <item x="382"/>
        <item x="292"/>
        <item x="198"/>
        <item x="603"/>
        <item x="383"/>
        <item x="455"/>
        <item x="534"/>
        <item x="427"/>
        <item x="56"/>
        <item x="105"/>
        <item x="385"/>
        <item x="554"/>
        <item x="387"/>
        <item x="212"/>
        <item x="567"/>
        <item x="552"/>
        <item x="468"/>
        <item x="278"/>
        <item x="399"/>
        <item x="60"/>
        <item x="357"/>
        <item x="205"/>
        <item x="81"/>
        <item x="333"/>
        <item x="85"/>
        <item x="111"/>
        <item x="555"/>
        <item x="562"/>
        <item x="413"/>
        <item x="223"/>
        <item x="99"/>
        <item x="431"/>
        <item x="397"/>
        <item x="356"/>
        <item x="138"/>
        <item x="209"/>
        <item x="421"/>
        <item x="448"/>
        <item x="41"/>
        <item x="265"/>
        <item x="528"/>
        <item x="606"/>
        <item x="249"/>
        <item x="371"/>
        <item x="480"/>
        <item x="159"/>
        <item x="58"/>
        <item x="17"/>
        <item x="242"/>
        <item x="97"/>
        <item x="376"/>
        <item x="343"/>
        <item x="501"/>
        <item x="587"/>
        <item x="353"/>
        <item x="566"/>
        <item x="63"/>
        <item x="165"/>
        <item x="235"/>
        <item x="227"/>
        <item x="31"/>
        <item x="208"/>
        <item x="593"/>
        <item x="100"/>
        <item x="414"/>
        <item x="541"/>
        <item x="142"/>
        <item x="187"/>
        <item x="173"/>
        <item x="459"/>
        <item x="302"/>
        <item x="267"/>
        <item x="426"/>
        <item x="289"/>
        <item x="23"/>
        <item x="368"/>
        <item x="521"/>
        <item x="482"/>
        <item x="415"/>
        <item x="335"/>
        <item x="537"/>
        <item x="496"/>
        <item x="366"/>
        <item x="8"/>
        <item x="394"/>
        <item x="149"/>
        <item x="121"/>
        <item x="547"/>
        <item x="322"/>
        <item x="65"/>
        <item x="49"/>
        <item x="545"/>
        <item x="484"/>
        <item x="234"/>
        <item x="398"/>
        <item x="422"/>
        <item x="615"/>
        <item x="199"/>
        <item x="613"/>
        <item x="21"/>
        <item x="9"/>
        <item x="507"/>
        <item x="188"/>
        <item x="465"/>
        <item x="601"/>
        <item x="276"/>
        <item x="236"/>
        <item x="622"/>
        <item x="626"/>
        <item x="625"/>
        <item x="246"/>
        <item x="226"/>
        <item x="406"/>
        <item x="442"/>
        <item x="295"/>
        <item x="123"/>
        <item x="237"/>
        <item x="86"/>
        <item x="588"/>
        <item x="583"/>
        <item x="542"/>
        <item x="329"/>
        <item x="72"/>
        <item x="195"/>
        <item x="512"/>
        <item x="117"/>
        <item x="76"/>
        <item x="122"/>
        <item x="42"/>
        <item x="396"/>
        <item x="529"/>
        <item x="310"/>
        <item x="104"/>
        <item x="196"/>
        <item x="569"/>
        <item x="467"/>
        <item x="80"/>
        <item x="275"/>
        <item x="136"/>
        <item x="175"/>
        <item x="409"/>
        <item x="614"/>
        <item x="47"/>
        <item x="84"/>
        <item x="514"/>
        <item x="34"/>
        <item x="407"/>
        <item x="556"/>
        <item x="213"/>
        <item x="306"/>
        <item x="50"/>
        <item x="264"/>
        <item x="2"/>
        <item x="32"/>
        <item x="140"/>
        <item x="607"/>
        <item x="489"/>
        <item x="61"/>
        <item x="256"/>
        <item x="261"/>
        <item x="115"/>
        <item x="424"/>
        <item x="167"/>
        <item x="374"/>
        <item x="390"/>
        <item x="423"/>
        <item x="25"/>
        <item x="20"/>
        <item x="345"/>
        <item t="default"/>
      </items>
    </pivotField>
    <pivotField compact="0" numFmtId="44" showAll="0">
      <items count="631">
        <item x="615"/>
        <item x="2"/>
        <item x="58"/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numFmtId="44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numFmtId="184" showAll="0">
      <items count="229">
        <item x="5"/>
        <item x="140"/>
        <item x="10"/>
        <item x="20"/>
        <item x="99"/>
        <item x="19"/>
        <item x="84"/>
        <item x="170"/>
        <item x="212"/>
        <item x="108"/>
        <item x="205"/>
        <item x="113"/>
        <item x="106"/>
        <item x="118"/>
        <item x="109"/>
        <item x="179"/>
        <item x="134"/>
        <item x="71"/>
        <item x="8"/>
        <item x="195"/>
        <item x="76"/>
        <item x="42"/>
        <item x="32"/>
        <item x="16"/>
        <item x="188"/>
        <item x="208"/>
        <item x="174"/>
        <item x="89"/>
        <item x="221"/>
        <item x="107"/>
        <item x="215"/>
        <item x="58"/>
        <item x="216"/>
        <item x="54"/>
        <item x="130"/>
        <item x="114"/>
        <item x="223"/>
        <item x="133"/>
        <item x="121"/>
        <item x="92"/>
        <item x="193"/>
        <item x="163"/>
        <item x="227"/>
        <item x="96"/>
        <item x="201"/>
        <item x="176"/>
        <item x="72"/>
        <item x="143"/>
        <item x="55"/>
        <item x="90"/>
        <item x="68"/>
        <item x="88"/>
        <item x="3"/>
        <item x="93"/>
        <item x="13"/>
        <item x="43"/>
        <item x="171"/>
        <item x="202"/>
        <item x="117"/>
        <item x="164"/>
        <item x="226"/>
        <item x="104"/>
        <item x="200"/>
        <item x="26"/>
        <item x="147"/>
        <item x="24"/>
        <item x="167"/>
        <item x="25"/>
        <item x="168"/>
        <item x="119"/>
        <item x="77"/>
        <item x="142"/>
        <item x="12"/>
        <item x="148"/>
        <item x="73"/>
        <item x="224"/>
        <item x="199"/>
        <item x="74"/>
        <item x="165"/>
        <item x="27"/>
        <item x="4"/>
        <item x="172"/>
        <item x="67"/>
        <item x="52"/>
        <item x="192"/>
        <item x="105"/>
        <item x="86"/>
        <item x="14"/>
        <item x="46"/>
        <item x="95"/>
        <item x="0"/>
        <item x="139"/>
        <item x="60"/>
        <item x="158"/>
        <item x="144"/>
        <item x="85"/>
        <item x="45"/>
        <item x="18"/>
        <item x="173"/>
        <item x="153"/>
        <item x="82"/>
        <item x="213"/>
        <item x="22"/>
        <item x="38"/>
        <item x="110"/>
        <item x="137"/>
        <item x="31"/>
        <item x="49"/>
        <item x="2"/>
        <item x="191"/>
        <item x="112"/>
        <item x="61"/>
        <item x="157"/>
        <item x="29"/>
        <item x="81"/>
        <item x="159"/>
        <item x="23"/>
        <item x="78"/>
        <item x="169"/>
        <item x="56"/>
        <item x="17"/>
        <item x="41"/>
        <item x="180"/>
        <item x="34"/>
        <item x="6"/>
        <item x="135"/>
        <item x="9"/>
        <item x="209"/>
        <item x="102"/>
        <item x="136"/>
        <item x="125"/>
        <item x="69"/>
        <item x="131"/>
        <item x="161"/>
        <item x="87"/>
        <item x="181"/>
        <item x="129"/>
        <item x="75"/>
        <item x="64"/>
        <item x="196"/>
        <item x="156"/>
        <item x="211"/>
        <item x="150"/>
        <item x="21"/>
        <item x="36"/>
        <item x="189"/>
        <item x="225"/>
        <item x="145"/>
        <item x="122"/>
        <item x="155"/>
        <item x="30"/>
        <item x="166"/>
        <item x="120"/>
        <item x="94"/>
        <item x="79"/>
        <item x="111"/>
        <item x="35"/>
        <item x="15"/>
        <item x="50"/>
        <item x="57"/>
        <item x="63"/>
        <item x="37"/>
        <item x="70"/>
        <item x="51"/>
        <item x="197"/>
        <item x="98"/>
        <item x="7"/>
        <item x="124"/>
        <item x="115"/>
        <item x="47"/>
        <item x="138"/>
        <item x="91"/>
        <item x="53"/>
        <item x="44"/>
        <item x="162"/>
        <item x="222"/>
        <item x="219"/>
        <item x="182"/>
        <item x="126"/>
        <item x="123"/>
        <item x="207"/>
        <item x="66"/>
        <item x="154"/>
        <item x="203"/>
        <item x="218"/>
        <item x="97"/>
        <item x="217"/>
        <item x="152"/>
        <item x="204"/>
        <item x="83"/>
        <item x="214"/>
        <item x="127"/>
        <item x="146"/>
        <item x="128"/>
        <item x="1"/>
        <item x="149"/>
        <item x="177"/>
        <item x="183"/>
        <item x="65"/>
        <item x="28"/>
        <item x="103"/>
        <item x="220"/>
        <item x="11"/>
        <item x="116"/>
        <item x="48"/>
        <item x="194"/>
        <item x="62"/>
        <item x="132"/>
        <item x="101"/>
        <item x="187"/>
        <item x="151"/>
        <item x="100"/>
        <item x="141"/>
        <item x="178"/>
        <item x="190"/>
        <item x="80"/>
        <item x="186"/>
        <item x="39"/>
        <item x="210"/>
        <item x="40"/>
        <item x="184"/>
        <item x="206"/>
        <item x="160"/>
        <item x="33"/>
        <item x="59"/>
        <item x="175"/>
        <item x="198"/>
        <item x="18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04">
        <item x="5"/>
        <item x="130"/>
        <item x="10"/>
        <item x="20"/>
        <item x="93"/>
        <item x="19"/>
        <item x="78"/>
        <item x="157"/>
        <item x="188"/>
        <item x="100"/>
        <item x="183"/>
        <item x="105"/>
        <item x="98"/>
        <item x="109"/>
        <item x="101"/>
        <item x="164"/>
        <item x="124"/>
        <item x="66"/>
        <item x="8"/>
        <item x="174"/>
        <item x="71"/>
        <item x="40"/>
        <item x="32"/>
        <item x="16"/>
        <item x="169"/>
        <item x="185"/>
        <item x="161"/>
        <item x="83"/>
        <item x="196"/>
        <item x="99"/>
        <item x="190"/>
        <item x="55"/>
        <item x="191"/>
        <item x="51"/>
        <item x="121"/>
        <item x="106"/>
        <item x="198"/>
        <item x="123"/>
        <item x="112"/>
        <item x="86"/>
        <item x="173"/>
        <item x="150"/>
        <item x="202"/>
        <item x="90"/>
        <item x="179"/>
        <item x="162"/>
        <item x="67"/>
        <item x="132"/>
        <item x="52"/>
        <item x="84"/>
        <item x="63"/>
        <item x="82"/>
        <item x="3"/>
        <item x="87"/>
        <item x="13"/>
        <item x="41"/>
        <item x="158"/>
        <item x="180"/>
        <item x="108"/>
        <item x="151"/>
        <item x="201"/>
        <item x="96"/>
        <item x="178"/>
        <item x="26"/>
        <item x="136"/>
        <item x="24"/>
        <item x="154"/>
        <item x="25"/>
        <item x="155"/>
        <item x="110"/>
        <item x="72"/>
        <item x="131"/>
        <item x="12"/>
        <item x="137"/>
        <item x="68"/>
        <item x="199"/>
        <item x="177"/>
        <item x="69"/>
        <item x="152"/>
        <item x="27"/>
        <item x="4"/>
        <item x="159"/>
        <item x="62"/>
        <item x="49"/>
        <item x="172"/>
        <item x="97"/>
        <item x="80"/>
        <item x="14"/>
        <item x="44"/>
        <item x="89"/>
        <item x="0"/>
        <item x="129"/>
        <item x="56"/>
        <item x="146"/>
        <item x="133"/>
        <item x="79"/>
        <item x="43"/>
        <item x="18"/>
        <item x="160"/>
        <item x="141"/>
        <item x="76"/>
        <item x="189"/>
        <item x="22"/>
        <item x="38"/>
        <item x="102"/>
        <item x="127"/>
        <item x="31"/>
        <item x="46"/>
        <item x="2"/>
        <item x="171"/>
        <item x="104"/>
        <item x="57"/>
        <item x="145"/>
        <item x="29"/>
        <item x="75"/>
        <item x="147"/>
        <item x="23"/>
        <item x="73"/>
        <item x="156"/>
        <item x="53"/>
        <item x="17"/>
        <item x="39"/>
        <item x="165"/>
        <item x="34"/>
        <item x="6"/>
        <item x="125"/>
        <item x="9"/>
        <item x="186"/>
        <item x="94"/>
        <item x="126"/>
        <item x="116"/>
        <item x="64"/>
        <item x="122"/>
        <item x="148"/>
        <item x="81"/>
        <item x="166"/>
        <item x="120"/>
        <item x="70"/>
        <item x="59"/>
        <item x="175"/>
        <item x="144"/>
        <item x="187"/>
        <item x="139"/>
        <item x="21"/>
        <item x="36"/>
        <item x="170"/>
        <item x="200"/>
        <item x="134"/>
        <item x="113"/>
        <item x="143"/>
        <item x="30"/>
        <item x="153"/>
        <item x="111"/>
        <item x="88"/>
        <item x="74"/>
        <item x="103"/>
        <item x="35"/>
        <item x="15"/>
        <item x="47"/>
        <item x="54"/>
        <item x="58"/>
        <item x="37"/>
        <item x="65"/>
        <item x="48"/>
        <item x="176"/>
        <item x="92"/>
        <item x="7"/>
        <item x="115"/>
        <item x="107"/>
        <item x="45"/>
        <item x="128"/>
        <item x="85"/>
        <item x="50"/>
        <item x="42"/>
        <item x="149"/>
        <item x="197"/>
        <item x="194"/>
        <item x="167"/>
        <item x="117"/>
        <item x="114"/>
        <item x="184"/>
        <item x="61"/>
        <item x="142"/>
        <item x="181"/>
        <item x="193"/>
        <item x="91"/>
        <item x="192"/>
        <item x="140"/>
        <item x="182"/>
        <item x="77"/>
        <item x="33"/>
        <item x="118"/>
        <item x="135"/>
        <item x="119"/>
        <item x="1"/>
        <item x="138"/>
        <item x="163"/>
        <item x="168"/>
        <item x="60"/>
        <item x="28"/>
        <item x="95"/>
        <item x="195"/>
        <item x="11"/>
        <item t="default"/>
      </items>
    </pivotField>
    <pivotField compact="0" numFmtId="183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51"/>
        <item x="247"/>
        <item x="531"/>
        <item x="89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41"/>
        <item x="354"/>
        <item x="139"/>
        <item x="114"/>
        <item x="490"/>
        <item x="305"/>
        <item x="87"/>
        <item x="108"/>
        <item x="460"/>
        <item x="26"/>
        <item x="211"/>
        <item x="582"/>
        <item x="464"/>
        <item x="551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137"/>
        <item x="258"/>
        <item x="193"/>
        <item x="598"/>
        <item x="131"/>
        <item x="179"/>
        <item x="74"/>
        <item x="240"/>
        <item x="222"/>
        <item x="369"/>
        <item x="59"/>
        <item x="571"/>
        <item x="201"/>
        <item x="408"/>
        <item x="495"/>
        <item x="543"/>
        <item x="481"/>
        <item x="57"/>
        <item x="361"/>
        <item x="546"/>
        <item x="186"/>
        <item x="334"/>
        <item x="0"/>
        <item x="79"/>
        <item x="12"/>
        <item x="314"/>
        <item x="627"/>
        <item x="483"/>
        <item x="486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447"/>
        <item x="333"/>
        <item x="161"/>
        <item x="593"/>
        <item x="118"/>
        <item x="52"/>
        <item x="231"/>
        <item x="304"/>
        <item x="443"/>
        <item x="103"/>
        <item x="599"/>
        <item x="485"/>
        <item x="277"/>
        <item x="581"/>
        <item x="328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332"/>
        <item x="271"/>
        <item x="46"/>
        <item x="580"/>
        <item x="156"/>
        <item x="270"/>
        <item x="363"/>
        <item x="437"/>
        <item x="293"/>
        <item x="520"/>
        <item x="501"/>
        <item x="229"/>
        <item x="601"/>
        <item x="321"/>
        <item x="492"/>
        <item x="259"/>
        <item x="14"/>
        <item x="458"/>
        <item x="269"/>
        <item x="182"/>
        <item x="130"/>
        <item x="216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343"/>
        <item x="590"/>
        <item x="316"/>
        <item x="510"/>
        <item x="612"/>
        <item x="530"/>
        <item x="73"/>
        <item x="419"/>
        <item x="386"/>
        <item x="489"/>
        <item x="32"/>
        <item x="241"/>
        <item x="136"/>
        <item x="446"/>
        <item x="246"/>
        <item x="30"/>
        <item x="518"/>
        <item x="325"/>
        <item x="309"/>
        <item x="301"/>
        <item x="143"/>
        <item x="421"/>
        <item x="92"/>
        <item x="564"/>
        <item x="504"/>
        <item x="610"/>
        <item x="11"/>
        <item x="158"/>
        <item x="185"/>
        <item x="470"/>
        <item x="78"/>
        <item x="289"/>
        <item x="615"/>
        <item x="558"/>
        <item x="41"/>
        <item x="70"/>
        <item x="43"/>
        <item x="623"/>
        <item x="616"/>
        <item x="545"/>
        <item x="123"/>
        <item x="515"/>
        <item x="502"/>
        <item x="416"/>
        <item x="22"/>
        <item x="549"/>
        <item x="62"/>
        <item x="4"/>
        <item x="154"/>
        <item x="312"/>
        <item x="393"/>
        <item x="197"/>
        <item x="380"/>
        <item x="527"/>
        <item x="274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105"/>
        <item x="576"/>
        <item x="65"/>
        <item x="250"/>
        <item x="163"/>
        <item x="349"/>
        <item x="244"/>
        <item x="449"/>
        <item x="104"/>
        <item x="167"/>
        <item x="450"/>
        <item x="265"/>
        <item x="441"/>
        <item x="299"/>
        <item x="364"/>
        <item x="630"/>
        <item x="381"/>
        <item x="145"/>
        <item x="430"/>
        <item x="433"/>
        <item x="399"/>
        <item x="281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170"/>
        <item x="8"/>
        <item x="455"/>
        <item x="359"/>
        <item x="148"/>
        <item x="50"/>
        <item x="595"/>
        <item x="200"/>
        <item x="38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335"/>
        <item x="469"/>
        <item x="317"/>
        <item x="351"/>
        <item x="499"/>
        <item x="228"/>
        <item x="371"/>
        <item x="402"/>
        <item x="340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427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99"/>
        <item x="204"/>
        <item x="300"/>
        <item x="144"/>
        <item x="16"/>
        <item x="324"/>
        <item x="339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329"/>
        <item x="188"/>
        <item x="219"/>
        <item x="336"/>
        <item x="207"/>
        <item x="487"/>
        <item x="607"/>
        <item x="159"/>
        <item x="273"/>
        <item x="423"/>
        <item x="153"/>
        <item x="56"/>
        <item x="550"/>
        <item x="111"/>
        <item x="622"/>
        <item x="426"/>
        <item x="226"/>
        <item x="42"/>
        <item x="542"/>
        <item x="496"/>
        <item x="310"/>
        <item x="374"/>
        <item x="195"/>
        <item x="442"/>
        <item x="414"/>
        <item x="173"/>
        <item x="55"/>
        <item x="548"/>
        <item x="142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92"/>
        <item x="357"/>
        <item x="624"/>
        <item x="512"/>
        <item x="557"/>
        <item x="537"/>
        <item x="592"/>
        <item x="100"/>
        <item x="319"/>
        <item x="199"/>
        <item x="396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247"/>
        <item x="531"/>
        <item x="89"/>
        <item x="51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54"/>
        <item x="341"/>
        <item x="114"/>
        <item x="139"/>
        <item x="490"/>
        <item x="305"/>
        <item x="87"/>
        <item x="108"/>
        <item x="460"/>
        <item x="26"/>
        <item x="211"/>
        <item x="582"/>
        <item x="551"/>
        <item x="464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258"/>
        <item x="193"/>
        <item x="598"/>
        <item x="131"/>
        <item x="179"/>
        <item x="240"/>
        <item x="222"/>
        <item x="137"/>
        <item x="369"/>
        <item x="59"/>
        <item x="571"/>
        <item x="408"/>
        <item x="495"/>
        <item x="543"/>
        <item x="481"/>
        <item x="57"/>
        <item x="361"/>
        <item x="201"/>
        <item x="546"/>
        <item x="186"/>
        <item x="334"/>
        <item x="0"/>
        <item x="79"/>
        <item x="12"/>
        <item x="314"/>
        <item x="627"/>
        <item x="483"/>
        <item x="486"/>
        <item x="74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333"/>
        <item x="161"/>
        <item x="593"/>
        <item x="118"/>
        <item x="52"/>
        <item x="231"/>
        <item x="304"/>
        <item x="443"/>
        <item x="103"/>
        <item x="599"/>
        <item x="447"/>
        <item x="485"/>
        <item x="277"/>
        <item x="581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271"/>
        <item x="46"/>
        <item x="580"/>
        <item x="156"/>
        <item x="270"/>
        <item x="328"/>
        <item x="437"/>
        <item x="293"/>
        <item x="520"/>
        <item x="501"/>
        <item x="229"/>
        <item x="601"/>
        <item x="321"/>
        <item x="332"/>
        <item x="492"/>
        <item x="259"/>
        <item x="14"/>
        <item x="458"/>
        <item x="269"/>
        <item x="182"/>
        <item x="130"/>
        <item x="216"/>
        <item x="363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590"/>
        <item x="316"/>
        <item x="510"/>
        <item x="612"/>
        <item x="530"/>
        <item x="343"/>
        <item x="73"/>
        <item x="419"/>
        <item x="386"/>
        <item x="489"/>
        <item x="32"/>
        <item x="241"/>
        <item x="136"/>
        <item x="446"/>
        <item x="30"/>
        <item x="518"/>
        <item x="325"/>
        <item x="309"/>
        <item x="301"/>
        <item x="143"/>
        <item x="421"/>
        <item x="92"/>
        <item x="564"/>
        <item x="504"/>
        <item x="246"/>
        <item x="610"/>
        <item x="11"/>
        <item x="158"/>
        <item x="185"/>
        <item x="470"/>
        <item x="289"/>
        <item x="615"/>
        <item x="558"/>
        <item x="41"/>
        <item x="70"/>
        <item x="43"/>
        <item x="623"/>
        <item x="616"/>
        <item x="545"/>
        <item x="123"/>
        <item x="78"/>
        <item x="515"/>
        <item x="502"/>
        <item x="416"/>
        <item x="22"/>
        <item x="549"/>
        <item x="62"/>
        <item x="4"/>
        <item x="154"/>
        <item x="312"/>
        <item x="197"/>
        <item x="380"/>
        <item x="527"/>
        <item x="274"/>
        <item x="393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576"/>
        <item x="65"/>
        <item x="250"/>
        <item x="163"/>
        <item x="349"/>
        <item x="244"/>
        <item x="449"/>
        <item x="104"/>
        <item x="450"/>
        <item x="265"/>
        <item x="441"/>
        <item x="299"/>
        <item x="364"/>
        <item x="630"/>
        <item x="167"/>
        <item x="381"/>
        <item x="105"/>
        <item x="145"/>
        <item x="430"/>
        <item x="433"/>
        <item x="399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281"/>
        <item x="8"/>
        <item x="455"/>
        <item x="359"/>
        <item x="148"/>
        <item x="595"/>
        <item x="200"/>
        <item x="38"/>
        <item x="170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50"/>
        <item x="335"/>
        <item x="469"/>
        <item x="317"/>
        <item x="351"/>
        <item x="499"/>
        <item x="228"/>
        <item x="371"/>
        <item x="402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427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204"/>
        <item x="300"/>
        <item x="144"/>
        <item x="16"/>
        <item x="324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99"/>
        <item x="329"/>
        <item x="188"/>
        <item x="336"/>
        <item x="207"/>
        <item x="339"/>
        <item x="487"/>
        <item x="607"/>
        <item x="159"/>
        <item x="273"/>
        <item x="219"/>
        <item x="423"/>
        <item x="153"/>
        <item x="56"/>
        <item x="550"/>
        <item x="111"/>
        <item x="340"/>
        <item x="622"/>
        <item x="426"/>
        <item x="226"/>
        <item x="542"/>
        <item x="496"/>
        <item x="310"/>
        <item x="195"/>
        <item x="442"/>
        <item x="414"/>
        <item x="173"/>
        <item x="55"/>
        <item x="548"/>
        <item x="142"/>
        <item x="374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42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57"/>
        <item x="624"/>
        <item x="512"/>
        <item x="557"/>
        <item x="537"/>
        <item x="592"/>
        <item x="100"/>
        <item x="319"/>
        <item x="199"/>
        <item x="396"/>
        <item x="392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493"/>
        <item x="172"/>
        <item x="286"/>
        <item x="298"/>
        <item x="96"/>
        <item x="586"/>
        <item x="389"/>
        <item x="54"/>
        <item x="83"/>
        <item x="247"/>
        <item x="631"/>
        <item x="119"/>
        <item x="575"/>
        <item x="89"/>
        <item x="572"/>
        <item x="418"/>
        <item x="106"/>
        <item x="177"/>
        <item x="7"/>
        <item x="517"/>
        <item x="532"/>
        <item x="282"/>
        <item x="354"/>
        <item x="263"/>
        <item x="243"/>
        <item x="51"/>
        <item x="531"/>
        <item x="109"/>
        <item x="305"/>
        <item x="461"/>
        <item x="341"/>
        <item x="221"/>
        <item x="620"/>
        <item x="291"/>
        <item x="311"/>
        <item x="108"/>
        <item x="602"/>
        <item x="230"/>
        <item x="490"/>
        <item x="551"/>
        <item x="127"/>
        <item x="519"/>
        <item x="445"/>
        <item x="323"/>
        <item x="476"/>
        <item x="464"/>
        <item x="582"/>
        <item x="391"/>
        <item x="347"/>
        <item x="26"/>
        <item x="621"/>
        <item x="217"/>
        <item x="330"/>
        <item x="326"/>
        <item x="460"/>
        <item x="116"/>
        <item x="211"/>
        <item x="412"/>
        <item x="128"/>
        <item x="124"/>
        <item x="174"/>
        <item x="466"/>
        <item x="344"/>
        <item x="463"/>
        <item x="597"/>
        <item x="245"/>
        <item x="139"/>
        <item x="113"/>
        <item x="570"/>
        <item x="169"/>
        <item x="87"/>
        <item x="28"/>
        <item x="526"/>
        <item x="232"/>
        <item x="608"/>
        <item x="318"/>
        <item x="257"/>
        <item x="609"/>
        <item x="565"/>
        <item x="439"/>
        <item x="114"/>
        <item x="5"/>
        <item x="508"/>
        <item x="579"/>
        <item x="6"/>
        <item x="297"/>
        <item x="434"/>
        <item x="481"/>
        <item x="334"/>
        <item x="222"/>
        <item x="133"/>
        <item x="495"/>
        <item x="627"/>
        <item x="403"/>
        <item x="0"/>
        <item x="258"/>
        <item x="82"/>
        <item x="584"/>
        <item x="581"/>
        <item x="546"/>
        <item x="53"/>
        <item x="327"/>
        <item x="511"/>
        <item x="296"/>
        <item x="239"/>
        <item x="231"/>
        <item x="57"/>
        <item x="436"/>
        <item x="304"/>
        <item x="39"/>
        <item x="604"/>
        <item x="254"/>
        <item x="443"/>
        <item x="370"/>
        <item x="491"/>
        <item x="194"/>
        <item x="378"/>
        <item x="307"/>
        <item x="277"/>
        <item x="240"/>
        <item x="233"/>
        <item x="598"/>
        <item x="293"/>
        <item x="486"/>
        <item x="71"/>
        <item x="178"/>
        <item x="103"/>
        <item x="248"/>
        <item x="488"/>
        <item x="156"/>
        <item x="12"/>
        <item x="130"/>
        <item x="571"/>
        <item x="79"/>
        <item x="350"/>
        <item x="118"/>
        <item x="308"/>
        <item x="186"/>
        <item x="458"/>
        <item x="462"/>
        <item x="410"/>
        <item x="182"/>
        <item x="328"/>
        <item x="432"/>
        <item x="358"/>
        <item x="483"/>
        <item x="285"/>
        <item x="513"/>
        <item x="563"/>
        <item x="161"/>
        <item x="498"/>
        <item x="369"/>
        <item x="599"/>
        <item x="594"/>
        <item x="314"/>
        <item x="171"/>
        <item x="59"/>
        <item x="524"/>
        <item x="437"/>
        <item x="332"/>
        <item x="46"/>
        <item x="69"/>
        <item x="191"/>
        <item x="141"/>
        <item x="509"/>
        <item x="338"/>
        <item x="137"/>
        <item x="179"/>
        <item x="74"/>
        <item x="214"/>
        <item x="616"/>
        <item x="279"/>
        <item x="90"/>
        <item x="447"/>
        <item x="158"/>
        <item x="540"/>
        <item x="373"/>
        <item x="315"/>
        <item x="201"/>
        <item x="227"/>
        <item x="446"/>
        <item x="473"/>
        <item x="206"/>
        <item x="218"/>
        <item x="27"/>
        <item x="470"/>
        <item x="271"/>
        <item x="525"/>
        <item x="408"/>
        <item x="578"/>
        <item x="43"/>
        <item x="146"/>
        <item x="502"/>
        <item x="168"/>
        <item x="331"/>
        <item x="183"/>
        <item x="309"/>
        <item x="503"/>
        <item x="596"/>
        <item x="543"/>
        <item x="3"/>
        <item x="88"/>
        <item x="386"/>
        <item x="75"/>
        <item x="270"/>
        <item x="262"/>
        <item x="301"/>
        <item x="32"/>
        <item x="489"/>
        <item x="349"/>
        <item x="193"/>
        <item x="485"/>
        <item x="333"/>
        <item x="25"/>
        <item x="102"/>
        <item x="274"/>
        <item x="94"/>
        <item x="37"/>
        <item x="131"/>
        <item x="589"/>
        <item x="593"/>
        <item x="145"/>
        <item x="163"/>
        <item x="520"/>
        <item x="368"/>
        <item x="558"/>
        <item x="316"/>
        <item x="92"/>
        <item x="544"/>
        <item x="33"/>
        <item x="630"/>
        <item x="220"/>
        <item x="250"/>
        <item x="518"/>
        <item x="398"/>
        <item x="152"/>
        <item x="430"/>
        <item x="35"/>
        <item x="477"/>
        <item x="580"/>
        <item x="450"/>
        <item x="62"/>
        <item x="561"/>
        <item x="536"/>
        <item x="533"/>
        <item x="595"/>
        <item x="417"/>
        <item x="15"/>
        <item x="433"/>
        <item x="101"/>
        <item x="238"/>
        <item x="212"/>
        <item x="515"/>
        <item x="104"/>
        <item x="312"/>
        <item x="294"/>
        <item x="361"/>
        <item x="78"/>
        <item x="162"/>
        <item x="269"/>
        <item x="421"/>
        <item x="197"/>
        <item x="41"/>
        <item x="411"/>
        <item x="22"/>
        <item x="241"/>
        <item x="164"/>
        <item x="143"/>
        <item x="268"/>
        <item x="343"/>
        <item x="129"/>
        <item x="345"/>
        <item x="283"/>
        <item x="189"/>
        <item x="577"/>
        <item x="419"/>
        <item x="216"/>
        <item x="453"/>
        <item x="98"/>
        <item x="523"/>
        <item x="559"/>
        <item x="281"/>
        <item x="472"/>
        <item x="8"/>
        <item x="325"/>
        <item x="405"/>
        <item x="615"/>
        <item x="507"/>
        <item x="52"/>
        <item x="198"/>
        <item x="246"/>
        <item x="70"/>
        <item x="425"/>
        <item x="155"/>
        <item x="413"/>
        <item x="367"/>
        <item x="30"/>
        <item x="530"/>
        <item x="549"/>
        <item x="275"/>
        <item x="136"/>
        <item x="612"/>
        <item x="176"/>
        <item x="457"/>
        <item x="499"/>
        <item x="359"/>
        <item x="527"/>
        <item x="623"/>
        <item x="154"/>
        <item x="535"/>
        <item x="510"/>
        <item x="451"/>
        <item x="67"/>
        <item x="564"/>
        <item x="610"/>
        <item x="541"/>
        <item x="185"/>
        <item x="494"/>
        <item x="342"/>
        <item x="68"/>
        <item x="321"/>
        <item x="303"/>
        <item x="605"/>
        <item x="504"/>
        <item x="415"/>
        <item x="335"/>
        <item x="455"/>
        <item x="538"/>
        <item x="363"/>
        <item x="601"/>
        <item x="14"/>
        <item x="290"/>
        <item x="148"/>
        <item x="380"/>
        <item x="93"/>
        <item x="295"/>
        <item x="147"/>
        <item x="287"/>
        <item x="13"/>
        <item x="249"/>
        <item x="404"/>
        <item x="492"/>
        <item x="467"/>
        <item x="210"/>
        <item x="320"/>
        <item x="280"/>
        <item x="441"/>
        <item x="4"/>
        <item x="591"/>
        <item x="611"/>
        <item x="255"/>
        <item x="267"/>
        <item x="23"/>
        <item x="393"/>
        <item x="229"/>
        <item x="261"/>
        <item x="366"/>
        <item x="394"/>
        <item x="547"/>
        <item x="545"/>
        <item x="500"/>
        <item x="20"/>
        <item x="576"/>
        <item x="29"/>
        <item x="399"/>
        <item x="21"/>
        <item x="440"/>
        <item x="225"/>
        <item x="452"/>
        <item x="474"/>
        <item x="123"/>
        <item x="428"/>
        <item x="420"/>
        <item x="324"/>
        <item x="38"/>
        <item x="469"/>
        <item x="614"/>
        <item x="24"/>
        <item x="259"/>
        <item x="364"/>
        <item x="251"/>
        <item x="50"/>
        <item x="381"/>
        <item x="121"/>
        <item x="444"/>
        <item x="115"/>
        <item x="590"/>
        <item x="209"/>
        <item x="228"/>
        <item x="204"/>
        <item x="454"/>
        <item x="150"/>
        <item x="284"/>
        <item x="377"/>
        <item x="501"/>
        <item x="395"/>
        <item x="568"/>
        <item x="56"/>
        <item x="253"/>
        <item x="170"/>
        <item x="552"/>
        <item x="34"/>
        <item x="456"/>
        <item x="73"/>
        <item x="205"/>
        <item x="213"/>
        <item x="299"/>
        <item x="85"/>
        <item x="234"/>
        <item x="91"/>
        <item x="607"/>
        <item x="256"/>
        <item x="606"/>
        <item x="125"/>
        <item x="167"/>
        <item x="371"/>
        <item x="207"/>
        <item x="449"/>
        <item x="260"/>
        <item x="157"/>
        <item x="416"/>
        <item x="86"/>
        <item x="107"/>
        <item x="208"/>
        <item x="414"/>
        <item x="355"/>
        <item x="215"/>
        <item x="105"/>
        <item x="554"/>
        <item x="529"/>
        <item x="135"/>
        <item x="573"/>
        <item x="336"/>
        <item x="288"/>
        <item x="574"/>
        <item x="10"/>
        <item x="110"/>
        <item x="153"/>
        <item x="44"/>
        <item x="348"/>
        <item x="351"/>
        <item x="442"/>
        <item x="160"/>
        <item x="200"/>
        <item x="505"/>
        <item x="132"/>
        <item x="379"/>
        <item x="329"/>
        <item x="585"/>
        <item x="487"/>
        <item x="166"/>
        <item x="475"/>
        <item x="317"/>
        <item x="202"/>
        <item x="555"/>
        <item x="496"/>
        <item x="550"/>
        <item x="400"/>
        <item x="514"/>
        <item x="219"/>
        <item x="340"/>
        <item x="292"/>
        <item x="566"/>
        <item x="553"/>
        <item x="235"/>
        <item x="401"/>
        <item x="144"/>
        <item x="244"/>
        <item x="387"/>
        <item x="402"/>
        <item x="224"/>
        <item x="390"/>
        <item x="300"/>
        <item x="459"/>
        <item x="289"/>
        <item x="372"/>
        <item x="122"/>
        <item x="310"/>
        <item x="569"/>
        <item x="65"/>
        <item x="384"/>
        <item x="409"/>
        <item x="484"/>
        <item x="159"/>
        <item x="522"/>
        <item x="66"/>
        <item x="388"/>
        <item x="339"/>
        <item x="516"/>
        <item x="2"/>
        <item x="468"/>
        <item x="226"/>
        <item x="61"/>
        <item x="374"/>
        <item x="151"/>
        <item x="471"/>
        <item x="76"/>
        <item x="252"/>
        <item x="352"/>
        <item x="11"/>
        <item x="134"/>
        <item x="322"/>
        <item x="479"/>
        <item x="120"/>
        <item x="84"/>
        <item x="628"/>
        <item x="188"/>
        <item x="600"/>
        <item x="190"/>
        <item x="625"/>
        <item x="77"/>
        <item x="81"/>
        <item x="173"/>
        <item x="365"/>
        <item x="406"/>
        <item x="18"/>
        <item x="36"/>
        <item x="19"/>
        <item x="629"/>
        <item x="482"/>
        <item x="603"/>
        <item x="480"/>
        <item x="95"/>
        <item x="42"/>
        <item x="17"/>
        <item x="587"/>
        <item x="31"/>
        <item x="64"/>
        <item x="278"/>
        <item x="560"/>
        <item x="111"/>
        <item x="617"/>
        <item x="397"/>
        <item x="265"/>
        <item x="48"/>
        <item x="438"/>
        <item x="427"/>
        <item x="266"/>
        <item x="100"/>
        <item x="99"/>
        <item x="273"/>
        <item x="356"/>
        <item x="478"/>
        <item x="542"/>
        <item x="97"/>
        <item x="429"/>
        <item x="181"/>
        <item x="313"/>
        <item x="562"/>
        <item x="360"/>
        <item x="626"/>
        <item x="534"/>
        <item x="337"/>
        <item x="45"/>
        <item x="435"/>
        <item x="149"/>
        <item x="72"/>
        <item x="184"/>
        <item x="60"/>
        <item x="557"/>
        <item x="196"/>
        <item x="618"/>
        <item x="353"/>
        <item x="16"/>
        <item x="431"/>
        <item x="548"/>
        <item x="407"/>
        <item x="556"/>
        <item x="506"/>
        <item x="195"/>
        <item x="592"/>
        <item x="138"/>
        <item x="624"/>
        <item x="426"/>
        <item x="567"/>
        <item x="242"/>
        <item x="376"/>
        <item x="537"/>
        <item x="40"/>
        <item x="448"/>
        <item x="302"/>
        <item x="396"/>
        <item x="49"/>
        <item x="272"/>
        <item x="192"/>
        <item x="583"/>
        <item x="223"/>
        <item x="142"/>
        <item x="521"/>
        <item x="497"/>
        <item x="187"/>
        <item x="357"/>
        <item x="382"/>
        <item x="117"/>
        <item x="236"/>
        <item x="622"/>
        <item x="55"/>
        <item x="199"/>
        <item x="264"/>
        <item x="1"/>
        <item x="375"/>
        <item x="588"/>
        <item x="613"/>
        <item x="306"/>
        <item x="619"/>
        <item x="424"/>
        <item x="423"/>
        <item x="385"/>
        <item x="203"/>
        <item x="539"/>
        <item x="80"/>
        <item x="362"/>
        <item x="392"/>
        <item x="126"/>
        <item x="9"/>
        <item x="346"/>
        <item x="47"/>
        <item x="512"/>
        <item x="319"/>
        <item x="383"/>
        <item x="528"/>
        <item x="465"/>
        <item x="276"/>
        <item x="175"/>
        <item x="165"/>
        <item x="422"/>
        <item x="63"/>
        <item x="140"/>
        <item x="58"/>
        <item x="237"/>
        <item t="default"/>
      </items>
    </pivotField>
    <pivotField compact="0" numFmtId="44" showAll="0">
      <items count="633">
        <item x="1"/>
        <item x="385"/>
        <item x="626"/>
        <item x="265"/>
        <item x="11"/>
        <item x="560"/>
        <item x="132"/>
        <item x="134"/>
        <item x="423"/>
        <item x="289"/>
        <item x="497"/>
        <item x="58"/>
        <item x="501"/>
        <item x="187"/>
        <item x="65"/>
        <item x="125"/>
        <item x="192"/>
        <item x="407"/>
        <item x="150"/>
        <item x="244"/>
        <item x="259"/>
        <item x="73"/>
        <item x="72"/>
        <item x="388"/>
        <item x="590"/>
        <item x="229"/>
        <item x="416"/>
        <item x="152"/>
        <item x="477"/>
        <item x="492"/>
        <item x="98"/>
        <item x="361"/>
        <item x="2"/>
        <item x="196"/>
        <item x="52"/>
        <item x="617"/>
        <item x="363"/>
        <item x="622"/>
        <item x="404"/>
        <item x="601"/>
        <item x="605"/>
        <item x="105"/>
        <item x="397"/>
        <item x="14"/>
        <item x="146"/>
        <item x="131"/>
        <item x="384"/>
        <item x="540"/>
        <item x="338"/>
        <item x="193"/>
        <item x="321"/>
        <item x="66"/>
        <item x="432"/>
        <item x="27"/>
        <item x="449"/>
        <item x="427"/>
        <item x="543"/>
        <item x="167"/>
        <item x="224"/>
        <item x="55"/>
        <item x="303"/>
        <item x="373"/>
        <item x="457"/>
        <item x="166"/>
        <item x="81"/>
        <item x="122"/>
        <item x="114"/>
        <item x="101"/>
        <item x="94"/>
        <item x="408"/>
        <item x="593"/>
        <item x="116"/>
        <item x="3"/>
        <item x="252"/>
        <item x="268"/>
        <item x="434"/>
        <item x="411"/>
        <item x="323"/>
        <item x="299"/>
        <item x="333"/>
        <item x="238"/>
        <item x="201"/>
        <item x="36"/>
        <item x="68"/>
        <item x="137"/>
        <item x="390"/>
        <item x="230"/>
        <item x="177"/>
        <item x="179"/>
        <item x="74"/>
        <item x="87"/>
        <item x="53"/>
        <item x="519"/>
        <item x="127"/>
        <item x="631"/>
        <item x="123"/>
        <item x="574"/>
        <item x="139"/>
        <item x="54"/>
        <item x="476"/>
        <item x="200"/>
        <item x="109"/>
        <item x="298"/>
        <item x="286"/>
        <item x="112"/>
        <item x="212"/>
        <item x="609"/>
        <item x="180"/>
        <item x="263"/>
        <item x="532"/>
        <item x="96"/>
        <item x="51"/>
        <item x="106"/>
        <item x="35"/>
        <item x="172"/>
        <item x="531"/>
        <item x="493"/>
        <item x="311"/>
        <item x="561"/>
        <item x="575"/>
        <item x="285"/>
        <item x="85"/>
        <item x="275"/>
        <item x="282"/>
        <item x="216"/>
        <item x="485"/>
        <item x="243"/>
        <item x="7"/>
        <item x="83"/>
        <item x="586"/>
        <item x="89"/>
        <item x="221"/>
        <item x="119"/>
        <item x="389"/>
        <item x="358"/>
        <item x="602"/>
        <item x="461"/>
        <item x="526"/>
        <item x="247"/>
        <item x="418"/>
        <item x="620"/>
        <item x="15"/>
        <item x="291"/>
        <item x="257"/>
        <item x="59"/>
        <item x="198"/>
        <item x="545"/>
        <item x="462"/>
        <item x="248"/>
        <item x="572"/>
        <item x="460"/>
        <item x="463"/>
        <item x="341"/>
        <item x="211"/>
        <item x="269"/>
        <item x="517"/>
        <item x="369"/>
        <item x="174"/>
        <item x="510"/>
        <item x="86"/>
        <item x="6"/>
        <item x="580"/>
        <item x="113"/>
        <item x="606"/>
        <item x="354"/>
        <item x="227"/>
        <item x="26"/>
        <item x="307"/>
        <item x="169"/>
        <item x="490"/>
        <item x="155"/>
        <item x="402"/>
        <item x="124"/>
        <item x="190"/>
        <item x="582"/>
        <item x="412"/>
        <item x="439"/>
        <item x="447"/>
        <item x="464"/>
        <item x="383"/>
        <item x="608"/>
        <item x="39"/>
        <item x="350"/>
        <item x="612"/>
        <item x="488"/>
        <item x="511"/>
        <item x="530"/>
        <item x="297"/>
        <item x="108"/>
        <item x="314"/>
        <item x="318"/>
        <item x="551"/>
        <item x="232"/>
        <item x="194"/>
        <item x="445"/>
        <item x="305"/>
        <item x="162"/>
        <item x="618"/>
        <item x="16"/>
        <item x="4"/>
        <item x="217"/>
        <item x="520"/>
        <item x="317"/>
        <item x="347"/>
        <item x="393"/>
        <item x="133"/>
        <item x="189"/>
        <item x="239"/>
        <item x="75"/>
        <item x="536"/>
        <item x="327"/>
        <item x="326"/>
        <item x="417"/>
        <item x="513"/>
        <item x="234"/>
        <item x="621"/>
        <item x="370"/>
        <item x="10"/>
        <item x="340"/>
        <item x="364"/>
        <item x="381"/>
        <item x="504"/>
        <item x="128"/>
        <item x="136"/>
        <item x="571"/>
        <item x="584"/>
        <item x="186"/>
        <item x="401"/>
        <item x="466"/>
        <item x="483"/>
        <item x="235"/>
        <item x="598"/>
        <item x="330"/>
        <item x="240"/>
        <item x="564"/>
        <item x="391"/>
        <item x="30"/>
        <item x="168"/>
        <item x="215"/>
        <item x="245"/>
        <item x="270"/>
        <item x="218"/>
        <item x="610"/>
        <item x="578"/>
        <item x="566"/>
        <item x="79"/>
        <item x="296"/>
        <item x="351"/>
        <item x="343"/>
        <item x="185"/>
        <item x="410"/>
        <item x="161"/>
        <item x="576"/>
        <item x="206"/>
        <item x="597"/>
        <item x="508"/>
        <item x="12"/>
        <item x="246"/>
        <item x="344"/>
        <item x="570"/>
        <item x="170"/>
        <item x="591"/>
        <item x="294"/>
        <item x="599"/>
        <item x="258"/>
        <item x="380"/>
        <item x="554"/>
        <item x="271"/>
        <item x="308"/>
        <item x="5"/>
        <item x="419"/>
        <item x="579"/>
        <item x="325"/>
        <item x="486"/>
        <item x="395"/>
        <item x="57"/>
        <item x="623"/>
        <item x="28"/>
        <item x="400"/>
        <item x="222"/>
        <item x="208"/>
        <item x="249"/>
        <item x="565"/>
        <item x="233"/>
        <item x="546"/>
        <item x="524"/>
        <item x="495"/>
        <item x="154"/>
        <item x="241"/>
        <item x="0"/>
        <item x="262"/>
        <item x="481"/>
        <item x="118"/>
        <item x="328"/>
        <item x="399"/>
        <item x="334"/>
        <item x="70"/>
        <item x="596"/>
        <item x="428"/>
        <item x="549"/>
        <item x="615"/>
        <item x="365"/>
        <item x="84"/>
        <item x="627"/>
        <item x="143"/>
        <item x="604"/>
        <item x="25"/>
        <item x="316"/>
        <item x="441"/>
        <item x="527"/>
        <item x="403"/>
        <item x="46"/>
        <item x="103"/>
        <item x="421"/>
        <item x="436"/>
        <item x="82"/>
        <item x="332"/>
        <item x="184"/>
        <item x="503"/>
        <item x="277"/>
        <item x="494"/>
        <item x="231"/>
        <item x="44"/>
        <item x="142"/>
        <item x="443"/>
        <item x="437"/>
        <item x="377"/>
        <item x="525"/>
        <item x="304"/>
        <item x="183"/>
        <item x="214"/>
        <item x="71"/>
        <item x="331"/>
        <item x="50"/>
        <item x="284"/>
        <item x="518"/>
        <item x="78"/>
        <item x="473"/>
        <item x="41"/>
        <item x="406"/>
        <item x="387"/>
        <item x="90"/>
        <item x="420"/>
        <item x="371"/>
        <item x="151"/>
        <item x="378"/>
        <item x="581"/>
        <item x="438"/>
        <item x="254"/>
        <item x="22"/>
        <item x="491"/>
        <item x="141"/>
        <item x="38"/>
        <item x="92"/>
        <item x="426"/>
        <item x="489"/>
        <item x="147"/>
        <item x="509"/>
        <item x="32"/>
        <item x="386"/>
        <item x="515"/>
        <item x="315"/>
        <item x="182"/>
        <item x="99"/>
        <item x="178"/>
        <item x="156"/>
        <item x="458"/>
        <item x="301"/>
        <item x="435"/>
        <item x="197"/>
        <item x="553"/>
        <item x="558"/>
        <item x="279"/>
        <item x="312"/>
        <item x="283"/>
        <item x="594"/>
        <item x="309"/>
        <item x="293"/>
        <item x="191"/>
        <item x="62"/>
        <item x="479"/>
        <item x="453"/>
        <item x="130"/>
        <item x="467"/>
        <item x="512"/>
        <item x="228"/>
        <item x="563"/>
        <item x="164"/>
        <item x="69"/>
        <item x="498"/>
        <item x="516"/>
        <item x="171"/>
        <item x="446"/>
        <item x="375"/>
        <item x="236"/>
        <item x="484"/>
        <item x="573"/>
        <item x="469"/>
        <item x="195"/>
        <item x="547"/>
        <item x="533"/>
        <item x="470"/>
        <item x="281"/>
        <item x="104"/>
        <item x="522"/>
        <item x="43"/>
        <item x="274"/>
        <item x="559"/>
        <item x="587"/>
        <item x="148"/>
        <item x="502"/>
        <item x="158"/>
        <item x="67"/>
        <item x="405"/>
        <item x="455"/>
        <item x="382"/>
        <item x="250"/>
        <item x="49"/>
        <item x="209"/>
        <item x="450"/>
        <item x="256"/>
        <item x="163"/>
        <item x="589"/>
        <item x="251"/>
        <item x="272"/>
        <item x="37"/>
        <item x="552"/>
        <item x="88"/>
        <item x="616"/>
        <item x="433"/>
        <item x="359"/>
        <item x="345"/>
        <item x="31"/>
        <item x="619"/>
        <item x="548"/>
        <item x="630"/>
        <item x="91"/>
        <item x="349"/>
        <item x="577"/>
        <item x="430"/>
        <item x="64"/>
        <item x="535"/>
        <item x="145"/>
        <item x="264"/>
        <item x="398"/>
        <item x="319"/>
        <item x="409"/>
        <item x="33"/>
        <item x="8"/>
        <item x="220"/>
        <item x="160"/>
        <item x="425"/>
        <item x="242"/>
        <item x="614"/>
        <item x="176"/>
        <item x="335"/>
        <item x="507"/>
        <item x="292"/>
        <item x="368"/>
        <item x="267"/>
        <item x="280"/>
        <item x="585"/>
        <item x="472"/>
        <item x="102"/>
        <item x="261"/>
        <item x="544"/>
        <item x="468"/>
        <item x="413"/>
        <item x="456"/>
        <item x="459"/>
        <item x="273"/>
        <item x="499"/>
        <item x="611"/>
        <item x="595"/>
        <item x="210"/>
        <item x="306"/>
        <item x="474"/>
        <item x="352"/>
        <item x="523"/>
        <item x="392"/>
        <item x="129"/>
        <item x="506"/>
        <item x="339"/>
        <item x="542"/>
        <item x="138"/>
        <item x="300"/>
        <item x="366"/>
        <item x="21"/>
        <item x="45"/>
        <item x="188"/>
        <item x="355"/>
        <item x="415"/>
        <item x="394"/>
        <item x="260"/>
        <item x="144"/>
        <item x="29"/>
        <item x="290"/>
        <item x="63"/>
        <item x="500"/>
        <item x="440"/>
        <item x="444"/>
        <item x="202"/>
        <item x="111"/>
        <item x="107"/>
        <item x="23"/>
        <item x="61"/>
        <item x="367"/>
        <item x="353"/>
        <item x="60"/>
        <item x="562"/>
        <item x="287"/>
        <item x="93"/>
        <item x="157"/>
        <item x="225"/>
        <item x="541"/>
        <item x="451"/>
        <item x="295"/>
        <item x="454"/>
        <item x="42"/>
        <item x="342"/>
        <item x="213"/>
        <item x="538"/>
        <item x="121"/>
        <item x="528"/>
        <item x="203"/>
        <item x="302"/>
        <item x="583"/>
        <item x="13"/>
        <item x="475"/>
        <item x="97"/>
        <item x="159"/>
        <item x="348"/>
        <item x="360"/>
        <item x="219"/>
        <item x="288"/>
        <item x="568"/>
        <item x="320"/>
        <item x="173"/>
        <item x="329"/>
        <item x="253"/>
        <item x="115"/>
        <item x="110"/>
        <item x="452"/>
        <item x="226"/>
        <item x="205"/>
        <item x="374"/>
        <item x="135"/>
        <item x="20"/>
        <item x="204"/>
        <item x="40"/>
        <item x="24"/>
        <item x="487"/>
        <item x="625"/>
        <item x="310"/>
        <item x="336"/>
        <item x="255"/>
        <item x="77"/>
        <item x="550"/>
        <item x="34"/>
        <item x="628"/>
        <item x="153"/>
        <item x="278"/>
        <item x="324"/>
        <item x="207"/>
        <item x="48"/>
        <item x="496"/>
        <item x="600"/>
        <item x="337"/>
        <item x="372"/>
        <item x="17"/>
        <item x="607"/>
        <item x="442"/>
        <item x="376"/>
        <item x="482"/>
        <item x="56"/>
        <item x="567"/>
        <item x="76"/>
        <item x="505"/>
        <item x="569"/>
        <item x="357"/>
        <item x="514"/>
        <item x="313"/>
        <item x="414"/>
        <item x="266"/>
        <item x="448"/>
        <item x="555"/>
        <item x="379"/>
        <item x="471"/>
        <item x="429"/>
        <item x="181"/>
        <item x="18"/>
        <item x="149"/>
        <item x="534"/>
        <item x="529"/>
        <item x="9"/>
        <item x="19"/>
        <item x="478"/>
        <item x="603"/>
        <item x="556"/>
        <item x="480"/>
        <item x="120"/>
        <item x="629"/>
        <item x="322"/>
        <item x="356"/>
        <item x="424"/>
        <item x="199"/>
        <item x="140"/>
        <item x="624"/>
        <item x="80"/>
        <item x="95"/>
        <item x="537"/>
        <item x="126"/>
        <item x="592"/>
        <item x="276"/>
        <item x="557"/>
        <item x="396"/>
        <item x="539"/>
        <item x="465"/>
        <item x="165"/>
        <item x="100"/>
        <item x="431"/>
        <item x="117"/>
        <item x="588"/>
        <item x="521"/>
        <item x="346"/>
        <item x="223"/>
        <item x="175"/>
        <item x="362"/>
        <item x="422"/>
        <item x="613"/>
        <item x="237"/>
        <item x="47"/>
        <item t="default"/>
      </items>
    </pivotField>
    <pivotField compact="0" numFmtId="44" showAll="0">
      <items count="633">
        <item x="1"/>
        <item x="385"/>
        <item x="11"/>
        <item x="626"/>
        <item x="132"/>
        <item x="265"/>
        <item x="289"/>
        <item x="501"/>
        <item x="560"/>
        <item x="134"/>
        <item x="150"/>
        <item x="125"/>
        <item x="259"/>
        <item x="152"/>
        <item x="477"/>
        <item x="361"/>
        <item x="65"/>
        <item x="146"/>
        <item x="98"/>
        <item x="338"/>
        <item x="540"/>
        <item x="73"/>
        <item x="432"/>
        <item x="116"/>
        <item x="229"/>
        <item x="52"/>
        <item x="131"/>
        <item x="114"/>
        <item x="323"/>
        <item x="177"/>
        <item x="298"/>
        <item x="631"/>
        <item x="193"/>
        <item x="112"/>
        <item x="180"/>
        <item x="286"/>
        <item x="54"/>
        <item x="230"/>
        <item x="96"/>
        <item x="172"/>
        <item x="493"/>
        <item x="109"/>
        <item x="519"/>
        <item x="532"/>
        <item x="127"/>
        <item x="263"/>
        <item x="106"/>
        <item x="27"/>
        <item x="492"/>
        <item x="244"/>
        <item x="531"/>
        <item x="434"/>
        <item x="575"/>
        <item x="590"/>
        <item x="51"/>
        <item x="476"/>
        <item x="586"/>
        <item x="282"/>
        <item x="83"/>
        <item x="389"/>
        <item x="311"/>
        <item x="119"/>
        <item x="89"/>
        <item x="7"/>
        <item x="87"/>
        <item x="243"/>
        <item x="247"/>
        <item x="221"/>
        <item x="139"/>
        <item x="418"/>
        <item x="605"/>
        <item x="461"/>
        <item x="602"/>
        <item x="373"/>
        <item x="620"/>
        <item x="601"/>
        <item x="572"/>
        <item x="291"/>
        <item x="543"/>
        <item x="609"/>
        <item x="53"/>
        <item x="404"/>
        <item x="14"/>
        <item x="517"/>
        <item x="341"/>
        <item x="354"/>
        <item x="460"/>
        <item x="526"/>
        <item x="416"/>
        <item x="211"/>
        <item x="408"/>
        <item x="463"/>
        <item x="490"/>
        <item x="257"/>
        <item x="363"/>
        <item x="321"/>
        <item x="174"/>
        <item x="26"/>
        <item x="113"/>
        <item x="582"/>
        <item x="3"/>
        <item x="94"/>
        <item x="179"/>
        <item x="124"/>
        <item x="412"/>
        <item x="169"/>
        <item x="108"/>
        <item x="464"/>
        <item x="593"/>
        <item x="285"/>
        <item x="305"/>
        <item x="551"/>
        <item x="201"/>
        <item x="6"/>
        <item x="137"/>
        <item x="445"/>
        <item x="101"/>
        <item x="248"/>
        <item x="333"/>
        <item x="358"/>
        <item x="388"/>
        <item x="439"/>
        <item x="608"/>
        <item x="462"/>
        <item x="217"/>
        <item x="347"/>
        <item x="307"/>
        <item x="318"/>
        <item x="232"/>
        <item x="59"/>
        <item x="297"/>
        <item x="303"/>
        <item x="326"/>
        <item x="39"/>
        <item x="268"/>
        <item x="411"/>
        <item x="621"/>
        <item x="457"/>
        <item x="238"/>
        <item x="511"/>
        <item x="369"/>
        <item x="128"/>
        <item x="350"/>
        <item x="488"/>
        <item x="466"/>
        <item x="330"/>
        <item x="485"/>
        <item x="391"/>
        <item x="133"/>
        <item x="194"/>
        <item x="35"/>
        <item x="74"/>
        <item x="212"/>
        <item x="561"/>
        <item x="245"/>
        <item x="239"/>
        <item x="327"/>
        <item x="227"/>
        <item x="584"/>
        <item x="314"/>
        <item x="370"/>
        <item x="597"/>
        <item x="15"/>
        <item x="68"/>
        <item x="598"/>
        <item x="344"/>
        <item x="216"/>
        <item x="571"/>
        <item x="570"/>
        <item x="240"/>
        <item x="186"/>
        <item x="2"/>
        <item x="513"/>
        <item x="296"/>
        <item x="508"/>
        <item x="580"/>
        <item x="483"/>
        <item x="275"/>
        <item x="407"/>
        <item x="449"/>
        <item x="269"/>
        <item x="79"/>
        <item x="198"/>
        <item x="447"/>
        <item x="497"/>
        <item x="5"/>
        <item x="258"/>
        <item x="12"/>
        <item x="28"/>
        <item x="105"/>
        <item x="410"/>
        <item x="579"/>
        <item x="75"/>
        <item x="161"/>
        <item x="384"/>
        <item x="520"/>
        <item x="565"/>
        <item x="123"/>
        <item x="222"/>
        <item x="57"/>
        <item x="155"/>
        <item x="510"/>
        <item x="218"/>
        <item x="72"/>
        <item x="168"/>
        <item x="308"/>
        <item x="486"/>
        <item x="578"/>
        <item x="162"/>
        <item x="536"/>
        <item x="495"/>
        <item x="546"/>
        <item x="599"/>
        <item x="167"/>
        <item x="417"/>
        <item x="270"/>
        <item x="206"/>
        <item x="612"/>
        <item x="233"/>
        <item x="481"/>
        <item x="530"/>
        <item x="189"/>
        <item x="0"/>
        <item x="192"/>
        <item x="299"/>
        <item x="545"/>
        <item x="423"/>
        <item x="334"/>
        <item x="617"/>
        <item x="66"/>
        <item x="166"/>
        <item x="271"/>
        <item x="118"/>
        <item x="627"/>
        <item x="524"/>
        <item x="187"/>
        <item x="224"/>
        <item x="604"/>
        <item x="403"/>
        <item x="136"/>
        <item x="82"/>
        <item x="397"/>
        <item x="85"/>
        <item x="436"/>
        <item x="504"/>
        <item x="30"/>
        <item x="4"/>
        <item x="103"/>
        <item x="122"/>
        <item x="564"/>
        <item x="574"/>
        <item x="294"/>
        <item x="610"/>
        <item x="231"/>
        <item x="277"/>
        <item x="200"/>
        <item x="343"/>
        <item x="443"/>
        <item x="185"/>
        <item x="262"/>
        <item x="304"/>
        <item x="46"/>
        <item x="419"/>
        <item x="196"/>
        <item x="596"/>
        <item x="606"/>
        <item x="390"/>
        <item x="325"/>
        <item x="86"/>
        <item x="393"/>
        <item x="71"/>
        <item x="364"/>
        <item x="25"/>
        <item x="81"/>
        <item x="252"/>
        <item x="437"/>
        <item x="246"/>
        <item x="381"/>
        <item x="581"/>
        <item x="241"/>
        <item x="623"/>
        <item x="332"/>
        <item x="576"/>
        <item x="316"/>
        <item x="380"/>
        <item x="378"/>
        <item x="591"/>
        <item x="254"/>
        <item x="214"/>
        <item x="503"/>
        <item x="525"/>
        <item x="491"/>
        <item x="328"/>
        <item x="143"/>
        <item x="234"/>
        <item x="70"/>
        <item x="154"/>
        <item x="183"/>
        <item x="615"/>
        <item x="249"/>
        <item x="473"/>
        <item x="421"/>
        <item x="36"/>
        <item x="331"/>
        <item x="549"/>
        <item x="178"/>
        <item x="90"/>
        <item x="156"/>
        <item x="402"/>
        <item x="182"/>
        <item x="141"/>
        <item x="458"/>
        <item x="215"/>
        <item x="509"/>
        <item x="317"/>
        <item x="527"/>
        <item x="518"/>
        <item x="10"/>
        <item x="293"/>
        <item x="399"/>
        <item x="315"/>
        <item x="41"/>
        <item x="395"/>
        <item x="130"/>
        <item x="489"/>
        <item x="441"/>
        <item x="594"/>
        <item x="494"/>
        <item x="32"/>
        <item x="428"/>
        <item x="386"/>
        <item x="279"/>
        <item x="351"/>
        <item x="92"/>
        <item x="235"/>
        <item x="401"/>
        <item x="191"/>
        <item x="170"/>
        <item x="554"/>
        <item x="190"/>
        <item x="22"/>
        <item x="301"/>
        <item x="78"/>
        <item x="563"/>
        <item x="208"/>
        <item x="566"/>
        <item x="498"/>
        <item x="515"/>
        <item x="69"/>
        <item x="309"/>
        <item x="558"/>
        <item x="171"/>
        <item x="197"/>
        <item x="62"/>
        <item x="312"/>
        <item x="446"/>
        <item x="400"/>
        <item x="283"/>
        <item x="147"/>
        <item x="377"/>
        <item x="622"/>
        <item x="453"/>
        <item x="420"/>
        <item x="164"/>
        <item x="284"/>
        <item x="470"/>
        <item x="427"/>
        <item x="38"/>
        <item x="43"/>
        <item x="158"/>
        <item x="502"/>
        <item x="44"/>
        <item x="533"/>
        <item x="274"/>
        <item x="467"/>
        <item x="371"/>
        <item x="104"/>
        <item x="618"/>
        <item x="616"/>
        <item x="84"/>
        <item x="250"/>
        <item x="559"/>
        <item x="16"/>
        <item x="365"/>
        <item x="589"/>
        <item x="163"/>
        <item x="55"/>
        <item x="37"/>
        <item x="450"/>
        <item x="50"/>
        <item x="88"/>
        <item x="405"/>
        <item x="228"/>
        <item x="387"/>
        <item x="67"/>
        <item x="547"/>
        <item x="349"/>
        <item x="469"/>
        <item x="148"/>
        <item x="433"/>
        <item x="455"/>
        <item x="630"/>
        <item x="430"/>
        <item x="345"/>
        <item x="151"/>
        <item x="553"/>
        <item x="145"/>
        <item x="577"/>
        <item x="406"/>
        <item x="398"/>
        <item x="359"/>
        <item x="33"/>
        <item x="573"/>
        <item x="535"/>
        <item x="220"/>
        <item x="251"/>
        <item x="209"/>
        <item x="184"/>
        <item x="438"/>
        <item x="281"/>
        <item x="8"/>
        <item x="368"/>
        <item x="479"/>
        <item x="516"/>
        <item x="102"/>
        <item x="425"/>
        <item x="256"/>
        <item x="552"/>
        <item x="484"/>
        <item x="544"/>
        <item x="176"/>
        <item x="507"/>
        <item x="335"/>
        <item x="472"/>
        <item x="91"/>
        <item x="522"/>
        <item x="595"/>
        <item x="413"/>
        <item x="435"/>
        <item x="267"/>
        <item x="614"/>
        <item x="280"/>
        <item x="499"/>
        <item x="261"/>
        <item x="523"/>
        <item x="587"/>
        <item x="142"/>
        <item x="129"/>
        <item x="611"/>
        <item x="426"/>
        <item x="210"/>
        <item x="160"/>
        <item x="409"/>
        <item x="474"/>
        <item x="456"/>
        <item x="31"/>
        <item x="585"/>
        <item x="64"/>
        <item x="292"/>
        <item x="99"/>
        <item x="195"/>
        <item x="415"/>
        <item x="366"/>
        <item x="21"/>
        <item x="290"/>
        <item x="394"/>
        <item x="459"/>
        <item x="468"/>
        <item x="29"/>
        <item x="367"/>
        <item x="58"/>
        <item x="500"/>
        <item x="23"/>
        <item x="440"/>
        <item x="383"/>
        <item x="548"/>
        <item x="260"/>
        <item x="287"/>
        <item x="355"/>
        <item x="444"/>
        <item x="541"/>
        <item x="93"/>
        <item x="352"/>
        <item x="49"/>
        <item x="236"/>
        <item x="451"/>
        <item x="272"/>
        <item x="295"/>
        <item x="300"/>
        <item x="375"/>
        <item x="273"/>
        <item x="342"/>
        <item x="107"/>
        <item x="225"/>
        <item x="538"/>
        <item x="144"/>
        <item x="382"/>
        <item x="202"/>
        <item x="242"/>
        <item x="454"/>
        <item x="157"/>
        <item x="188"/>
        <item x="121"/>
        <item x="542"/>
        <item x="13"/>
        <item x="213"/>
        <item x="61"/>
        <item x="320"/>
        <item x="111"/>
        <item x="264"/>
        <item x="45"/>
        <item x="619"/>
        <item x="506"/>
        <item x="452"/>
        <item x="568"/>
        <item x="339"/>
        <item x="115"/>
        <item x="138"/>
        <item x="475"/>
        <item x="253"/>
        <item x="20"/>
        <item x="348"/>
        <item x="288"/>
        <item x="562"/>
        <item x="60"/>
        <item x="512"/>
        <item x="24"/>
        <item x="353"/>
        <item x="204"/>
        <item x="205"/>
        <item x="329"/>
        <item x="159"/>
        <item x="110"/>
        <item x="255"/>
        <item x="135"/>
        <item x="306"/>
        <item x="226"/>
        <item x="173"/>
        <item x="487"/>
        <item x="336"/>
        <item x="97"/>
        <item x="34"/>
        <item x="324"/>
        <item x="219"/>
        <item x="550"/>
        <item x="360"/>
        <item x="310"/>
        <item x="340"/>
        <item x="207"/>
        <item x="319"/>
        <item x="153"/>
        <item x="625"/>
        <item x="374"/>
        <item x="302"/>
        <item x="77"/>
        <item x="496"/>
        <item x="583"/>
        <item x="628"/>
        <item x="607"/>
        <item x="372"/>
        <item x="278"/>
        <item x="42"/>
        <item x="600"/>
        <item x="56"/>
        <item x="48"/>
        <item x="442"/>
        <item x="40"/>
        <item x="17"/>
        <item x="203"/>
        <item x="505"/>
        <item x="414"/>
        <item x="337"/>
        <item x="514"/>
        <item x="569"/>
        <item x="482"/>
        <item x="76"/>
        <item x="379"/>
        <item x="555"/>
        <item x="529"/>
        <item x="471"/>
        <item x="266"/>
        <item x="313"/>
        <item x="528"/>
        <item x="376"/>
        <item x="18"/>
        <item x="567"/>
        <item x="429"/>
        <item x="181"/>
        <item x="19"/>
        <item x="448"/>
        <item x="149"/>
        <item x="534"/>
        <item x="603"/>
        <item x="478"/>
        <item x="357"/>
        <item x="120"/>
        <item x="480"/>
        <item x="322"/>
        <item x="629"/>
        <item x="556"/>
        <item x="356"/>
        <item x="392"/>
        <item x="63"/>
        <item x="95"/>
        <item x="9"/>
        <item x="624"/>
        <item x="537"/>
        <item x="199"/>
        <item x="424"/>
        <item x="592"/>
        <item x="557"/>
        <item x="80"/>
        <item x="126"/>
        <item x="396"/>
        <item x="100"/>
        <item x="539"/>
        <item x="431"/>
        <item x="140"/>
        <item x="276"/>
        <item x="117"/>
        <item x="521"/>
        <item x="588"/>
        <item x="465"/>
        <item x="165"/>
        <item x="223"/>
        <item x="346"/>
        <item x="362"/>
        <item x="175"/>
        <item x="613"/>
        <item x="422"/>
        <item x="47"/>
        <item x="237"/>
        <item t="default"/>
      </items>
    </pivotField>
    <pivotField compact="0" showAll="0">
      <items count="633">
        <item x="1"/>
        <item x="132"/>
        <item x="11"/>
        <item x="116"/>
        <item x="501"/>
        <item x="626"/>
        <item x="385"/>
        <item x="265"/>
        <item x="152"/>
        <item x="177"/>
        <item x="289"/>
        <item x="477"/>
        <item x="150"/>
        <item x="298"/>
        <item x="560"/>
        <item x="259"/>
        <item x="134"/>
        <item x="338"/>
        <item x="146"/>
        <item x="125"/>
        <item x="323"/>
        <item x="361"/>
        <item x="540"/>
        <item x="432"/>
        <item x="98"/>
        <item x="114"/>
        <item x="65"/>
        <item x="112"/>
        <item x="131"/>
        <item x="52"/>
        <item x="73"/>
        <item x="229"/>
        <item x="631"/>
        <item x="193"/>
        <item x="244"/>
        <item x="590"/>
        <item x="492"/>
        <item x="230"/>
        <item x="27"/>
        <item x="286"/>
        <item x="605"/>
        <item x="363"/>
        <item x="601"/>
        <item x="416"/>
        <item x="404"/>
        <item x="54"/>
        <item x="14"/>
        <item x="388"/>
        <item x="497"/>
        <item x="434"/>
        <item x="423"/>
        <item x="407"/>
        <item x="373"/>
        <item x="543"/>
        <item x="321"/>
        <item x="187"/>
        <item x="180"/>
        <item x="192"/>
        <item x="72"/>
        <item x="2"/>
        <item x="105"/>
        <item x="519"/>
        <item x="127"/>
        <item x="408"/>
        <item x="617"/>
        <item x="384"/>
        <item x="94"/>
        <item x="303"/>
        <item x="196"/>
        <item x="397"/>
        <item x="3"/>
        <item x="593"/>
        <item x="449"/>
        <item x="457"/>
        <item x="101"/>
        <item x="87"/>
        <item x="66"/>
        <item x="58"/>
        <item x="167"/>
        <item x="109"/>
        <item x="201"/>
        <item x="622"/>
        <item x="268"/>
        <item x="411"/>
        <item x="427"/>
        <item x="333"/>
        <item x="224"/>
        <item x="53"/>
        <item x="137"/>
        <item x="139"/>
        <item x="166"/>
        <item x="238"/>
        <item x="476"/>
        <item x="122"/>
        <item x="81"/>
        <item x="179"/>
        <item x="74"/>
        <item x="252"/>
        <item x="68"/>
        <item x="55"/>
        <item x="299"/>
        <item x="36"/>
        <item x="390"/>
        <item x="123"/>
        <item x="574"/>
        <item x="263"/>
        <item x="609"/>
        <item x="200"/>
        <item x="532"/>
        <item x="212"/>
        <item x="96"/>
        <item x="35"/>
        <item x="85"/>
        <item x="561"/>
        <item x="275"/>
        <item x="383"/>
        <item x="216"/>
        <item x="485"/>
        <item x="285"/>
        <item x="51"/>
        <item x="545"/>
        <item x="106"/>
        <item x="190"/>
        <item x="402"/>
        <item x="86"/>
        <item x="16"/>
        <item x="618"/>
        <item x="15"/>
        <item x="606"/>
        <item x="198"/>
        <item x="531"/>
        <item x="358"/>
        <item x="510"/>
        <item x="269"/>
        <item x="317"/>
        <item x="155"/>
        <item x="311"/>
        <item x="340"/>
        <item x="401"/>
        <item x="235"/>
        <item x="59"/>
        <item x="10"/>
        <item x="580"/>
        <item x="234"/>
        <item x="612"/>
        <item x="566"/>
        <item x="512"/>
        <item x="530"/>
        <item x="462"/>
        <item x="215"/>
        <item x="4"/>
        <item x="393"/>
        <item x="351"/>
        <item x="381"/>
        <item x="364"/>
        <item x="142"/>
        <item x="227"/>
        <item x="248"/>
        <item x="369"/>
        <item x="184"/>
        <item x="526"/>
        <item x="400"/>
        <item x="170"/>
        <item x="504"/>
        <item x="365"/>
        <item x="554"/>
        <item x="162"/>
        <item x="84"/>
        <item x="426"/>
        <item x="189"/>
        <item x="375"/>
        <item x="319"/>
        <item x="447"/>
        <item x="136"/>
        <item x="208"/>
        <item x="236"/>
        <item x="576"/>
        <item x="63"/>
        <item x="564"/>
        <item x="257"/>
        <item x="520"/>
        <item x="395"/>
        <item x="30"/>
        <item x="536"/>
        <item x="610"/>
        <item x="417"/>
        <item x="435"/>
        <item x="382"/>
        <item x="438"/>
        <item x="406"/>
        <item x="185"/>
        <item x="591"/>
        <item x="619"/>
        <item x="99"/>
        <item x="75"/>
        <item x="307"/>
        <item x="195"/>
        <item x="151"/>
        <item x="264"/>
        <item x="380"/>
        <item x="49"/>
        <item x="314"/>
        <item x="246"/>
        <item x="272"/>
        <item x="44"/>
        <item x="343"/>
        <item x="282"/>
        <item x="387"/>
        <item x="392"/>
        <item x="249"/>
        <item x="575"/>
        <item x="350"/>
        <item x="428"/>
        <item x="399"/>
        <item x="6"/>
        <item x="623"/>
        <item x="306"/>
        <item x="479"/>
        <item x="528"/>
        <item x="270"/>
        <item x="548"/>
        <item x="221"/>
        <item x="488"/>
        <item x="325"/>
        <item x="377"/>
        <item x="168"/>
        <item x="553"/>
        <item x="419"/>
        <item x="294"/>
        <item x="39"/>
        <item x="371"/>
        <item x="242"/>
        <item x="516"/>
        <item x="154"/>
        <item x="284"/>
        <item x="587"/>
        <item x="441"/>
        <item x="463"/>
        <item x="602"/>
        <item x="578"/>
        <item x="50"/>
        <item x="218"/>
        <item x="484"/>
        <item x="513"/>
        <item x="549"/>
        <item x="243"/>
        <item x="70"/>
        <item x="511"/>
        <item x="460"/>
        <item x="522"/>
        <item x="211"/>
        <item x="194"/>
        <item x="31"/>
        <item x="527"/>
        <item x="206"/>
        <item x="420"/>
        <item x="241"/>
        <item x="64"/>
        <item x="439"/>
        <item x="203"/>
        <item x="615"/>
        <item x="483"/>
        <item x="38"/>
        <item x="506"/>
        <item x="461"/>
        <item x="7"/>
        <item x="494"/>
        <item x="138"/>
        <item x="573"/>
        <item x="169"/>
        <item x="174"/>
        <item x="297"/>
        <item x="186"/>
        <item x="113"/>
        <item x="143"/>
        <item x="140"/>
        <item x="608"/>
        <item x="273"/>
        <item x="271"/>
        <item x="571"/>
        <item x="620"/>
        <item x="228"/>
        <item x="421"/>
        <item x="147"/>
        <item x="161"/>
        <item x="409"/>
        <item x="291"/>
        <item x="370"/>
        <item x="542"/>
        <item x="239"/>
        <item x="89"/>
        <item x="262"/>
        <item x="45"/>
        <item x="598"/>
        <item x="353"/>
        <item x="583"/>
        <item x="316"/>
        <item x="172"/>
        <item x="327"/>
        <item x="302"/>
        <item x="410"/>
        <item x="60"/>
        <item x="318"/>
        <item x="133"/>
        <item x="596"/>
        <item x="468"/>
        <item x="240"/>
        <item x="25"/>
        <item x="469"/>
        <item x="256"/>
        <item x="599"/>
        <item x="467"/>
        <item x="79"/>
        <item x="124"/>
        <item x="562"/>
        <item x="232"/>
        <item x="41"/>
        <item x="352"/>
        <item x="119"/>
        <item x="292"/>
        <item x="552"/>
        <item x="78"/>
        <item x="160"/>
        <item x="9"/>
        <item x="91"/>
        <item x="459"/>
        <item x="209"/>
        <item x="276"/>
        <item x="584"/>
        <item x="40"/>
        <item x="412"/>
        <item x="26"/>
        <item x="111"/>
        <item x="547"/>
        <item x="22"/>
        <item x="12"/>
        <item x="585"/>
        <item x="339"/>
        <item x="188"/>
        <item x="518"/>
        <item x="83"/>
        <item x="251"/>
        <item x="524"/>
        <item x="503"/>
        <item x="418"/>
        <item x="360"/>
        <item x="97"/>
        <item x="515"/>
        <item x="357"/>
        <item x="296"/>
        <item x="308"/>
        <item x="300"/>
        <item x="283"/>
        <item x="42"/>
        <item x="197"/>
        <item x="61"/>
        <item x="183"/>
        <item x="465"/>
        <item x="453"/>
        <item x="165"/>
        <item x="341"/>
        <item x="148"/>
        <item x="92"/>
        <item x="144"/>
        <item x="331"/>
        <item x="582"/>
        <item x="312"/>
        <item x="525"/>
        <item x="455"/>
        <item x="126"/>
        <item x="456"/>
        <item x="376"/>
        <item x="164"/>
        <item x="328"/>
        <item x="46"/>
        <item x="486"/>
        <item x="614"/>
        <item x="67"/>
        <item x="424"/>
        <item x="489"/>
        <item x="464"/>
        <item x="567"/>
        <item x="332"/>
        <item x="448"/>
        <item x="558"/>
        <item x="80"/>
        <item x="32"/>
        <item x="202"/>
        <item x="62"/>
        <item x="490"/>
        <item x="473"/>
        <item x="386"/>
        <item x="173"/>
        <item x="337"/>
        <item x="237"/>
        <item x="247"/>
        <item x="355"/>
        <item x="281"/>
        <item x="214"/>
        <item x="301"/>
        <item x="233"/>
        <item x="199"/>
        <item x="559"/>
        <item x="118"/>
        <item x="260"/>
        <item x="405"/>
        <item x="359"/>
        <item x="159"/>
        <item x="90"/>
        <item x="175"/>
        <item x="57"/>
        <item x="48"/>
        <item x="508"/>
        <item x="437"/>
        <item x="625"/>
        <item x="267"/>
        <item x="107"/>
        <item x="226"/>
        <item x="258"/>
        <item x="535"/>
        <item x="374"/>
        <item x="261"/>
        <item x="278"/>
        <item x="77"/>
        <item x="309"/>
        <item x="104"/>
        <item x="533"/>
        <item x="280"/>
        <item x="474"/>
        <item x="313"/>
        <item x="219"/>
        <item x="628"/>
        <item x="315"/>
        <item x="556"/>
        <item x="475"/>
        <item x="157"/>
        <item x="335"/>
        <item x="611"/>
        <item x="17"/>
        <item x="600"/>
        <item x="539"/>
        <item x="141"/>
        <item x="348"/>
        <item x="149"/>
        <item x="345"/>
        <item x="546"/>
        <item x="181"/>
        <item x="429"/>
        <item x="210"/>
        <item x="310"/>
        <item x="509"/>
        <item x="329"/>
        <item x="577"/>
        <item x="176"/>
        <item x="534"/>
        <item x="266"/>
        <item x="444"/>
        <item x="217"/>
        <item x="422"/>
        <item x="425"/>
        <item x="103"/>
        <item x="572"/>
        <item x="579"/>
        <item x="128"/>
        <item x="213"/>
        <item x="288"/>
        <item x="110"/>
        <item x="346"/>
        <item x="222"/>
        <item x="279"/>
        <item x="21"/>
        <item x="466"/>
        <item x="5"/>
        <item x="482"/>
        <item x="537"/>
        <item x="450"/>
        <item x="250"/>
        <item x="624"/>
        <item x="366"/>
        <item x="274"/>
        <item x="347"/>
        <item x="8"/>
        <item x="454"/>
        <item x="433"/>
        <item x="495"/>
        <item x="29"/>
        <item x="517"/>
        <item x="487"/>
        <item x="394"/>
        <item x="550"/>
        <item x="326"/>
        <item x="586"/>
        <item x="507"/>
        <item x="440"/>
        <item x="163"/>
        <item x="478"/>
        <item x="604"/>
        <item x="413"/>
        <item x="245"/>
        <item x="499"/>
        <item x="135"/>
        <item x="0"/>
        <item x="551"/>
        <item x="389"/>
        <item x="500"/>
        <item x="445"/>
        <item x="372"/>
        <item x="76"/>
        <item x="446"/>
        <item x="589"/>
        <item x="592"/>
        <item x="191"/>
        <item x="430"/>
        <item x="121"/>
        <item x="277"/>
        <item x="630"/>
        <item x="496"/>
        <item x="472"/>
        <item x="37"/>
        <item x="18"/>
        <item x="23"/>
        <item x="336"/>
        <item x="568"/>
        <item x="481"/>
        <item x="253"/>
        <item x="621"/>
        <item x="153"/>
        <item x="225"/>
        <item x="436"/>
        <item x="43"/>
        <item x="182"/>
        <item x="588"/>
        <item x="396"/>
        <item x="470"/>
        <item x="398"/>
        <item x="565"/>
        <item x="205"/>
        <item x="502"/>
        <item x="71"/>
        <item x="334"/>
        <item x="594"/>
        <item x="108"/>
        <item x="69"/>
        <item x="471"/>
        <item x="570"/>
        <item x="354"/>
        <item x="356"/>
        <item x="569"/>
        <item x="290"/>
        <item x="117"/>
        <item x="19"/>
        <item x="415"/>
        <item x="145"/>
        <item x="603"/>
        <item x="33"/>
        <item x="627"/>
        <item x="88"/>
        <item x="493"/>
        <item x="443"/>
        <item x="349"/>
        <item x="480"/>
        <item x="28"/>
        <item x="115"/>
        <item x="458"/>
        <item x="597"/>
        <item x="82"/>
        <item x="220"/>
        <item x="287"/>
        <item x="523"/>
        <item x="403"/>
        <item x="204"/>
        <item x="629"/>
        <item x="330"/>
        <item x="442"/>
        <item x="362"/>
        <item x="231"/>
        <item x="171"/>
        <item x="563"/>
        <item x="93"/>
        <item x="557"/>
        <item x="207"/>
        <item x="34"/>
        <item x="514"/>
        <item x="158"/>
        <item x="498"/>
        <item x="304"/>
        <item x="120"/>
        <item x="295"/>
        <item x="505"/>
        <item x="368"/>
        <item x="344"/>
        <item x="129"/>
        <item x="521"/>
        <item x="555"/>
        <item x="322"/>
        <item x="378"/>
        <item x="24"/>
        <item x="544"/>
        <item x="452"/>
        <item x="156"/>
        <item x="391"/>
        <item x="595"/>
        <item x="379"/>
        <item x="367"/>
        <item x="607"/>
        <item x="95"/>
        <item x="178"/>
        <item x="541"/>
        <item x="538"/>
        <item x="13"/>
        <item x="491"/>
        <item x="451"/>
        <item x="342"/>
        <item x="102"/>
        <item x="254"/>
        <item x="320"/>
        <item x="20"/>
        <item x="414"/>
        <item x="616"/>
        <item x="431"/>
        <item x="130"/>
        <item x="223"/>
        <item x="56"/>
        <item x="324"/>
        <item x="293"/>
        <item x="305"/>
        <item x="581"/>
        <item x="613"/>
        <item x="529"/>
        <item x="255"/>
        <item x="100"/>
        <item x="47"/>
        <item t="default"/>
      </items>
    </pivotField>
    <pivotField compact="0" defaultSubtotal="0" showAll="0">
      <items count="5">
        <item x="0"/>
        <item x="4"/>
        <item x="1"/>
        <item x="2"/>
        <item x="3"/>
      </items>
    </pivotField>
  </pivotFields>
  <rowFields count="1">
    <field x="1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15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pageFields count="1">
    <pageField fld="8"/>
  </pageFields>
  <dataFields count="1">
    <dataField name="Count of On-Time" fld="8" subtotal="count" showDataAs="percentOfTotal" baseField="0" baseItem="0" numFmtId="10"/>
  </dataFields>
  <formats count="1">
    <format dxfId="448">
      <pivotArea grandRow="1" grandCol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6" minRefreshableVersion="3" createdVersion="5" missingCaption="0" useAutoFormatting="1" compact="0" indent="0" outline="1" compactData="0" outlineData="1" showDrill="1" multipleFieldFilters="0">
  <location ref="A3:R9" firstHeaderRow="1" firstDataRow="2" firstDataCol="1" rowPageCount="1" colPageCount="1"/>
  <pivotFields count="34">
    <pivotField dataField="1" compact="0" showAll="0">
      <items count="632">
        <item x="605"/>
        <item x="449"/>
        <item x="7"/>
        <item x="518"/>
        <item x="573"/>
        <item x="46"/>
        <item x="367"/>
        <item x="201"/>
        <item x="551"/>
        <item x="324"/>
        <item x="438"/>
        <item x="166"/>
        <item x="80"/>
        <item x="361"/>
        <item x="328"/>
        <item x="300"/>
        <item x="453"/>
        <item x="577"/>
        <item x="193"/>
        <item x="122"/>
        <item x="332"/>
        <item x="439"/>
        <item x="457"/>
        <item x="148"/>
        <item x="224"/>
        <item x="190"/>
        <item x="347"/>
        <item x="278"/>
        <item x="350"/>
        <item x="535"/>
        <item x="54"/>
        <item x="65"/>
        <item x="163"/>
        <item x="470"/>
        <item x="580"/>
        <item x="625"/>
        <item x="106"/>
        <item x="269"/>
        <item x="256"/>
        <item x="89"/>
        <item x="339"/>
        <item x="24"/>
        <item x="220"/>
        <item x="281"/>
        <item x="250"/>
        <item x="376"/>
        <item x="540"/>
        <item x="172"/>
        <item x="225"/>
        <item x="78"/>
        <item x="49"/>
        <item x="603"/>
        <item x="226"/>
        <item x="168"/>
        <item x="45"/>
        <item x="144"/>
        <item x="183"/>
        <item x="574"/>
        <item x="81"/>
        <item x="512"/>
        <item x="562"/>
        <item x="315"/>
        <item x="391"/>
        <item x="288"/>
        <item x="272"/>
        <item x="2"/>
        <item x="92"/>
        <item x="292"/>
        <item x="434"/>
        <item x="585"/>
        <item x="199"/>
        <item x="74"/>
        <item x="363"/>
        <item x="204"/>
        <item x="185"/>
        <item x="497"/>
        <item x="52"/>
        <item x="99"/>
        <item x="118"/>
        <item x="132"/>
        <item x="215"/>
        <item x="495"/>
        <item x="171"/>
        <item x="613"/>
        <item x="543"/>
        <item x="629"/>
        <item x="520"/>
        <item x="547"/>
        <item x="255"/>
        <item x="351"/>
        <item x="64"/>
        <item x="546"/>
        <item x="151"/>
        <item x="223"/>
        <item x="615"/>
        <item x="239"/>
        <item x="260"/>
        <item x="129"/>
        <item x="532"/>
        <item x="326"/>
        <item x="459"/>
        <item x="371"/>
        <item x="66"/>
        <item x="626"/>
        <item x="604"/>
        <item x="624"/>
        <item x="31"/>
        <item x="515"/>
        <item x="477"/>
        <item x="344"/>
        <item x="499"/>
        <item x="197"/>
        <item x="121"/>
        <item x="445"/>
        <item x="455"/>
        <item x="202"/>
        <item x="474"/>
        <item x="301"/>
        <item x="382"/>
        <item x="152"/>
        <item x="485"/>
        <item x="296"/>
        <item x="124"/>
        <item x="229"/>
        <item x="478"/>
        <item x="284"/>
        <item x="137"/>
        <item x="216"/>
        <item x="387"/>
        <item x="591"/>
        <item x="316"/>
        <item x="537"/>
        <item x="419"/>
        <item x="261"/>
        <item x="266"/>
        <item x="259"/>
        <item x="528"/>
        <item x="39"/>
        <item x="213"/>
        <item x="431"/>
        <item x="337"/>
        <item x="176"/>
        <item x="609"/>
        <item x="291"/>
        <item x="408"/>
        <item x="384"/>
        <item x="596"/>
        <item x="526"/>
        <item x="198"/>
        <item x="460"/>
        <item x="221"/>
        <item x="576"/>
        <item x="279"/>
        <item x="75"/>
        <item x="5"/>
        <item x="589"/>
        <item x="466"/>
        <item x="412"/>
        <item x="349"/>
        <item x="501"/>
        <item x="243"/>
        <item x="68"/>
        <item x="436"/>
        <item x="619"/>
        <item x="340"/>
        <item x="444"/>
        <item x="450"/>
        <item x="476"/>
        <item x="437"/>
        <item x="69"/>
        <item x="539"/>
        <item x="369"/>
        <item x="4"/>
        <item x="338"/>
        <item x="145"/>
        <item x="187"/>
        <item x="318"/>
        <item x="388"/>
        <item x="85"/>
        <item x="154"/>
        <item x="441"/>
        <item x="160"/>
        <item x="404"/>
        <item x="370"/>
        <item x="581"/>
        <item x="35"/>
        <item x="507"/>
        <item x="483"/>
        <item x="135"/>
        <item x="21"/>
        <item x="570"/>
        <item x="95"/>
        <item x="115"/>
        <item x="456"/>
        <item x="125"/>
        <item x="308"/>
        <item x="165"/>
        <item x="623"/>
        <item x="258"/>
        <item x="321"/>
        <item x="311"/>
        <item x="28"/>
        <item x="346"/>
        <item x="140"/>
        <item x="142"/>
        <item x="509"/>
        <item x="205"/>
        <item x="627"/>
        <item x="192"/>
        <item x="393"/>
        <item x="469"/>
        <item x="411"/>
        <item x="15"/>
        <item x="331"/>
        <item x="233"/>
        <item x="228"/>
        <item x="555"/>
        <item x="542"/>
        <item x="628"/>
        <item x="237"/>
        <item x="267"/>
        <item x="538"/>
        <item x="114"/>
        <item x="414"/>
        <item x="178"/>
        <item x="396"/>
        <item x="479"/>
        <item x="336"/>
        <item x="164"/>
        <item x="155"/>
        <item x="549"/>
        <item x="325"/>
        <item x="105"/>
        <item x="134"/>
        <item x="309"/>
        <item x="109"/>
        <item x="34"/>
        <item x="401"/>
        <item x="30"/>
        <item x="79"/>
        <item x="214"/>
        <item x="153"/>
        <item x="458"/>
        <item x="548"/>
        <item x="16"/>
        <item x="322"/>
        <item x="523"/>
        <item x="297"/>
        <item x="564"/>
        <item x="480"/>
        <item x="10"/>
        <item x="147"/>
        <item x="191"/>
        <item x="25"/>
        <item x="162"/>
        <item x="251"/>
        <item x="111"/>
        <item x="353"/>
        <item x="139"/>
        <item x="181"/>
        <item x="586"/>
        <item x="489"/>
        <item x="63"/>
        <item x="560"/>
        <item x="392"/>
        <item x="454"/>
        <item x="51"/>
        <item x="607"/>
        <item x="0"/>
        <item x="287"/>
        <item x="234"/>
        <item x="107"/>
        <item x="70"/>
        <item x="57"/>
        <item x="41"/>
        <item x="252"/>
        <item x="390"/>
        <item x="504"/>
        <item x="247"/>
        <item x="167"/>
        <item x="561"/>
        <item x="610"/>
        <item x="334"/>
        <item x="341"/>
        <item x="6"/>
        <item x="612"/>
        <item x="362"/>
        <item x="67"/>
        <item x="253"/>
        <item x="536"/>
        <item x="572"/>
        <item x="461"/>
        <item x="161"/>
        <item x="1"/>
        <item x="524"/>
        <item x="283"/>
        <item x="486"/>
        <item x="410"/>
        <item x="429"/>
        <item x="484"/>
        <item x="143"/>
        <item x="44"/>
        <item x="405"/>
        <item x="383"/>
        <item x="517"/>
        <item x="310"/>
        <item x="545"/>
        <item x="231"/>
        <item x="313"/>
        <item x="494"/>
        <item x="568"/>
        <item x="149"/>
        <item x="594"/>
        <item x="194"/>
        <item x="440"/>
        <item x="76"/>
        <item x="77"/>
        <item x="413"/>
        <item x="50"/>
        <item x="521"/>
        <item x="423"/>
        <item x="117"/>
        <item x="103"/>
        <item x="578"/>
        <item x="274"/>
        <item x="23"/>
        <item x="265"/>
        <item x="323"/>
        <item x="188"/>
        <item x="464"/>
        <item x="443"/>
        <item x="356"/>
        <item x="424"/>
        <item x="492"/>
        <item x="386"/>
        <item x="529"/>
        <item x="554"/>
        <item x="409"/>
        <item x="245"/>
        <item x="47"/>
        <item x="600"/>
        <item x="157"/>
        <item x="558"/>
        <item x="448"/>
        <item x="500"/>
        <item x="232"/>
        <item x="335"/>
        <item x="587"/>
        <item x="493"/>
        <item x="277"/>
        <item x="433"/>
        <item x="126"/>
        <item x="598"/>
        <item x="123"/>
        <item x="8"/>
        <item x="582"/>
        <item x="86"/>
        <item x="38"/>
        <item x="88"/>
        <item x="128"/>
        <item x="170"/>
        <item x="400"/>
        <item x="541"/>
        <item x="33"/>
        <item x="40"/>
        <item x="97"/>
        <item x="184"/>
        <item x="475"/>
        <item x="342"/>
        <item x="472"/>
        <item x="430"/>
        <item x="415"/>
        <item x="249"/>
        <item x="195"/>
        <item x="402"/>
        <item x="209"/>
        <item x="557"/>
        <item x="207"/>
        <item x="583"/>
        <item x="373"/>
        <item x="36"/>
        <item x="359"/>
        <item x="527"/>
        <item x="320"/>
        <item x="217"/>
        <item x="496"/>
        <item x="506"/>
        <item x="611"/>
        <item x="442"/>
        <item x="271"/>
        <item x="418"/>
        <item x="618"/>
        <item x="189"/>
        <item x="156"/>
        <item x="567"/>
        <item x="104"/>
        <item x="508"/>
        <item x="218"/>
        <item x="138"/>
        <item x="465"/>
        <item x="26"/>
        <item x="295"/>
        <item x="490"/>
        <item x="108"/>
        <item x="20"/>
        <item x="73"/>
        <item x="235"/>
        <item x="427"/>
        <item x="621"/>
        <item x="365"/>
        <item x="319"/>
        <item x="522"/>
        <item x="273"/>
        <item x="136"/>
        <item x="432"/>
        <item x="608"/>
        <item x="101"/>
        <item x="451"/>
        <item x="244"/>
        <item x="27"/>
        <item x="254"/>
        <item x="286"/>
        <item x="242"/>
        <item x="374"/>
        <item x="559"/>
        <item x="303"/>
        <item x="268"/>
        <item x="447"/>
        <item x="13"/>
        <item x="358"/>
        <item x="519"/>
        <item x="343"/>
        <item x="238"/>
        <item x="345"/>
        <item x="141"/>
        <item x="60"/>
        <item x="599"/>
        <item x="110"/>
        <item x="352"/>
        <item x="112"/>
        <item x="354"/>
        <item x="312"/>
        <item x="616"/>
        <item x="72"/>
        <item x="169"/>
        <item x="592"/>
        <item x="275"/>
        <item x="177"/>
        <item x="510"/>
        <item x="357"/>
        <item x="511"/>
        <item x="48"/>
        <item x="196"/>
        <item x="174"/>
        <item x="435"/>
        <item x="398"/>
        <item x="487"/>
        <item x="565"/>
        <item x="211"/>
        <item x="426"/>
        <item x="93"/>
        <item x="42"/>
        <item x="200"/>
        <item x="82"/>
        <item x="364"/>
        <item x="236"/>
        <item x="513"/>
        <item x="304"/>
        <item x="206"/>
        <item x="534"/>
        <item x="617"/>
        <item x="579"/>
        <item x="3"/>
        <item x="569"/>
        <item x="571"/>
        <item x="120"/>
        <item x="257"/>
        <item x="375"/>
        <item x="601"/>
        <item x="299"/>
        <item x="379"/>
        <item x="417"/>
        <item x="314"/>
        <item x="17"/>
        <item x="146"/>
        <item x="150"/>
        <item x="584"/>
        <item x="248"/>
        <item x="482"/>
        <item x="488"/>
        <item x="606"/>
        <item x="96"/>
        <item x="372"/>
        <item x="420"/>
        <item x="302"/>
        <item x="588"/>
        <item x="575"/>
        <item x="227"/>
        <item x="462"/>
        <item x="368"/>
        <item x="533"/>
        <item x="333"/>
        <item x="100"/>
        <item x="84"/>
        <item x="502"/>
        <item x="553"/>
        <item x="552"/>
        <item x="133"/>
        <item x="306"/>
        <item x="294"/>
        <item x="416"/>
        <item x="307"/>
        <item x="481"/>
        <item x="452"/>
        <item x="159"/>
        <item x="550"/>
        <item x="263"/>
        <item x="525"/>
        <item x="446"/>
        <item x="505"/>
        <item x="32"/>
        <item x="348"/>
        <item x="270"/>
        <item x="389"/>
        <item x="394"/>
        <item x="293"/>
        <item x="12"/>
        <item x="83"/>
        <item x="463"/>
        <item x="131"/>
        <item x="240"/>
        <item x="407"/>
        <item x="11"/>
        <item x="62"/>
        <item x="91"/>
        <item x="614"/>
        <item x="127"/>
        <item x="285"/>
        <item x="98"/>
        <item x="186"/>
        <item x="29"/>
        <item x="212"/>
        <item x="53"/>
        <item x="22"/>
        <item x="210"/>
        <item x="397"/>
        <item x="360"/>
        <item x="399"/>
        <item x="366"/>
        <item x="90"/>
        <item x="208"/>
        <item x="514"/>
        <item x="377"/>
        <item x="58"/>
        <item x="71"/>
        <item x="241"/>
        <item x="113"/>
        <item x="622"/>
        <item x="130"/>
        <item x="421"/>
        <item x="179"/>
        <item x="329"/>
        <item x="563"/>
        <item x="102"/>
        <item x="180"/>
        <item x="428"/>
        <item x="395"/>
        <item x="276"/>
        <item x="222"/>
        <item x="503"/>
        <item x="473"/>
        <item x="597"/>
        <item x="280"/>
        <item x="116"/>
        <item x="173"/>
        <item x="491"/>
        <item x="595"/>
        <item x="37"/>
        <item x="94"/>
        <item x="630"/>
        <item x="330"/>
        <item x="19"/>
        <item x="602"/>
        <item x="290"/>
        <item x="230"/>
        <item x="219"/>
        <item x="59"/>
        <item x="55"/>
        <item x="158"/>
        <item x="531"/>
        <item x="327"/>
        <item x="61"/>
        <item x="471"/>
        <item x="381"/>
        <item x="467"/>
        <item x="425"/>
        <item x="43"/>
        <item x="380"/>
        <item x="498"/>
        <item x="516"/>
        <item x="422"/>
        <item x="14"/>
        <item x="18"/>
        <item x="175"/>
        <item x="593"/>
        <item x="317"/>
        <item x="87"/>
        <item x="385"/>
        <item x="556"/>
        <item x="406"/>
        <item x="264"/>
        <item x="182"/>
        <item x="620"/>
        <item x="262"/>
        <item x="403"/>
        <item x="378"/>
        <item x="289"/>
        <item x="530"/>
        <item x="566"/>
        <item x="56"/>
        <item x="298"/>
        <item x="305"/>
        <item x="246"/>
        <item x="468"/>
        <item x="355"/>
        <item x="119"/>
        <item x="544"/>
        <item x="203"/>
        <item x="282"/>
        <item x="590"/>
        <item x="9"/>
        <item t="default"/>
      </items>
    </pivotField>
    <pivotField compact="0" numFmtId="17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3">
        <item x="4"/>
        <item x="2"/>
        <item x="0"/>
        <item x="7"/>
        <item x="5"/>
        <item x="9"/>
        <item x="8"/>
        <item x="11"/>
        <item x="6"/>
        <item x="1"/>
        <item x="10"/>
        <item x="3"/>
        <item t="default"/>
      </items>
    </pivotField>
    <pivotField compact="0" showAll="0">
      <items count="469">
        <item x="5"/>
        <item x="455"/>
        <item x="271"/>
        <item x="415"/>
        <item x="181"/>
        <item x="7"/>
        <item x="371"/>
        <item x="184"/>
        <item x="119"/>
        <item x="424"/>
        <item x="122"/>
        <item x="171"/>
        <item x="180"/>
        <item x="312"/>
        <item x="23"/>
        <item x="77"/>
        <item x="426"/>
        <item x="62"/>
        <item x="152"/>
        <item x="147"/>
        <item x="361"/>
        <item x="29"/>
        <item x="159"/>
        <item x="452"/>
        <item x="2"/>
        <item x="107"/>
        <item x="432"/>
        <item x="226"/>
        <item x="336"/>
        <item x="206"/>
        <item x="315"/>
        <item x="211"/>
        <item x="342"/>
        <item x="64"/>
        <item x="278"/>
        <item x="150"/>
        <item x="33"/>
        <item x="50"/>
        <item x="451"/>
        <item x="163"/>
        <item x="89"/>
        <item x="458"/>
        <item x="125"/>
        <item x="290"/>
        <item x="27"/>
        <item x="387"/>
        <item x="153"/>
        <item x="43"/>
        <item x="67"/>
        <item x="460"/>
        <item x="15"/>
        <item x="441"/>
        <item x="410"/>
        <item x="129"/>
        <item x="449"/>
        <item x="177"/>
        <item x="275"/>
        <item x="239"/>
        <item x="406"/>
        <item x="20"/>
        <item x="382"/>
        <item x="362"/>
        <item x="72"/>
        <item x="207"/>
        <item x="373"/>
        <item x="234"/>
        <item x="328"/>
        <item x="408"/>
        <item x="446"/>
        <item x="308"/>
        <item x="109"/>
        <item x="280"/>
        <item x="367"/>
        <item x="75"/>
        <item x="251"/>
        <item x="37"/>
        <item x="264"/>
        <item x="169"/>
        <item x="44"/>
        <item x="87"/>
        <item x="85"/>
        <item x="306"/>
        <item x="186"/>
        <item x="140"/>
        <item x="133"/>
        <item x="422"/>
        <item x="425"/>
        <item x="376"/>
        <item x="47"/>
        <item x="289"/>
        <item x="386"/>
        <item x="256"/>
        <item x="172"/>
        <item x="370"/>
        <item x="245"/>
        <item x="288"/>
        <item x="131"/>
        <item x="203"/>
        <item x="443"/>
        <item x="242"/>
        <item x="235"/>
        <item x="174"/>
        <item x="389"/>
        <item x="115"/>
        <item x="183"/>
        <item x="419"/>
        <item x="66"/>
        <item x="114"/>
        <item x="260"/>
        <item x="417"/>
        <item x="343"/>
        <item x="200"/>
        <item x="161"/>
        <item x="345"/>
        <item x="52"/>
        <item x="429"/>
        <item x="137"/>
        <item x="459"/>
        <item x="73"/>
        <item x="216"/>
        <item x="364"/>
        <item x="158"/>
        <item x="199"/>
        <item x="323"/>
        <item x="204"/>
        <item x="231"/>
        <item x="155"/>
        <item x="327"/>
        <item x="233"/>
        <item x="348"/>
        <item x="176"/>
        <item x="358"/>
        <item x="259"/>
        <item x="282"/>
        <item x="391"/>
        <item x="324"/>
        <item x="250"/>
        <item x="143"/>
        <item x="193"/>
        <item x="276"/>
        <item x="285"/>
        <item x="112"/>
        <item x="106"/>
        <item x="214"/>
        <item x="134"/>
        <item x="294"/>
        <item x="297"/>
        <item x="63"/>
        <item x="374"/>
        <item x="4"/>
        <item x="141"/>
        <item x="340"/>
        <item x="380"/>
        <item x="202"/>
        <item x="195"/>
        <item x="295"/>
        <item x="81"/>
        <item x="240"/>
        <item x="311"/>
        <item x="423"/>
        <item x="113"/>
        <item x="360"/>
        <item x="300"/>
        <item x="279"/>
        <item x="435"/>
        <item x="241"/>
        <item x="39"/>
        <item x="182"/>
        <item x="94"/>
        <item x="347"/>
        <item x="303"/>
        <item x="13"/>
        <item x="84"/>
        <item x="436"/>
        <item x="247"/>
        <item x="10"/>
        <item x="145"/>
        <item x="162"/>
        <item x="383"/>
        <item x="437"/>
        <item x="179"/>
        <item x="128"/>
        <item x="221"/>
        <item x="292"/>
        <item x="142"/>
        <item x="351"/>
        <item x="439"/>
        <item x="354"/>
        <item x="352"/>
        <item x="194"/>
        <item x="397"/>
        <item x="263"/>
        <item x="314"/>
        <item x="428"/>
        <item x="220"/>
        <item x="34"/>
        <item x="307"/>
        <item x="58"/>
        <item x="0"/>
        <item x="450"/>
        <item x="227"/>
        <item x="246"/>
        <item x="68"/>
        <item x="363"/>
        <item x="265"/>
        <item x="248"/>
        <item x="215"/>
        <item x="244"/>
        <item x="149"/>
        <item x="136"/>
        <item x="403"/>
        <item x="82"/>
        <item x="286"/>
        <item x="70"/>
        <item x="413"/>
        <item x="31"/>
        <item x="36"/>
        <item x="395"/>
        <item x="412"/>
        <item x="400"/>
        <item x="230"/>
        <item x="372"/>
        <item x="8"/>
        <item x="375"/>
        <item x="322"/>
        <item x="385"/>
        <item x="393"/>
        <item x="45"/>
        <item x="313"/>
        <item x="22"/>
        <item x="173"/>
        <item x="42"/>
        <item x="98"/>
        <item x="65"/>
        <item x="154"/>
        <item x="398"/>
        <item x="91"/>
        <item x="118"/>
        <item x="101"/>
        <item x="368"/>
        <item x="151"/>
        <item x="416"/>
        <item x="344"/>
        <item x="116"/>
        <item x="274"/>
        <item x="102"/>
        <item x="103"/>
        <item x="369"/>
        <item x="132"/>
        <item x="249"/>
        <item x="269"/>
        <item x="304"/>
        <item x="463"/>
        <item x="104"/>
        <item x="24"/>
        <item x="411"/>
        <item x="287"/>
        <item x="293"/>
        <item x="157"/>
        <item x="320"/>
        <item x="26"/>
        <item x="334"/>
        <item x="19"/>
        <item x="465"/>
        <item x="228"/>
        <item x="453"/>
        <item x="447"/>
        <item x="399"/>
        <item x="144"/>
        <item x="298"/>
        <item x="326"/>
        <item x="175"/>
        <item x="99"/>
        <item x="421"/>
        <item x="456"/>
        <item x="353"/>
        <item x="396"/>
        <item x="365"/>
        <item x="32"/>
        <item x="38"/>
        <item x="74"/>
        <item x="341"/>
        <item x="434"/>
        <item x="225"/>
        <item x="209"/>
        <item x="210"/>
        <item x="331"/>
        <item x="255"/>
        <item x="191"/>
        <item x="187"/>
        <item x="212"/>
        <item x="97"/>
        <item x="197"/>
        <item x="178"/>
        <item x="138"/>
        <item x="366"/>
        <item x="189"/>
        <item x="166"/>
        <item x="88"/>
        <item x="238"/>
        <item x="156"/>
        <item x="407"/>
        <item x="196"/>
        <item x="464"/>
        <item x="46"/>
        <item x="100"/>
        <item x="49"/>
        <item x="462"/>
        <item x="168"/>
        <item x="1"/>
        <item x="404"/>
        <item x="40"/>
        <item x="229"/>
        <item x="291"/>
        <item x="148"/>
        <item x="356"/>
        <item x="61"/>
        <item x="273"/>
        <item x="333"/>
        <item x="48"/>
        <item x="299"/>
        <item x="223"/>
        <item x="444"/>
        <item x="405"/>
        <item x="392"/>
        <item x="127"/>
        <item x="76"/>
        <item x="379"/>
        <item x="302"/>
        <item x="461"/>
        <item x="25"/>
        <item x="219"/>
        <item x="96"/>
        <item x="430"/>
        <item x="390"/>
        <item x="16"/>
        <item x="330"/>
        <item x="126"/>
        <item x="71"/>
        <item x="55"/>
        <item x="337"/>
        <item x="124"/>
        <item x="130"/>
        <item x="359"/>
        <item x="6"/>
        <item x="357"/>
        <item x="272"/>
        <item x="11"/>
        <item x="409"/>
        <item x="316"/>
        <item x="123"/>
        <item x="420"/>
        <item x="283"/>
        <item x="170"/>
        <item x="105"/>
        <item x="335"/>
        <item x="51"/>
        <item x="266"/>
        <item x="93"/>
        <item x="192"/>
        <item x="318"/>
        <item x="167"/>
        <item x="185"/>
        <item x="317"/>
        <item x="414"/>
        <item x="54"/>
        <item x="120"/>
        <item x="146"/>
        <item x="433"/>
        <item x="454"/>
        <item x="243"/>
        <item x="338"/>
        <item x="349"/>
        <item x="467"/>
        <item x="121"/>
        <item x="12"/>
        <item x="339"/>
        <item x="402"/>
        <item x="418"/>
        <item x="252"/>
        <item x="310"/>
        <item x="309"/>
        <item x="381"/>
        <item x="401"/>
        <item x="80"/>
        <item x="3"/>
        <item x="258"/>
        <item x="95"/>
        <item x="277"/>
        <item x="254"/>
        <item x="53"/>
        <item x="28"/>
        <item x="69"/>
        <item x="377"/>
        <item x="261"/>
        <item x="332"/>
        <item x="440"/>
        <item x="160"/>
        <item x="139"/>
        <item x="448"/>
        <item x="222"/>
        <item x="79"/>
        <item x="208"/>
        <item x="60"/>
        <item x="86"/>
        <item x="57"/>
        <item x="355"/>
        <item x="267"/>
        <item x="321"/>
        <item x="78"/>
        <item x="394"/>
        <item x="217"/>
        <item x="253"/>
        <item x="270"/>
        <item x="281"/>
        <item x="9"/>
        <item x="329"/>
        <item x="41"/>
        <item x="262"/>
        <item x="108"/>
        <item x="346"/>
        <item x="56"/>
        <item x="21"/>
        <item x="325"/>
        <item x="296"/>
        <item x="111"/>
        <item x="236"/>
        <item x="268"/>
        <item x="35"/>
        <item x="305"/>
        <item x="438"/>
        <item x="232"/>
        <item x="350"/>
        <item x="110"/>
        <item x="445"/>
        <item x="190"/>
        <item x="201"/>
        <item x="213"/>
        <item x="466"/>
        <item x="18"/>
        <item x="188"/>
        <item x="92"/>
        <item x="319"/>
        <item x="30"/>
        <item x="378"/>
        <item x="90"/>
        <item x="218"/>
        <item x="442"/>
        <item x="117"/>
        <item x="431"/>
        <item x="83"/>
        <item x="205"/>
        <item x="457"/>
        <item x="384"/>
        <item x="301"/>
        <item x="427"/>
        <item x="164"/>
        <item x="198"/>
        <item x="257"/>
        <item x="388"/>
        <item x="14"/>
        <item x="237"/>
        <item x="17"/>
        <item x="59"/>
        <item x="135"/>
        <item x="224"/>
        <item x="284"/>
        <item x="165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numFmtId="181" showAll="0">
      <items count="470">
        <item x="5"/>
        <item x="7"/>
        <item x="185"/>
        <item x="199"/>
        <item x="411"/>
        <item x="270"/>
        <item x="125"/>
        <item x="128"/>
        <item x="187"/>
        <item x="441"/>
        <item x="78"/>
        <item x="24"/>
        <item x="419"/>
        <item x="183"/>
        <item x="62"/>
        <item x="279"/>
        <item x="174"/>
        <item x="152"/>
        <item x="111"/>
        <item x="422"/>
        <item x="297"/>
        <item x="162"/>
        <item x="157"/>
        <item x="384"/>
        <item x="96"/>
        <item x="223"/>
        <item x="2"/>
        <item x="155"/>
        <item x="214"/>
        <item x="211"/>
        <item x="314"/>
        <item x="50"/>
        <item x="339"/>
        <item x="310"/>
        <item x="64"/>
        <item x="290"/>
        <item x="132"/>
        <item x="277"/>
        <item x="166"/>
        <item x="130"/>
        <item x="357"/>
        <item x="400"/>
        <item x="15"/>
        <item x="453"/>
        <item x="450"/>
        <item x="437"/>
        <item x="92"/>
        <item x="189"/>
        <item x="43"/>
        <item x="430"/>
        <item x="235"/>
        <item x="206"/>
        <item x="67"/>
        <item x="184"/>
        <item x="28"/>
        <item x="295"/>
        <item x="72"/>
        <item x="370"/>
        <item x="426"/>
        <item x="379"/>
        <item x="383"/>
        <item x="180"/>
        <item x="408"/>
        <item x="21"/>
        <item x="281"/>
        <item x="435"/>
        <item x="359"/>
        <item x="103"/>
        <item x="403"/>
        <item x="212"/>
        <item x="374"/>
        <item x="76"/>
        <item x="282"/>
        <item x="114"/>
        <item x="326"/>
        <item x="367"/>
        <item x="271"/>
        <item x="90"/>
        <item x="37"/>
        <item x="305"/>
        <item x="440"/>
        <item x="87"/>
        <item x="44"/>
        <item x="393"/>
        <item x="260"/>
        <item x="420"/>
        <item x="416"/>
        <item x="438"/>
        <item x="418"/>
        <item x="138"/>
        <item x="467"/>
        <item x="373"/>
        <item x="172"/>
        <item x="264"/>
        <item x="145"/>
        <item x="175"/>
        <item x="47"/>
        <item x="464"/>
        <item x="208"/>
        <item x="254"/>
        <item x="241"/>
        <item x="238"/>
        <item x="386"/>
        <item x="289"/>
        <item x="177"/>
        <item x="170"/>
        <item x="230"/>
        <item x="136"/>
        <item x="466"/>
        <item x="52"/>
        <item x="286"/>
        <item x="120"/>
        <item x="121"/>
        <item x="66"/>
        <item x="204"/>
        <item x="165"/>
        <item x="79"/>
        <item x="340"/>
        <item x="460"/>
        <item x="142"/>
        <item x="380"/>
        <item x="413"/>
        <item x="258"/>
        <item x="360"/>
        <item x="203"/>
        <item x="322"/>
        <item x="227"/>
        <item x="73"/>
        <item x="308"/>
        <item x="161"/>
        <item x="456"/>
        <item x="229"/>
        <item x="355"/>
        <item x="353"/>
        <item x="159"/>
        <item x="325"/>
        <item x="395"/>
        <item x="209"/>
        <item x="406"/>
        <item x="263"/>
        <item x="147"/>
        <item x="323"/>
        <item x="257"/>
        <item x="179"/>
        <item x="247"/>
        <item x="284"/>
        <item x="388"/>
        <item x="196"/>
        <item x="139"/>
        <item x="275"/>
        <item x="110"/>
        <item x="287"/>
        <item x="217"/>
        <item x="371"/>
        <item x="369"/>
        <item x="117"/>
        <item x="298"/>
        <item x="293"/>
        <item x="336"/>
        <item x="207"/>
        <item x="83"/>
        <item x="63"/>
        <item x="4"/>
        <item x="236"/>
        <item x="436"/>
        <item x="309"/>
        <item x="296"/>
        <item x="358"/>
        <item x="429"/>
        <item x="362"/>
        <item x="198"/>
        <item x="385"/>
        <item x="465"/>
        <item x="118"/>
        <item x="98"/>
        <item x="237"/>
        <item x="86"/>
        <item x="243"/>
        <item x="186"/>
        <item x="253"/>
        <item x="454"/>
        <item x="39"/>
        <item x="303"/>
        <item x="431"/>
        <item x="250"/>
        <item x="414"/>
        <item x="10"/>
        <item x="344"/>
        <item x="13"/>
        <item x="134"/>
        <item x="176"/>
        <item x="433"/>
        <item x="149"/>
        <item x="381"/>
        <item x="391"/>
        <item x="182"/>
        <item x="146"/>
        <item x="348"/>
        <item x="351"/>
        <item x="280"/>
        <item x="259"/>
        <item x="312"/>
        <item x="68"/>
        <item x="447"/>
        <item x="402"/>
        <item x="34"/>
        <item x="221"/>
        <item x="427"/>
        <item x="197"/>
        <item x="375"/>
        <item x="261"/>
        <item x="0"/>
        <item x="154"/>
        <item x="58"/>
        <item x="244"/>
        <item x="242"/>
        <item x="240"/>
        <item x="288"/>
        <item x="301"/>
        <item x="141"/>
        <item x="84"/>
        <item x="410"/>
        <item x="36"/>
        <item x="70"/>
        <item x="32"/>
        <item x="409"/>
        <item x="321"/>
        <item x="365"/>
        <item x="372"/>
        <item x="226"/>
        <item x="338"/>
        <item x="428"/>
        <item x="23"/>
        <item x="390"/>
        <item x="94"/>
        <item x="102"/>
        <item x="45"/>
        <item x="8"/>
        <item x="42"/>
        <item x="163"/>
        <item x="65"/>
        <item x="105"/>
        <item x="421"/>
        <item x="107"/>
        <item x="124"/>
        <item x="158"/>
        <item x="307"/>
        <item x="156"/>
        <item x="392"/>
        <item x="278"/>
        <item x="266"/>
        <item x="443"/>
        <item x="412"/>
        <item x="273"/>
        <item x="304"/>
        <item x="122"/>
        <item x="75"/>
        <item x="455"/>
        <item x="246"/>
        <item x="137"/>
        <item x="106"/>
        <item x="364"/>
        <item x="292"/>
        <item x="25"/>
        <item x="160"/>
        <item x="27"/>
        <item x="446"/>
        <item x="20"/>
        <item x="108"/>
        <item x="224"/>
        <item x="294"/>
        <item x="423"/>
        <item x="319"/>
        <item x="332"/>
        <item x="442"/>
        <item x="331"/>
        <item x="148"/>
        <item x="299"/>
        <item x="33"/>
        <item x="462"/>
        <item x="417"/>
        <item x="448"/>
        <item x="178"/>
        <item x="104"/>
        <item x="337"/>
        <item x="252"/>
        <item x="213"/>
        <item x="350"/>
        <item x="394"/>
        <item x="150"/>
        <item x="38"/>
        <item x="74"/>
        <item x="425"/>
        <item x="181"/>
        <item x="215"/>
        <item x="361"/>
        <item x="330"/>
        <item x="101"/>
        <item x="191"/>
        <item x="234"/>
        <item x="168"/>
        <item x="201"/>
        <item x="143"/>
        <item x="1"/>
        <item x="193"/>
        <item x="459"/>
        <item x="399"/>
        <item x="171"/>
        <item x="91"/>
        <item x="291"/>
        <item x="272"/>
        <item x="49"/>
        <item x="432"/>
        <item x="46"/>
        <item x="200"/>
        <item x="352"/>
        <item x="40"/>
        <item x="61"/>
        <item x="225"/>
        <item x="401"/>
        <item x="48"/>
        <item x="153"/>
        <item x="300"/>
        <item x="389"/>
        <item x="119"/>
        <item x="302"/>
        <item x="387"/>
        <item x="341"/>
        <item x="220"/>
        <item x="133"/>
        <item x="55"/>
        <item x="354"/>
        <item x="71"/>
        <item x="77"/>
        <item x="452"/>
        <item x="129"/>
        <item x="100"/>
        <item x="368"/>
        <item x="26"/>
        <item x="113"/>
        <item x="404"/>
        <item x="16"/>
        <item x="135"/>
        <item x="131"/>
        <item x="356"/>
        <item x="6"/>
        <item x="30"/>
        <item x="457"/>
        <item x="315"/>
        <item x="262"/>
        <item x="11"/>
        <item x="109"/>
        <item x="333"/>
        <item x="269"/>
        <item x="195"/>
        <item x="173"/>
        <item x="190"/>
        <item x="97"/>
        <item x="51"/>
        <item x="316"/>
        <item x="188"/>
        <item x="444"/>
        <item x="126"/>
        <item x="54"/>
        <item x="169"/>
        <item x="239"/>
        <item x="468"/>
        <item x="335"/>
        <item x="345"/>
        <item x="334"/>
        <item x="127"/>
        <item x="397"/>
        <item x="268"/>
        <item x="398"/>
        <item x="248"/>
        <item x="12"/>
        <item x="3"/>
        <item x="99"/>
        <item x="256"/>
        <item x="343"/>
        <item x="306"/>
        <item x="311"/>
        <item x="29"/>
        <item x="267"/>
        <item x="251"/>
        <item x="434"/>
        <item x="82"/>
        <item x="376"/>
        <item x="81"/>
        <item x="232"/>
        <item x="276"/>
        <item x="363"/>
        <item x="53"/>
        <item x="222"/>
        <item x="461"/>
        <item x="164"/>
        <item x="69"/>
        <item x="415"/>
        <item x="57"/>
        <item x="88"/>
        <item x="144"/>
        <item x="283"/>
        <item x="449"/>
        <item x="19"/>
        <item x="80"/>
        <item x="60"/>
        <item x="320"/>
        <item x="218"/>
        <item x="249"/>
        <item x="407"/>
        <item x="378"/>
        <item x="274"/>
        <item x="327"/>
        <item x="9"/>
        <item x="112"/>
        <item x="342"/>
        <item x="56"/>
        <item x="41"/>
        <item x="451"/>
        <item x="366"/>
        <item x="89"/>
        <item x="231"/>
        <item x="22"/>
        <item x="324"/>
        <item x="228"/>
        <item x="346"/>
        <item x="265"/>
        <item x="35"/>
        <item x="313"/>
        <item x="116"/>
        <item x="245"/>
        <item x="458"/>
        <item x="205"/>
        <item x="115"/>
        <item x="216"/>
        <item x="463"/>
        <item x="439"/>
        <item x="194"/>
        <item x="18"/>
        <item x="31"/>
        <item x="192"/>
        <item x="219"/>
        <item x="123"/>
        <item x="377"/>
        <item x="93"/>
        <item x="318"/>
        <item x="95"/>
        <item x="85"/>
        <item x="151"/>
        <item x="424"/>
        <item x="255"/>
        <item x="405"/>
        <item x="210"/>
        <item x="382"/>
        <item x="349"/>
        <item x="317"/>
        <item x="233"/>
        <item x="59"/>
        <item x="328"/>
        <item x="17"/>
        <item x="167"/>
        <item x="445"/>
        <item x="329"/>
        <item x="202"/>
        <item x="347"/>
        <item x="285"/>
        <item x="140"/>
        <item x="14"/>
        <item x="396"/>
        <item t="default"/>
      </items>
    </pivotField>
    <pivotField compact="0" numFmtId="181" showAll="0">
      <items count="473">
        <item x="5"/>
        <item x="185"/>
        <item x="7"/>
        <item x="412"/>
        <item x="199"/>
        <item x="123"/>
        <item x="126"/>
        <item x="187"/>
        <item x="443"/>
        <item x="78"/>
        <item x="24"/>
        <item x="420"/>
        <item x="183"/>
        <item x="62"/>
        <item x="174"/>
        <item x="152"/>
        <item x="109"/>
        <item x="424"/>
        <item x="276"/>
        <item x="294"/>
        <item x="162"/>
        <item x="157"/>
        <item x="381"/>
        <item x="95"/>
        <item x="222"/>
        <item x="2"/>
        <item x="155"/>
        <item x="214"/>
        <item x="211"/>
        <item x="311"/>
        <item x="50"/>
        <item x="335"/>
        <item x="307"/>
        <item x="64"/>
        <item x="130"/>
        <item x="273"/>
        <item x="166"/>
        <item x="128"/>
        <item x="382"/>
        <item x="287"/>
        <item x="34"/>
        <item x="457"/>
        <item x="454"/>
        <item x="440"/>
        <item x="91"/>
        <item x="189"/>
        <item x="15"/>
        <item x="433"/>
        <item x="206"/>
        <item x="67"/>
        <item x="184"/>
        <item x="28"/>
        <item x="292"/>
        <item x="133"/>
        <item x="366"/>
        <item x="428"/>
        <item x="376"/>
        <item x="380"/>
        <item x="180"/>
        <item x="72"/>
        <item x="21"/>
        <item x="278"/>
        <item x="438"/>
        <item x="354"/>
        <item x="102"/>
        <item x="403"/>
        <item x="212"/>
        <item x="370"/>
        <item x="76"/>
        <item x="279"/>
        <item x="112"/>
        <item x="322"/>
        <item x="363"/>
        <item x="246"/>
        <item x="38"/>
        <item x="302"/>
        <item x="89"/>
        <item x="86"/>
        <item x="44"/>
        <item x="392"/>
        <item x="258"/>
        <item x="421"/>
        <item x="417"/>
        <item x="441"/>
        <item x="419"/>
        <item x="137"/>
        <item x="470"/>
        <item x="369"/>
        <item x="172"/>
        <item x="262"/>
        <item x="144"/>
        <item x="360"/>
        <item x="175"/>
        <item x="47"/>
        <item x="208"/>
        <item x="252"/>
        <item x="239"/>
        <item x="236"/>
        <item x="385"/>
        <item x="286"/>
        <item x="177"/>
        <item x="170"/>
        <item x="229"/>
        <item x="135"/>
        <item x="469"/>
        <item x="52"/>
        <item x="283"/>
        <item x="118"/>
        <item x="119"/>
        <item x="66"/>
        <item x="204"/>
        <item x="165"/>
        <item x="79"/>
        <item x="336"/>
        <item x="464"/>
        <item x="141"/>
        <item x="377"/>
        <item x="414"/>
        <item x="256"/>
        <item x="355"/>
        <item x="203"/>
        <item x="318"/>
        <item x="226"/>
        <item x="73"/>
        <item x="305"/>
        <item x="161"/>
        <item x="460"/>
        <item x="228"/>
        <item x="351"/>
        <item x="349"/>
        <item x="159"/>
        <item x="321"/>
        <item x="394"/>
        <item x="209"/>
        <item x="406"/>
        <item x="261"/>
        <item x="147"/>
        <item x="319"/>
        <item x="255"/>
        <item x="179"/>
        <item x="245"/>
        <item x="281"/>
        <item x="387"/>
        <item x="196"/>
        <item x="271"/>
        <item x="108"/>
        <item x="284"/>
        <item x="138"/>
        <item x="367"/>
        <item x="365"/>
        <item x="115"/>
        <item x="145"/>
        <item x="295"/>
        <item x="290"/>
        <item x="332"/>
        <item x="207"/>
        <item x="82"/>
        <item x="63"/>
        <item x="4"/>
        <item x="234"/>
        <item x="439"/>
        <item x="306"/>
        <item x="293"/>
        <item x="353"/>
        <item x="275"/>
        <item x="432"/>
        <item x="357"/>
        <item x="198"/>
        <item x="383"/>
        <item x="468"/>
        <item x="116"/>
        <item x="97"/>
        <item x="235"/>
        <item x="85"/>
        <item x="241"/>
        <item x="186"/>
        <item x="251"/>
        <item x="458"/>
        <item x="40"/>
        <item x="300"/>
        <item x="434"/>
        <item x="248"/>
        <item x="415"/>
        <item x="10"/>
        <item x="340"/>
        <item x="13"/>
        <item x="132"/>
        <item x="176"/>
        <item x="436"/>
        <item x="149"/>
        <item x="378"/>
        <item x="182"/>
        <item x="146"/>
        <item x="344"/>
        <item x="390"/>
        <item x="347"/>
        <item x="277"/>
        <item x="257"/>
        <item x="309"/>
        <item x="68"/>
        <item x="451"/>
        <item x="402"/>
        <item x="35"/>
        <item x="220"/>
        <item x="430"/>
        <item x="197"/>
        <item x="371"/>
        <item x="259"/>
        <item x="0"/>
        <item x="154"/>
        <item x="58"/>
        <item x="242"/>
        <item x="240"/>
        <item x="238"/>
        <item x="285"/>
        <item x="298"/>
        <item x="140"/>
        <item x="83"/>
        <item x="411"/>
        <item x="396"/>
        <item x="37"/>
        <item x="70"/>
        <item x="32"/>
        <item x="410"/>
        <item x="317"/>
        <item x="361"/>
        <item x="368"/>
        <item x="225"/>
        <item x="334"/>
        <item x="431"/>
        <item x="23"/>
        <item x="389"/>
        <item x="408"/>
        <item x="101"/>
        <item x="45"/>
        <item x="8"/>
        <item x="43"/>
        <item x="163"/>
        <item x="93"/>
        <item x="65"/>
        <item x="104"/>
        <item x="422"/>
        <item x="105"/>
        <item x="122"/>
        <item x="158"/>
        <item x="304"/>
        <item x="156"/>
        <item x="391"/>
        <item x="274"/>
        <item x="264"/>
        <item x="445"/>
        <item x="413"/>
        <item x="269"/>
        <item x="301"/>
        <item x="120"/>
        <item x="374"/>
        <item x="459"/>
        <item x="244"/>
        <item x="136"/>
        <item x="75"/>
        <item x="359"/>
        <item x="409"/>
        <item x="25"/>
        <item x="160"/>
        <item x="27"/>
        <item x="289"/>
        <item x="448"/>
        <item x="106"/>
        <item x="223"/>
        <item x="20"/>
        <item x="291"/>
        <item x="425"/>
        <item x="316"/>
        <item x="328"/>
        <item x="444"/>
        <item x="327"/>
        <item x="148"/>
        <item x="296"/>
        <item x="466"/>
        <item x="450"/>
        <item x="418"/>
        <item x="33"/>
        <item x="452"/>
        <item x="178"/>
        <item x="103"/>
        <item x="333"/>
        <item x="250"/>
        <item x="213"/>
        <item x="346"/>
        <item x="393"/>
        <item x="150"/>
        <item x="39"/>
        <item x="74"/>
        <item x="427"/>
        <item x="181"/>
        <item x="215"/>
        <item x="356"/>
        <item x="326"/>
        <item x="100"/>
        <item x="191"/>
        <item x="233"/>
        <item x="168"/>
        <item x="201"/>
        <item x="142"/>
        <item x="193"/>
        <item x="463"/>
        <item x="400"/>
        <item x="171"/>
        <item x="1"/>
        <item x="90"/>
        <item x="288"/>
        <item x="268"/>
        <item x="49"/>
        <item x="435"/>
        <item x="46"/>
        <item x="200"/>
        <item x="348"/>
        <item x="41"/>
        <item x="61"/>
        <item x="224"/>
        <item x="401"/>
        <item x="48"/>
        <item x="153"/>
        <item x="297"/>
        <item x="388"/>
        <item x="117"/>
        <item x="299"/>
        <item x="386"/>
        <item x="337"/>
        <item x="219"/>
        <item x="131"/>
        <item x="55"/>
        <item x="350"/>
        <item x="71"/>
        <item x="77"/>
        <item x="456"/>
        <item x="127"/>
        <item x="99"/>
        <item x="364"/>
        <item x="26"/>
        <item x="111"/>
        <item x="404"/>
        <item x="16"/>
        <item x="134"/>
        <item x="129"/>
        <item x="352"/>
        <item x="6"/>
        <item x="30"/>
        <item x="461"/>
        <item x="312"/>
        <item x="260"/>
        <item x="11"/>
        <item x="107"/>
        <item x="329"/>
        <item x="267"/>
        <item x="195"/>
        <item x="173"/>
        <item x="190"/>
        <item x="96"/>
        <item x="51"/>
        <item x="313"/>
        <item x="449"/>
        <item x="188"/>
        <item x="446"/>
        <item x="124"/>
        <item x="54"/>
        <item x="169"/>
        <item x="237"/>
        <item x="471"/>
        <item x="331"/>
        <item x="341"/>
        <item x="330"/>
        <item x="125"/>
        <item x="397"/>
        <item x="266"/>
        <item x="398"/>
        <item x="247"/>
        <item x="12"/>
        <item x="3"/>
        <item x="98"/>
        <item x="254"/>
        <item x="339"/>
        <item x="303"/>
        <item x="308"/>
        <item x="29"/>
        <item x="265"/>
        <item x="249"/>
        <item x="437"/>
        <item x="81"/>
        <item x="372"/>
        <item x="231"/>
        <item x="272"/>
        <item x="358"/>
        <item x="53"/>
        <item x="221"/>
        <item x="465"/>
        <item x="164"/>
        <item x="69"/>
        <item x="416"/>
        <item x="57"/>
        <item x="87"/>
        <item x="143"/>
        <item x="399"/>
        <item x="453"/>
        <item x="384"/>
        <item x="429"/>
        <item x="80"/>
        <item x="60"/>
        <item x="280"/>
        <item x="217"/>
        <item x="19"/>
        <item x="407"/>
        <item x="375"/>
        <item x="270"/>
        <item x="323"/>
        <item x="9"/>
        <item x="110"/>
        <item x="338"/>
        <item x="56"/>
        <item x="42"/>
        <item x="455"/>
        <item x="362"/>
        <item x="88"/>
        <item x="230"/>
        <item x="22"/>
        <item x="320"/>
        <item x="227"/>
        <item x="342"/>
        <item x="263"/>
        <item x="36"/>
        <item x="310"/>
        <item x="114"/>
        <item x="243"/>
        <item x="462"/>
        <item x="205"/>
        <item x="113"/>
        <item x="216"/>
        <item x="467"/>
        <item x="442"/>
        <item x="194"/>
        <item x="18"/>
        <item x="31"/>
        <item x="192"/>
        <item x="218"/>
        <item x="121"/>
        <item x="373"/>
        <item x="92"/>
        <item x="315"/>
        <item x="94"/>
        <item x="84"/>
        <item x="151"/>
        <item x="426"/>
        <item x="423"/>
        <item x="405"/>
        <item x="210"/>
        <item x="379"/>
        <item x="253"/>
        <item x="345"/>
        <item x="314"/>
        <item x="232"/>
        <item x="59"/>
        <item x="324"/>
        <item x="17"/>
        <item x="167"/>
        <item x="447"/>
        <item x="325"/>
        <item x="202"/>
        <item x="343"/>
        <item x="282"/>
        <item x="139"/>
        <item x="14"/>
        <item x="395"/>
        <item t="default"/>
      </items>
    </pivotField>
    <pivotField compact="0" numFmtId="1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compact="0" showAll="0">
      <items count="4">
        <item m="1" x="2"/>
        <item x="0"/>
        <item x="1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compact="0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compact="0" showAll="0">
      <items count="41">
        <item x="7"/>
        <item x="36"/>
        <item x="38"/>
        <item x="6"/>
        <item x="9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4"/>
        <item x="28"/>
        <item x="1"/>
        <item x="30"/>
        <item x="24"/>
        <item x="8"/>
        <item x="23"/>
        <item x="14"/>
        <item x="27"/>
        <item x="5"/>
        <item x="35"/>
        <item x="26"/>
        <item t="default"/>
      </items>
    </pivotField>
    <pivotField compact="0" showAll="0">
      <items count="7">
        <item x="3"/>
        <item x="0"/>
        <item x="1"/>
        <item x="5"/>
        <item x="2"/>
        <item x="4"/>
        <item t="default"/>
      </items>
    </pivotField>
    <pivotField compact="0" showAll="0">
      <items count="7">
        <item x="4"/>
        <item x="3"/>
        <item x="2"/>
        <item x="5"/>
        <item x="1"/>
        <item x="0"/>
        <item t="default"/>
      </items>
    </pivotField>
    <pivotField axis="axisCol" compact="0" showAll="0">
      <items count="17">
        <item x="8"/>
        <item x="5"/>
        <item x="0"/>
        <item x="14"/>
        <item x="6"/>
        <item x="9"/>
        <item x="3"/>
        <item x="10"/>
        <item x="2"/>
        <item x="1"/>
        <item x="11"/>
        <item x="4"/>
        <item x="12"/>
        <item x="13"/>
        <item x="7"/>
        <item x="15"/>
        <item t="default"/>
      </items>
    </pivotField>
    <pivotField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showAll="0">
      <items count="631">
        <item x="139"/>
        <item x="621"/>
        <item x="333"/>
        <item x="415"/>
        <item x="340"/>
        <item x="394"/>
        <item x="441"/>
        <item x="293"/>
        <item x="491"/>
        <item x="587"/>
        <item x="207"/>
        <item x="14"/>
        <item x="478"/>
        <item x="58"/>
        <item x="261"/>
        <item x="59"/>
        <item x="325"/>
        <item x="103"/>
        <item x="170"/>
        <item x="70"/>
        <item x="497"/>
        <item x="416"/>
        <item x="312"/>
        <item x="319"/>
        <item x="489"/>
        <item x="332"/>
        <item x="355"/>
        <item x="516"/>
        <item x="185"/>
        <item x="545"/>
        <item x="221"/>
        <item x="259"/>
        <item x="450"/>
        <item x="521"/>
        <item x="576"/>
        <item x="270"/>
        <item x="22"/>
        <item x="158"/>
        <item x="131"/>
        <item x="154"/>
        <item x="290"/>
        <item x="76"/>
        <item x="113"/>
        <item x="569"/>
        <item x="187"/>
        <item x="618"/>
        <item x="588"/>
        <item x="227"/>
        <item x="552"/>
        <item x="551"/>
        <item x="97"/>
        <item x="460"/>
        <item x="214"/>
        <item x="352"/>
        <item x="299"/>
        <item x="57"/>
        <item x="288"/>
        <item x="50"/>
        <item x="147"/>
        <item x="437"/>
        <item x="346"/>
        <item x="180"/>
        <item x="358"/>
        <item x="142"/>
        <item x="493"/>
        <item x="557"/>
        <item x="465"/>
        <item x="604"/>
        <item x="360"/>
        <item x="592"/>
        <item x="10"/>
        <item x="277"/>
        <item x="18"/>
        <item x="338"/>
        <item x="541"/>
        <item x="292"/>
        <item x="454"/>
        <item x="25"/>
        <item x="209"/>
        <item x="93"/>
        <item x="66"/>
        <item x="77"/>
        <item x="554"/>
        <item x="536"/>
        <item x="306"/>
        <item x="182"/>
        <item x="408"/>
        <item x="109"/>
        <item x="75"/>
        <item x="169"/>
        <item x="513"/>
        <item x="471"/>
        <item x="579"/>
        <item x="607"/>
        <item x="624"/>
        <item x="34"/>
        <item x="172"/>
        <item x="627"/>
        <item x="401"/>
        <item x="126"/>
        <item x="391"/>
        <item x="124"/>
        <item x="484"/>
        <item x="523"/>
        <item x="377"/>
        <item x="24"/>
        <item x="87"/>
        <item x="82"/>
        <item x="324"/>
        <item x="510"/>
        <item x="367"/>
        <item x="458"/>
        <item x="12"/>
        <item x="136"/>
        <item x="9"/>
        <item x="294"/>
        <item x="157"/>
        <item x="464"/>
        <item x="210"/>
        <item x="315"/>
        <item x="467"/>
        <item x="85"/>
        <item x="161"/>
        <item x="260"/>
        <item x="348"/>
        <item x="256"/>
        <item x="573"/>
        <item x="220"/>
        <item x="617"/>
        <item x="594"/>
        <item x="326"/>
        <item x="74"/>
        <item x="171"/>
        <item x="589"/>
        <item x="490"/>
        <item x="518"/>
        <item x="463"/>
        <item x="78"/>
        <item x="519"/>
        <item x="564"/>
        <item x="44"/>
        <item x="127"/>
        <item x="125"/>
        <item x="110"/>
        <item x="568"/>
        <item x="504"/>
        <item x="459"/>
        <item x="451"/>
        <item x="397"/>
        <item x="30"/>
        <item x="230"/>
        <item x="61"/>
        <item x="365"/>
        <item x="222"/>
        <item x="206"/>
        <item x="69"/>
        <item x="250"/>
        <item x="36"/>
        <item x="60"/>
        <item x="105"/>
        <item x="511"/>
        <item x="101"/>
        <item x="86"/>
        <item x="234"/>
        <item x="0"/>
        <item x="37"/>
        <item x="393"/>
        <item x="436"/>
        <item x="403"/>
        <item x="289"/>
        <item x="476"/>
        <item x="237"/>
        <item x="585"/>
        <item x="177"/>
        <item x="300"/>
        <item x="267"/>
        <item x="559"/>
        <item x="323"/>
        <item x="475"/>
        <item x="477"/>
        <item x="533"/>
        <item x="166"/>
        <item x="145"/>
        <item x="295"/>
        <item x="15"/>
        <item x="527"/>
        <item x="445"/>
        <item x="582"/>
        <item x="539"/>
        <item x="349"/>
        <item x="119"/>
        <item x="279"/>
        <item x="246"/>
        <item x="384"/>
        <item x="239"/>
        <item x="370"/>
        <item x="629"/>
        <item x="481"/>
        <item x="146"/>
        <item x="19"/>
        <item x="64"/>
        <item x="264"/>
        <item x="507"/>
        <item x="571"/>
        <item x="345"/>
        <item x="99"/>
        <item x="53"/>
        <item x="362"/>
        <item x="514"/>
        <item x="581"/>
        <item x="71"/>
        <item x="309"/>
        <item x="304"/>
        <item x="542"/>
        <item x="242"/>
        <item x="457"/>
        <item x="603"/>
        <item x="23"/>
        <item x="255"/>
        <item x="508"/>
        <item x="104"/>
        <item x="190"/>
        <item x="563"/>
        <item x="387"/>
        <item x="251"/>
        <item x="151"/>
        <item x="520"/>
        <item x="593"/>
        <item x="368"/>
        <item x="56"/>
        <item x="409"/>
        <item x="275"/>
        <item x="173"/>
        <item x="102"/>
        <item x="388"/>
        <item x="534"/>
        <item x="565"/>
        <item x="425"/>
        <item x="52"/>
        <item x="192"/>
        <item x="407"/>
        <item x="117"/>
        <item x="396"/>
        <item x="424"/>
        <item x="72"/>
        <item x="5"/>
        <item x="598"/>
        <item x="430"/>
        <item x="421"/>
        <item x="283"/>
        <item x="329"/>
        <item x="386"/>
        <item x="111"/>
        <item x="224"/>
        <item x="132"/>
        <item x="20"/>
        <item x="402"/>
        <item x="284"/>
        <item x="33"/>
        <item x="339"/>
        <item x="566"/>
        <item x="314"/>
        <item x="271"/>
        <item x="591"/>
        <item x="216"/>
        <item x="186"/>
        <item x="205"/>
        <item x="96"/>
        <item x="404"/>
        <item x="167"/>
        <item x="140"/>
        <item x="68"/>
        <item x="472"/>
        <item x="509"/>
        <item x="217"/>
        <item x="115"/>
        <item x="247"/>
        <item x="597"/>
        <item x="89"/>
        <item x="328"/>
        <item x="249"/>
        <item x="135"/>
        <item x="273"/>
        <item x="427"/>
        <item x="83"/>
        <item x="398"/>
        <item x="121"/>
        <item x="625"/>
        <item x="418"/>
        <item x="615"/>
        <item x="189"/>
        <item x="351"/>
        <item x="549"/>
        <item x="297"/>
        <item x="51"/>
        <item x="252"/>
        <item x="372"/>
        <item x="432"/>
        <item x="499"/>
        <item x="55"/>
        <item x="204"/>
        <item x="456"/>
        <item x="130"/>
        <item x="63"/>
        <item x="233"/>
        <item x="178"/>
        <item x="305"/>
        <item x="447"/>
        <item x="280"/>
        <item x="298"/>
        <item x="183"/>
        <item x="363"/>
        <item x="389"/>
        <item x="561"/>
        <item x="572"/>
        <item x="522"/>
        <item x="547"/>
        <item x="310"/>
        <item x="195"/>
        <item x="165"/>
        <item x="67"/>
        <item x="453"/>
        <item x="8"/>
        <item x="175"/>
        <item x="556"/>
        <item x="446"/>
        <item x="580"/>
        <item x="191"/>
        <item x="168"/>
        <item x="383"/>
        <item x="258"/>
        <item x="211"/>
        <item x="188"/>
        <item x="79"/>
        <item x="610"/>
        <item x="544"/>
        <item x="6"/>
        <item x="272"/>
        <item x="540"/>
        <item x="431"/>
        <item x="184"/>
        <item x="494"/>
        <item x="254"/>
        <item x="88"/>
        <item x="118"/>
        <item x="531"/>
        <item x="163"/>
        <item x="498"/>
        <item x="318"/>
        <item x="395"/>
        <item x="266"/>
        <item x="160"/>
        <item x="40"/>
        <item x="496"/>
        <item x="311"/>
        <item x="495"/>
        <item x="590"/>
        <item x="380"/>
        <item x="41"/>
        <item x="223"/>
        <item x="226"/>
        <item x="302"/>
        <item x="98"/>
        <item x="341"/>
        <item x="73"/>
        <item x="479"/>
        <item x="90"/>
        <item x="45"/>
        <item x="47"/>
        <item x="144"/>
        <item x="257"/>
        <item x="623"/>
        <item x="438"/>
        <item x="562"/>
        <item x="248"/>
        <item x="483"/>
        <item x="577"/>
        <item x="114"/>
        <item x="21"/>
        <item x="399"/>
        <item x="198"/>
        <item x="376"/>
        <item x="575"/>
        <item x="506"/>
        <item x="307"/>
        <item x="574"/>
        <item x="382"/>
        <item x="357"/>
        <item x="317"/>
        <item x="129"/>
        <item x="517"/>
        <item x="112"/>
        <item x="548"/>
        <item x="321"/>
        <item x="620"/>
        <item x="622"/>
        <item x="80"/>
        <item x="322"/>
        <item x="543"/>
        <item x="48"/>
        <item x="462"/>
        <item x="612"/>
        <item x="379"/>
        <item x="276"/>
        <item x="194"/>
        <item x="611"/>
        <item x="466"/>
        <item x="203"/>
        <item x="600"/>
        <item x="503"/>
        <item x="120"/>
        <item x="108"/>
        <item x="535"/>
        <item x="413"/>
        <item x="84"/>
        <item x="550"/>
        <item x="215"/>
        <item x="378"/>
        <item x="155"/>
        <item x="32"/>
        <item x="433"/>
        <item x="502"/>
        <item x="281"/>
        <item x="123"/>
        <item x="619"/>
        <item x="156"/>
        <item x="538"/>
        <item x="614"/>
        <item x="353"/>
        <item x="331"/>
        <item x="262"/>
        <item x="567"/>
        <item x="529"/>
        <item x="344"/>
        <item x="2"/>
        <item x="29"/>
        <item x="435"/>
        <item x="287"/>
        <item x="54"/>
        <item x="420"/>
        <item x="17"/>
        <item x="282"/>
        <item x="347"/>
        <item x="213"/>
        <item x="343"/>
        <item x="28"/>
        <item x="560"/>
        <item x="512"/>
        <item x="202"/>
        <item x="371"/>
        <item x="327"/>
        <item x="107"/>
        <item x="448"/>
        <item x="238"/>
        <item x="482"/>
        <item x="231"/>
        <item x="422"/>
        <item x="133"/>
        <item x="530"/>
        <item x="268"/>
        <item x="426"/>
        <item x="200"/>
        <item x="392"/>
        <item x="91"/>
        <item x="241"/>
        <item x="286"/>
        <item x="263"/>
        <item x="334"/>
        <item x="412"/>
        <item x="440"/>
        <item x="128"/>
        <item x="570"/>
        <item x="3"/>
        <item x="583"/>
        <item x="149"/>
        <item x="65"/>
        <item x="626"/>
        <item x="245"/>
        <item x="31"/>
        <item x="375"/>
        <item x="197"/>
        <item x="303"/>
        <item x="584"/>
        <item x="361"/>
        <item x="162"/>
        <item x="452"/>
        <item x="428"/>
        <item x="406"/>
        <item x="485"/>
        <item x="553"/>
        <item x="316"/>
        <item x="330"/>
        <item x="488"/>
        <item x="455"/>
        <item x="285"/>
        <item x="278"/>
        <item x="27"/>
        <item x="366"/>
        <item x="94"/>
        <item x="11"/>
        <item x="244"/>
        <item x="225"/>
        <item x="605"/>
        <item x="181"/>
        <item x="578"/>
        <item x="336"/>
        <item x="492"/>
        <item x="122"/>
        <item x="374"/>
        <item x="137"/>
        <item x="141"/>
        <item x="532"/>
        <item x="62"/>
        <item x="100"/>
        <item x="419"/>
        <item x="411"/>
        <item x="505"/>
        <item x="236"/>
        <item x="434"/>
        <item x="106"/>
        <item x="500"/>
        <item x="628"/>
        <item x="159"/>
        <item x="320"/>
        <item x="473"/>
        <item x="586"/>
        <item x="196"/>
        <item x="501"/>
        <item x="335"/>
        <item x="232"/>
        <item x="390"/>
        <item x="474"/>
        <item x="265"/>
        <item x="486"/>
        <item x="49"/>
        <item x="526"/>
        <item x="537"/>
        <item x="410"/>
        <item x="515"/>
        <item x="525"/>
        <item x="439"/>
        <item x="228"/>
        <item x="313"/>
        <item x="449"/>
        <item x="555"/>
        <item x="429"/>
        <item x="46"/>
        <item x="524"/>
        <item x="219"/>
        <item x="253"/>
        <item x="308"/>
        <item x="212"/>
        <item x="42"/>
        <item x="468"/>
        <item x="364"/>
        <item x="369"/>
        <item x="174"/>
        <item x="480"/>
        <item x="164"/>
        <item x="26"/>
        <item x="148"/>
        <item x="143"/>
        <item x="35"/>
        <item x="528"/>
        <item x="595"/>
        <item x="134"/>
        <item x="442"/>
        <item x="342"/>
        <item x="609"/>
        <item x="138"/>
        <item x="193"/>
        <item x="240"/>
        <item x="602"/>
        <item x="176"/>
        <item x="613"/>
        <item x="337"/>
        <item x="243"/>
        <item x="606"/>
        <item x="400"/>
        <item x="218"/>
        <item x="616"/>
        <item x="487"/>
        <item x="417"/>
        <item x="381"/>
        <item x="208"/>
        <item x="601"/>
        <item x="150"/>
        <item x="7"/>
        <item x="423"/>
        <item x="116"/>
        <item x="92"/>
        <item x="301"/>
        <item x="39"/>
        <item x="558"/>
        <item x="359"/>
        <item x="269"/>
        <item x="16"/>
        <item x="461"/>
        <item x="199"/>
        <item x="229"/>
        <item x="470"/>
        <item x="153"/>
        <item x="38"/>
        <item x="350"/>
        <item x="235"/>
        <item x="296"/>
        <item x="444"/>
        <item x="4"/>
        <item x="179"/>
        <item x="152"/>
        <item x="13"/>
        <item x="201"/>
        <item x="373"/>
        <item x="274"/>
        <item x="291"/>
        <item x="385"/>
        <item x="95"/>
        <item x="608"/>
        <item x="1"/>
        <item x="405"/>
        <item x="469"/>
        <item x="356"/>
        <item x="443"/>
        <item x="546"/>
        <item x="81"/>
        <item x="43"/>
        <item x="599"/>
        <item x="596"/>
        <item x="354"/>
        <item x="414"/>
        <item t="default"/>
      </items>
    </pivotField>
    <pivotField compact="0" numFmtId="44" showAll="0">
      <items count="633">
        <item x="493"/>
        <item x="112"/>
        <item x="180"/>
        <item x="298"/>
        <item x="172"/>
        <item x="286"/>
        <item x="106"/>
        <item x="247"/>
        <item x="389"/>
        <item x="83"/>
        <item x="572"/>
        <item x="96"/>
        <item x="7"/>
        <item x="341"/>
        <item x="177"/>
        <item x="461"/>
        <item x="127"/>
        <item x="582"/>
        <item x="481"/>
        <item x="54"/>
        <item x="311"/>
        <item x="631"/>
        <item x="230"/>
        <item x="354"/>
        <item x="89"/>
        <item x="119"/>
        <item x="532"/>
        <item x="586"/>
        <item x="245"/>
        <item x="139"/>
        <item x="517"/>
        <item x="291"/>
        <item x="243"/>
        <item x="51"/>
        <item x="116"/>
        <item x="347"/>
        <item x="323"/>
        <item x="418"/>
        <item x="575"/>
        <item x="108"/>
        <item x="551"/>
        <item x="305"/>
        <item x="443"/>
        <item x="211"/>
        <item x="526"/>
        <item x="282"/>
        <item x="263"/>
        <item x="330"/>
        <item x="344"/>
        <item x="103"/>
        <item x="609"/>
        <item x="488"/>
        <item x="463"/>
        <item x="531"/>
        <item x="26"/>
        <item x="308"/>
        <item x="436"/>
        <item x="163"/>
        <item x="206"/>
        <item x="570"/>
        <item x="460"/>
        <item x="113"/>
        <item x="608"/>
        <item x="221"/>
        <item x="217"/>
        <item x="318"/>
        <item x="128"/>
        <item x="239"/>
        <item x="579"/>
        <item x="599"/>
        <item x="621"/>
        <item x="82"/>
        <item x="458"/>
        <item x="577"/>
        <item x="124"/>
        <item x="35"/>
        <item x="174"/>
        <item x="434"/>
        <item x="490"/>
        <item x="447"/>
        <item x="233"/>
        <item x="232"/>
        <item x="53"/>
        <item x="28"/>
        <item x="293"/>
        <item x="476"/>
        <item x="178"/>
        <item x="511"/>
        <item x="627"/>
        <item x="508"/>
        <item x="391"/>
        <item x="215"/>
        <item x="304"/>
        <item x="270"/>
        <item x="222"/>
        <item x="466"/>
        <item x="445"/>
        <item x="296"/>
        <item x="194"/>
        <item x="620"/>
        <item x="369"/>
        <item x="485"/>
        <item x="3"/>
        <item x="71"/>
        <item x="464"/>
        <item x="145"/>
        <item x="0"/>
        <item x="274"/>
        <item x="486"/>
        <item x="373"/>
        <item x="316"/>
        <item x="109"/>
        <item x="491"/>
        <item x="597"/>
        <item x="160"/>
        <item x="137"/>
        <item x="133"/>
        <item x="350"/>
        <item x="456"/>
        <item x="326"/>
        <item x="101"/>
        <item x="39"/>
        <item x="258"/>
        <item x="5"/>
        <item x="254"/>
        <item x="594"/>
        <item x="386"/>
        <item x="428"/>
        <item x="271"/>
        <item x="519"/>
        <item x="166"/>
        <item x="12"/>
        <item x="297"/>
        <item x="46"/>
        <item x="118"/>
        <item x="169"/>
        <item x="57"/>
        <item x="483"/>
        <item x="439"/>
        <item x="179"/>
        <item x="495"/>
        <item x="114"/>
        <item x="78"/>
        <item x="148"/>
        <item x="380"/>
        <item x="315"/>
        <item x="441"/>
        <item x="307"/>
        <item x="328"/>
        <item x="432"/>
        <item x="277"/>
        <item x="240"/>
        <item x="219"/>
        <item x="214"/>
        <item x="580"/>
        <item x="616"/>
        <item x="218"/>
        <item x="231"/>
        <item x="505"/>
        <item x="453"/>
        <item x="525"/>
        <item x="309"/>
        <item x="321"/>
        <item x="604"/>
        <item x="93"/>
        <item x="129"/>
        <item x="130"/>
        <item x="602"/>
        <item x="331"/>
        <item x="470"/>
        <item x="378"/>
        <item x="155"/>
        <item x="546"/>
        <item x="573"/>
        <item x="561"/>
        <item x="191"/>
        <item x="544"/>
        <item x="250"/>
        <item x="494"/>
        <item x="410"/>
        <item x="312"/>
        <item x="477"/>
        <item x="500"/>
        <item x="408"/>
        <item x="536"/>
        <item x="334"/>
        <item x="251"/>
        <item x="43"/>
        <item x="433"/>
        <item x="540"/>
        <item x="370"/>
        <item x="201"/>
        <item x="68"/>
        <item x="30"/>
        <item x="64"/>
        <item x="403"/>
        <item x="141"/>
        <item x="419"/>
        <item x="338"/>
        <item x="498"/>
        <item x="523"/>
        <item x="197"/>
        <item x="257"/>
        <item x="290"/>
        <item x="88"/>
        <item x="565"/>
        <item x="268"/>
        <item x="91"/>
        <item x="52"/>
        <item x="361"/>
        <item x="98"/>
        <item x="110"/>
        <item x="479"/>
        <item x="285"/>
        <item x="131"/>
        <item x="444"/>
        <item x="144"/>
        <item x="262"/>
        <item x="6"/>
        <item x="564"/>
        <item x="220"/>
        <item x="202"/>
        <item x="299"/>
        <item x="186"/>
        <item x="314"/>
        <item x="430"/>
        <item x="87"/>
        <item x="62"/>
        <item x="474"/>
        <item x="364"/>
        <item x="437"/>
        <item x="538"/>
        <item x="417"/>
        <item x="623"/>
        <item x="339"/>
        <item x="510"/>
        <item x="283"/>
        <item x="337"/>
        <item x="446"/>
        <item x="515"/>
        <item x="584"/>
        <item x="13"/>
        <item x="10"/>
        <item x="33"/>
        <item x="336"/>
        <item x="472"/>
        <item x="252"/>
        <item x="516"/>
        <item x="301"/>
        <item x="395"/>
        <item x="325"/>
        <item x="156"/>
        <item x="355"/>
        <item x="499"/>
        <item x="340"/>
        <item x="4"/>
        <item x="469"/>
        <item x="411"/>
        <item x="591"/>
        <item x="359"/>
        <item x="255"/>
        <item x="571"/>
        <item x="563"/>
        <item x="67"/>
        <item x="44"/>
        <item x="533"/>
        <item x="147"/>
        <item x="605"/>
        <item x="475"/>
        <item x="90"/>
        <item x="412"/>
        <item x="576"/>
        <item x="238"/>
        <item x="134"/>
        <item x="549"/>
        <item x="558"/>
        <item x="36"/>
        <item x="457"/>
        <item x="611"/>
        <item x="259"/>
        <item x="73"/>
        <item x="585"/>
        <item x="269"/>
        <item x="372"/>
        <item x="617"/>
        <item x="535"/>
        <item x="553"/>
        <item x="22"/>
        <item x="185"/>
        <item x="462"/>
        <item x="568"/>
        <item x="522"/>
        <item x="578"/>
        <item x="595"/>
        <item x="29"/>
        <item x="15"/>
        <item x="37"/>
        <item x="150"/>
        <item x="182"/>
        <item x="358"/>
        <item x="502"/>
        <item x="435"/>
        <item x="14"/>
        <item x="598"/>
        <item x="471"/>
        <item x="294"/>
        <item x="590"/>
        <item x="183"/>
        <item x="192"/>
        <item x="288"/>
        <item x="253"/>
        <item x="120"/>
        <item x="170"/>
        <item x="560"/>
        <item x="248"/>
        <item x="92"/>
        <item x="513"/>
        <item x="342"/>
        <item x="628"/>
        <item x="630"/>
        <item x="161"/>
        <item x="454"/>
        <item x="158"/>
        <item x="619"/>
        <item x="143"/>
        <item x="75"/>
        <item x="45"/>
        <item x="200"/>
        <item x="381"/>
        <item x="362"/>
        <item x="473"/>
        <item x="379"/>
        <item x="313"/>
        <item x="171"/>
        <item x="401"/>
        <item x="416"/>
        <item x="55"/>
        <item x="574"/>
        <item x="27"/>
        <item x="559"/>
        <item x="48"/>
        <item x="581"/>
        <item x="438"/>
        <item x="102"/>
        <item x="300"/>
        <item x="38"/>
        <item x="154"/>
        <item x="451"/>
        <item x="319"/>
        <item x="351"/>
        <item x="548"/>
        <item x="69"/>
        <item x="557"/>
        <item x="203"/>
        <item x="16"/>
        <item x="146"/>
        <item x="303"/>
        <item x="327"/>
        <item x="449"/>
        <item x="492"/>
        <item x="157"/>
        <item x="452"/>
        <item x="509"/>
        <item x="168"/>
        <item x="11"/>
        <item x="70"/>
        <item x="74"/>
        <item x="241"/>
        <item x="164"/>
        <item x="153"/>
        <item x="618"/>
        <item x="518"/>
        <item x="506"/>
        <item x="348"/>
        <item x="228"/>
        <item x="367"/>
        <item x="429"/>
        <item x="530"/>
        <item x="132"/>
        <item x="384"/>
        <item x="612"/>
        <item x="176"/>
        <item x="543"/>
        <item x="450"/>
        <item x="24"/>
        <item x="125"/>
        <item x="360"/>
        <item x="279"/>
        <item x="352"/>
        <item x="404"/>
        <item x="440"/>
        <item x="349"/>
        <item x="600"/>
        <item x="193"/>
        <item x="346"/>
        <item x="320"/>
        <item x="375"/>
        <item x="190"/>
        <item x="504"/>
        <item x="151"/>
        <item x="487"/>
        <item x="94"/>
        <item x="324"/>
        <item x="244"/>
        <item x="19"/>
        <item x="592"/>
        <item x="204"/>
        <item x="317"/>
        <item x="284"/>
        <item x="388"/>
        <item x="402"/>
        <item x="624"/>
        <item x="184"/>
        <item x="162"/>
        <item x="40"/>
        <item x="229"/>
        <item x="272"/>
        <item x="589"/>
        <item x="363"/>
        <item x="207"/>
        <item x="425"/>
        <item x="550"/>
        <item x="478"/>
        <item x="365"/>
        <item x="59"/>
        <item x="524"/>
        <item x="520"/>
        <item x="126"/>
        <item x="287"/>
        <item x="18"/>
        <item x="629"/>
        <item x="189"/>
        <item x="225"/>
        <item x="66"/>
        <item x="332"/>
        <item x="273"/>
        <item x="527"/>
        <item x="1"/>
        <item x="95"/>
        <item x="216"/>
        <item x="135"/>
        <item x="224"/>
        <item x="210"/>
        <item x="280"/>
        <item x="152"/>
        <item x="610"/>
        <item x="420"/>
        <item x="281"/>
        <item x="266"/>
        <item x="77"/>
        <item x="377"/>
        <item x="400"/>
        <item x="260"/>
        <item x="79"/>
        <item x="405"/>
        <item x="392"/>
        <item x="181"/>
        <item x="503"/>
        <item x="497"/>
        <item x="596"/>
        <item x="393"/>
        <item x="107"/>
        <item x="539"/>
        <item x="382"/>
        <item x="292"/>
        <item x="198"/>
        <item x="603"/>
        <item x="383"/>
        <item x="455"/>
        <item x="534"/>
        <item x="427"/>
        <item x="56"/>
        <item x="105"/>
        <item x="385"/>
        <item x="554"/>
        <item x="387"/>
        <item x="212"/>
        <item x="567"/>
        <item x="552"/>
        <item x="468"/>
        <item x="278"/>
        <item x="399"/>
        <item x="60"/>
        <item x="357"/>
        <item x="205"/>
        <item x="81"/>
        <item x="333"/>
        <item x="85"/>
        <item x="111"/>
        <item x="555"/>
        <item x="562"/>
        <item x="413"/>
        <item x="223"/>
        <item x="99"/>
        <item x="431"/>
        <item x="397"/>
        <item x="356"/>
        <item x="138"/>
        <item x="209"/>
        <item x="421"/>
        <item x="448"/>
        <item x="41"/>
        <item x="265"/>
        <item x="528"/>
        <item x="606"/>
        <item x="249"/>
        <item x="371"/>
        <item x="480"/>
        <item x="159"/>
        <item x="58"/>
        <item x="17"/>
        <item x="242"/>
        <item x="97"/>
        <item x="376"/>
        <item x="343"/>
        <item x="501"/>
        <item x="587"/>
        <item x="353"/>
        <item x="566"/>
        <item x="63"/>
        <item x="165"/>
        <item x="235"/>
        <item x="227"/>
        <item x="31"/>
        <item x="208"/>
        <item x="593"/>
        <item x="100"/>
        <item x="414"/>
        <item x="541"/>
        <item x="142"/>
        <item x="187"/>
        <item x="173"/>
        <item x="459"/>
        <item x="302"/>
        <item x="267"/>
        <item x="426"/>
        <item x="289"/>
        <item x="23"/>
        <item x="368"/>
        <item x="521"/>
        <item x="482"/>
        <item x="415"/>
        <item x="335"/>
        <item x="537"/>
        <item x="496"/>
        <item x="366"/>
        <item x="8"/>
        <item x="394"/>
        <item x="149"/>
        <item x="121"/>
        <item x="547"/>
        <item x="322"/>
        <item x="65"/>
        <item x="49"/>
        <item x="545"/>
        <item x="484"/>
        <item x="234"/>
        <item x="398"/>
        <item x="422"/>
        <item x="615"/>
        <item x="199"/>
        <item x="613"/>
        <item x="21"/>
        <item x="9"/>
        <item x="507"/>
        <item x="188"/>
        <item x="465"/>
        <item x="601"/>
        <item x="276"/>
        <item x="236"/>
        <item x="622"/>
        <item x="626"/>
        <item x="625"/>
        <item x="246"/>
        <item x="226"/>
        <item x="406"/>
        <item x="442"/>
        <item x="295"/>
        <item x="123"/>
        <item x="237"/>
        <item x="86"/>
        <item x="588"/>
        <item x="583"/>
        <item x="542"/>
        <item x="329"/>
        <item x="72"/>
        <item x="195"/>
        <item x="512"/>
        <item x="117"/>
        <item x="76"/>
        <item x="122"/>
        <item x="42"/>
        <item x="396"/>
        <item x="529"/>
        <item x="310"/>
        <item x="104"/>
        <item x="196"/>
        <item x="569"/>
        <item x="467"/>
        <item x="80"/>
        <item x="275"/>
        <item x="136"/>
        <item x="175"/>
        <item x="409"/>
        <item x="614"/>
        <item x="47"/>
        <item x="84"/>
        <item x="514"/>
        <item x="34"/>
        <item x="407"/>
        <item x="556"/>
        <item x="213"/>
        <item x="306"/>
        <item x="50"/>
        <item x="264"/>
        <item x="2"/>
        <item x="32"/>
        <item x="140"/>
        <item x="607"/>
        <item x="489"/>
        <item x="61"/>
        <item x="256"/>
        <item x="261"/>
        <item x="115"/>
        <item x="424"/>
        <item x="167"/>
        <item x="374"/>
        <item x="390"/>
        <item x="423"/>
        <item x="25"/>
        <item x="20"/>
        <item x="345"/>
        <item t="default"/>
      </items>
    </pivotField>
    <pivotField compact="0" numFmtId="44" showAll="0">
      <items count="631">
        <item x="615"/>
        <item x="2"/>
        <item x="58"/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numFmtId="44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numFmtId="184" showAll="0">
      <items count="229">
        <item x="5"/>
        <item x="140"/>
        <item x="10"/>
        <item x="20"/>
        <item x="99"/>
        <item x="19"/>
        <item x="84"/>
        <item x="170"/>
        <item x="212"/>
        <item x="108"/>
        <item x="205"/>
        <item x="113"/>
        <item x="106"/>
        <item x="118"/>
        <item x="109"/>
        <item x="179"/>
        <item x="134"/>
        <item x="71"/>
        <item x="8"/>
        <item x="195"/>
        <item x="76"/>
        <item x="42"/>
        <item x="32"/>
        <item x="16"/>
        <item x="188"/>
        <item x="208"/>
        <item x="174"/>
        <item x="89"/>
        <item x="221"/>
        <item x="107"/>
        <item x="215"/>
        <item x="58"/>
        <item x="216"/>
        <item x="54"/>
        <item x="130"/>
        <item x="114"/>
        <item x="223"/>
        <item x="133"/>
        <item x="121"/>
        <item x="92"/>
        <item x="193"/>
        <item x="163"/>
        <item x="227"/>
        <item x="96"/>
        <item x="201"/>
        <item x="176"/>
        <item x="72"/>
        <item x="143"/>
        <item x="55"/>
        <item x="90"/>
        <item x="68"/>
        <item x="88"/>
        <item x="3"/>
        <item x="93"/>
        <item x="13"/>
        <item x="43"/>
        <item x="171"/>
        <item x="202"/>
        <item x="117"/>
        <item x="164"/>
        <item x="226"/>
        <item x="104"/>
        <item x="200"/>
        <item x="26"/>
        <item x="147"/>
        <item x="24"/>
        <item x="167"/>
        <item x="25"/>
        <item x="168"/>
        <item x="119"/>
        <item x="77"/>
        <item x="142"/>
        <item x="12"/>
        <item x="148"/>
        <item x="73"/>
        <item x="224"/>
        <item x="199"/>
        <item x="74"/>
        <item x="165"/>
        <item x="27"/>
        <item x="4"/>
        <item x="172"/>
        <item x="67"/>
        <item x="52"/>
        <item x="192"/>
        <item x="105"/>
        <item x="86"/>
        <item x="14"/>
        <item x="46"/>
        <item x="95"/>
        <item x="0"/>
        <item x="139"/>
        <item x="60"/>
        <item x="158"/>
        <item x="144"/>
        <item x="85"/>
        <item x="45"/>
        <item x="18"/>
        <item x="173"/>
        <item x="153"/>
        <item x="82"/>
        <item x="213"/>
        <item x="22"/>
        <item x="38"/>
        <item x="110"/>
        <item x="137"/>
        <item x="31"/>
        <item x="49"/>
        <item x="2"/>
        <item x="191"/>
        <item x="112"/>
        <item x="61"/>
        <item x="157"/>
        <item x="29"/>
        <item x="81"/>
        <item x="159"/>
        <item x="23"/>
        <item x="78"/>
        <item x="169"/>
        <item x="56"/>
        <item x="17"/>
        <item x="41"/>
        <item x="180"/>
        <item x="34"/>
        <item x="6"/>
        <item x="135"/>
        <item x="9"/>
        <item x="209"/>
        <item x="102"/>
        <item x="136"/>
        <item x="125"/>
        <item x="69"/>
        <item x="131"/>
        <item x="161"/>
        <item x="87"/>
        <item x="181"/>
        <item x="129"/>
        <item x="75"/>
        <item x="64"/>
        <item x="196"/>
        <item x="156"/>
        <item x="211"/>
        <item x="150"/>
        <item x="21"/>
        <item x="36"/>
        <item x="189"/>
        <item x="225"/>
        <item x="145"/>
        <item x="122"/>
        <item x="155"/>
        <item x="30"/>
        <item x="166"/>
        <item x="120"/>
        <item x="94"/>
        <item x="79"/>
        <item x="111"/>
        <item x="35"/>
        <item x="15"/>
        <item x="50"/>
        <item x="57"/>
        <item x="63"/>
        <item x="37"/>
        <item x="70"/>
        <item x="51"/>
        <item x="197"/>
        <item x="98"/>
        <item x="7"/>
        <item x="124"/>
        <item x="115"/>
        <item x="47"/>
        <item x="138"/>
        <item x="91"/>
        <item x="53"/>
        <item x="44"/>
        <item x="162"/>
        <item x="222"/>
        <item x="219"/>
        <item x="182"/>
        <item x="126"/>
        <item x="123"/>
        <item x="207"/>
        <item x="66"/>
        <item x="154"/>
        <item x="203"/>
        <item x="218"/>
        <item x="97"/>
        <item x="217"/>
        <item x="152"/>
        <item x="204"/>
        <item x="83"/>
        <item x="214"/>
        <item x="127"/>
        <item x="146"/>
        <item x="128"/>
        <item x="1"/>
        <item x="149"/>
        <item x="177"/>
        <item x="183"/>
        <item x="65"/>
        <item x="28"/>
        <item x="103"/>
        <item x="220"/>
        <item x="11"/>
        <item x="116"/>
        <item x="48"/>
        <item x="194"/>
        <item x="62"/>
        <item x="132"/>
        <item x="101"/>
        <item x="187"/>
        <item x="151"/>
        <item x="100"/>
        <item x="141"/>
        <item x="178"/>
        <item x="190"/>
        <item x="80"/>
        <item x="186"/>
        <item x="39"/>
        <item x="210"/>
        <item x="40"/>
        <item x="184"/>
        <item x="206"/>
        <item x="160"/>
        <item x="33"/>
        <item x="59"/>
        <item x="175"/>
        <item x="198"/>
        <item x="185"/>
        <item t="default"/>
      </items>
    </pivotField>
    <pivotField axis="axisPage" compact="0" multipleItemSelectionAllowed="1" showAll="0">
      <items count="3">
        <item x="1"/>
        <item h="1" x="0"/>
        <item t="default"/>
      </items>
    </pivotField>
    <pivotField compact="0" showAll="0">
      <items count="204">
        <item x="5"/>
        <item x="130"/>
        <item x="10"/>
        <item x="20"/>
        <item x="93"/>
        <item x="19"/>
        <item x="78"/>
        <item x="157"/>
        <item x="188"/>
        <item x="100"/>
        <item x="183"/>
        <item x="105"/>
        <item x="98"/>
        <item x="109"/>
        <item x="101"/>
        <item x="164"/>
        <item x="124"/>
        <item x="66"/>
        <item x="8"/>
        <item x="174"/>
        <item x="71"/>
        <item x="40"/>
        <item x="32"/>
        <item x="16"/>
        <item x="169"/>
        <item x="185"/>
        <item x="161"/>
        <item x="83"/>
        <item x="196"/>
        <item x="99"/>
        <item x="190"/>
        <item x="55"/>
        <item x="191"/>
        <item x="51"/>
        <item x="121"/>
        <item x="106"/>
        <item x="198"/>
        <item x="123"/>
        <item x="112"/>
        <item x="86"/>
        <item x="173"/>
        <item x="150"/>
        <item x="202"/>
        <item x="90"/>
        <item x="179"/>
        <item x="162"/>
        <item x="67"/>
        <item x="132"/>
        <item x="52"/>
        <item x="84"/>
        <item x="63"/>
        <item x="82"/>
        <item x="3"/>
        <item x="87"/>
        <item x="13"/>
        <item x="41"/>
        <item x="158"/>
        <item x="180"/>
        <item x="108"/>
        <item x="151"/>
        <item x="201"/>
        <item x="96"/>
        <item x="178"/>
        <item x="26"/>
        <item x="136"/>
        <item x="24"/>
        <item x="154"/>
        <item x="25"/>
        <item x="155"/>
        <item x="110"/>
        <item x="72"/>
        <item x="131"/>
        <item x="12"/>
        <item x="137"/>
        <item x="68"/>
        <item x="199"/>
        <item x="177"/>
        <item x="69"/>
        <item x="152"/>
        <item x="27"/>
        <item x="4"/>
        <item x="159"/>
        <item x="62"/>
        <item x="49"/>
        <item x="172"/>
        <item x="97"/>
        <item x="80"/>
        <item x="14"/>
        <item x="44"/>
        <item x="89"/>
        <item x="0"/>
        <item x="129"/>
        <item x="56"/>
        <item x="146"/>
        <item x="133"/>
        <item x="79"/>
        <item x="43"/>
        <item x="18"/>
        <item x="160"/>
        <item x="141"/>
        <item x="76"/>
        <item x="189"/>
        <item x="22"/>
        <item x="38"/>
        <item x="102"/>
        <item x="127"/>
        <item x="31"/>
        <item x="46"/>
        <item x="2"/>
        <item x="171"/>
        <item x="104"/>
        <item x="57"/>
        <item x="145"/>
        <item x="29"/>
        <item x="75"/>
        <item x="147"/>
        <item x="23"/>
        <item x="73"/>
        <item x="156"/>
        <item x="53"/>
        <item x="17"/>
        <item x="39"/>
        <item x="165"/>
        <item x="34"/>
        <item x="6"/>
        <item x="125"/>
        <item x="9"/>
        <item x="186"/>
        <item x="94"/>
        <item x="126"/>
        <item x="116"/>
        <item x="64"/>
        <item x="122"/>
        <item x="148"/>
        <item x="81"/>
        <item x="166"/>
        <item x="120"/>
        <item x="70"/>
        <item x="59"/>
        <item x="175"/>
        <item x="144"/>
        <item x="187"/>
        <item x="139"/>
        <item x="21"/>
        <item x="36"/>
        <item x="170"/>
        <item x="200"/>
        <item x="134"/>
        <item x="113"/>
        <item x="143"/>
        <item x="30"/>
        <item x="153"/>
        <item x="111"/>
        <item x="88"/>
        <item x="74"/>
        <item x="103"/>
        <item x="35"/>
        <item x="15"/>
        <item x="47"/>
        <item x="54"/>
        <item x="58"/>
        <item x="37"/>
        <item x="65"/>
        <item x="48"/>
        <item x="176"/>
        <item x="92"/>
        <item x="7"/>
        <item x="115"/>
        <item x="107"/>
        <item x="45"/>
        <item x="128"/>
        <item x="85"/>
        <item x="50"/>
        <item x="42"/>
        <item x="149"/>
        <item x="197"/>
        <item x="194"/>
        <item x="167"/>
        <item x="117"/>
        <item x="114"/>
        <item x="184"/>
        <item x="61"/>
        <item x="142"/>
        <item x="181"/>
        <item x="193"/>
        <item x="91"/>
        <item x="192"/>
        <item x="140"/>
        <item x="182"/>
        <item x="77"/>
        <item x="33"/>
        <item x="118"/>
        <item x="135"/>
        <item x="119"/>
        <item x="1"/>
        <item x="138"/>
        <item x="163"/>
        <item x="168"/>
        <item x="60"/>
        <item x="28"/>
        <item x="95"/>
        <item x="195"/>
        <item x="11"/>
        <item t="default"/>
      </items>
    </pivotField>
    <pivotField compact="0" numFmtId="183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51"/>
        <item x="247"/>
        <item x="531"/>
        <item x="89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41"/>
        <item x="354"/>
        <item x="139"/>
        <item x="114"/>
        <item x="490"/>
        <item x="305"/>
        <item x="87"/>
        <item x="108"/>
        <item x="460"/>
        <item x="26"/>
        <item x="211"/>
        <item x="582"/>
        <item x="464"/>
        <item x="551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137"/>
        <item x="258"/>
        <item x="193"/>
        <item x="598"/>
        <item x="131"/>
        <item x="179"/>
        <item x="74"/>
        <item x="240"/>
        <item x="222"/>
        <item x="369"/>
        <item x="59"/>
        <item x="571"/>
        <item x="201"/>
        <item x="408"/>
        <item x="495"/>
        <item x="543"/>
        <item x="481"/>
        <item x="57"/>
        <item x="361"/>
        <item x="546"/>
        <item x="186"/>
        <item x="334"/>
        <item x="0"/>
        <item x="79"/>
        <item x="12"/>
        <item x="314"/>
        <item x="627"/>
        <item x="483"/>
        <item x="486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447"/>
        <item x="333"/>
        <item x="161"/>
        <item x="593"/>
        <item x="118"/>
        <item x="52"/>
        <item x="231"/>
        <item x="304"/>
        <item x="443"/>
        <item x="103"/>
        <item x="599"/>
        <item x="485"/>
        <item x="277"/>
        <item x="581"/>
        <item x="328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332"/>
        <item x="271"/>
        <item x="46"/>
        <item x="580"/>
        <item x="156"/>
        <item x="270"/>
        <item x="363"/>
        <item x="437"/>
        <item x="293"/>
        <item x="520"/>
        <item x="501"/>
        <item x="229"/>
        <item x="601"/>
        <item x="321"/>
        <item x="492"/>
        <item x="259"/>
        <item x="14"/>
        <item x="458"/>
        <item x="269"/>
        <item x="182"/>
        <item x="130"/>
        <item x="216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343"/>
        <item x="590"/>
        <item x="316"/>
        <item x="510"/>
        <item x="612"/>
        <item x="530"/>
        <item x="73"/>
        <item x="419"/>
        <item x="386"/>
        <item x="489"/>
        <item x="32"/>
        <item x="241"/>
        <item x="136"/>
        <item x="446"/>
        <item x="246"/>
        <item x="30"/>
        <item x="518"/>
        <item x="325"/>
        <item x="309"/>
        <item x="301"/>
        <item x="143"/>
        <item x="421"/>
        <item x="92"/>
        <item x="564"/>
        <item x="504"/>
        <item x="610"/>
        <item x="11"/>
        <item x="158"/>
        <item x="185"/>
        <item x="470"/>
        <item x="78"/>
        <item x="289"/>
        <item x="615"/>
        <item x="558"/>
        <item x="41"/>
        <item x="70"/>
        <item x="43"/>
        <item x="623"/>
        <item x="616"/>
        <item x="545"/>
        <item x="123"/>
        <item x="515"/>
        <item x="502"/>
        <item x="416"/>
        <item x="22"/>
        <item x="549"/>
        <item x="62"/>
        <item x="4"/>
        <item x="154"/>
        <item x="312"/>
        <item x="393"/>
        <item x="197"/>
        <item x="380"/>
        <item x="527"/>
        <item x="274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105"/>
        <item x="576"/>
        <item x="65"/>
        <item x="250"/>
        <item x="163"/>
        <item x="349"/>
        <item x="244"/>
        <item x="449"/>
        <item x="104"/>
        <item x="167"/>
        <item x="450"/>
        <item x="265"/>
        <item x="441"/>
        <item x="299"/>
        <item x="364"/>
        <item x="630"/>
        <item x="381"/>
        <item x="145"/>
        <item x="430"/>
        <item x="433"/>
        <item x="399"/>
        <item x="281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170"/>
        <item x="8"/>
        <item x="455"/>
        <item x="359"/>
        <item x="148"/>
        <item x="50"/>
        <item x="595"/>
        <item x="200"/>
        <item x="38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335"/>
        <item x="469"/>
        <item x="317"/>
        <item x="351"/>
        <item x="499"/>
        <item x="228"/>
        <item x="371"/>
        <item x="402"/>
        <item x="340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427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99"/>
        <item x="204"/>
        <item x="300"/>
        <item x="144"/>
        <item x="16"/>
        <item x="324"/>
        <item x="339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329"/>
        <item x="188"/>
        <item x="219"/>
        <item x="336"/>
        <item x="207"/>
        <item x="487"/>
        <item x="607"/>
        <item x="159"/>
        <item x="273"/>
        <item x="423"/>
        <item x="153"/>
        <item x="56"/>
        <item x="550"/>
        <item x="111"/>
        <item x="622"/>
        <item x="426"/>
        <item x="226"/>
        <item x="42"/>
        <item x="542"/>
        <item x="496"/>
        <item x="310"/>
        <item x="374"/>
        <item x="195"/>
        <item x="442"/>
        <item x="414"/>
        <item x="173"/>
        <item x="55"/>
        <item x="548"/>
        <item x="142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92"/>
        <item x="357"/>
        <item x="624"/>
        <item x="512"/>
        <item x="557"/>
        <item x="537"/>
        <item x="592"/>
        <item x="100"/>
        <item x="319"/>
        <item x="199"/>
        <item x="396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247"/>
        <item x="531"/>
        <item x="89"/>
        <item x="51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54"/>
        <item x="341"/>
        <item x="114"/>
        <item x="139"/>
        <item x="490"/>
        <item x="305"/>
        <item x="87"/>
        <item x="108"/>
        <item x="460"/>
        <item x="26"/>
        <item x="211"/>
        <item x="582"/>
        <item x="551"/>
        <item x="464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258"/>
        <item x="193"/>
        <item x="598"/>
        <item x="131"/>
        <item x="179"/>
        <item x="240"/>
        <item x="222"/>
        <item x="137"/>
        <item x="369"/>
        <item x="59"/>
        <item x="571"/>
        <item x="408"/>
        <item x="495"/>
        <item x="543"/>
        <item x="481"/>
        <item x="57"/>
        <item x="361"/>
        <item x="201"/>
        <item x="546"/>
        <item x="186"/>
        <item x="334"/>
        <item x="0"/>
        <item x="79"/>
        <item x="12"/>
        <item x="314"/>
        <item x="627"/>
        <item x="483"/>
        <item x="486"/>
        <item x="74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333"/>
        <item x="161"/>
        <item x="593"/>
        <item x="118"/>
        <item x="52"/>
        <item x="231"/>
        <item x="304"/>
        <item x="443"/>
        <item x="103"/>
        <item x="599"/>
        <item x="447"/>
        <item x="485"/>
        <item x="277"/>
        <item x="581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271"/>
        <item x="46"/>
        <item x="580"/>
        <item x="156"/>
        <item x="270"/>
        <item x="328"/>
        <item x="437"/>
        <item x="293"/>
        <item x="520"/>
        <item x="501"/>
        <item x="229"/>
        <item x="601"/>
        <item x="321"/>
        <item x="332"/>
        <item x="492"/>
        <item x="259"/>
        <item x="14"/>
        <item x="458"/>
        <item x="269"/>
        <item x="182"/>
        <item x="130"/>
        <item x="216"/>
        <item x="363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590"/>
        <item x="316"/>
        <item x="510"/>
        <item x="612"/>
        <item x="530"/>
        <item x="343"/>
        <item x="73"/>
        <item x="419"/>
        <item x="386"/>
        <item x="489"/>
        <item x="32"/>
        <item x="241"/>
        <item x="136"/>
        <item x="446"/>
        <item x="30"/>
        <item x="518"/>
        <item x="325"/>
        <item x="309"/>
        <item x="301"/>
        <item x="143"/>
        <item x="421"/>
        <item x="92"/>
        <item x="564"/>
        <item x="504"/>
        <item x="246"/>
        <item x="610"/>
        <item x="11"/>
        <item x="158"/>
        <item x="185"/>
        <item x="470"/>
        <item x="289"/>
        <item x="615"/>
        <item x="558"/>
        <item x="41"/>
        <item x="70"/>
        <item x="43"/>
        <item x="623"/>
        <item x="616"/>
        <item x="545"/>
        <item x="123"/>
        <item x="78"/>
        <item x="515"/>
        <item x="502"/>
        <item x="416"/>
        <item x="22"/>
        <item x="549"/>
        <item x="62"/>
        <item x="4"/>
        <item x="154"/>
        <item x="312"/>
        <item x="197"/>
        <item x="380"/>
        <item x="527"/>
        <item x="274"/>
        <item x="393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576"/>
        <item x="65"/>
        <item x="250"/>
        <item x="163"/>
        <item x="349"/>
        <item x="244"/>
        <item x="449"/>
        <item x="104"/>
        <item x="450"/>
        <item x="265"/>
        <item x="441"/>
        <item x="299"/>
        <item x="364"/>
        <item x="630"/>
        <item x="167"/>
        <item x="381"/>
        <item x="105"/>
        <item x="145"/>
        <item x="430"/>
        <item x="433"/>
        <item x="399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281"/>
        <item x="8"/>
        <item x="455"/>
        <item x="359"/>
        <item x="148"/>
        <item x="595"/>
        <item x="200"/>
        <item x="38"/>
        <item x="170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50"/>
        <item x="335"/>
        <item x="469"/>
        <item x="317"/>
        <item x="351"/>
        <item x="499"/>
        <item x="228"/>
        <item x="371"/>
        <item x="402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427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204"/>
        <item x="300"/>
        <item x="144"/>
        <item x="16"/>
        <item x="324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99"/>
        <item x="329"/>
        <item x="188"/>
        <item x="336"/>
        <item x="207"/>
        <item x="339"/>
        <item x="487"/>
        <item x="607"/>
        <item x="159"/>
        <item x="273"/>
        <item x="219"/>
        <item x="423"/>
        <item x="153"/>
        <item x="56"/>
        <item x="550"/>
        <item x="111"/>
        <item x="340"/>
        <item x="622"/>
        <item x="426"/>
        <item x="226"/>
        <item x="542"/>
        <item x="496"/>
        <item x="310"/>
        <item x="195"/>
        <item x="442"/>
        <item x="414"/>
        <item x="173"/>
        <item x="55"/>
        <item x="548"/>
        <item x="142"/>
        <item x="374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42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57"/>
        <item x="624"/>
        <item x="512"/>
        <item x="557"/>
        <item x="537"/>
        <item x="592"/>
        <item x="100"/>
        <item x="319"/>
        <item x="199"/>
        <item x="396"/>
        <item x="392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493"/>
        <item x="172"/>
        <item x="286"/>
        <item x="298"/>
        <item x="96"/>
        <item x="586"/>
        <item x="389"/>
        <item x="54"/>
        <item x="83"/>
        <item x="247"/>
        <item x="631"/>
        <item x="119"/>
        <item x="575"/>
        <item x="89"/>
        <item x="572"/>
        <item x="418"/>
        <item x="106"/>
        <item x="177"/>
        <item x="7"/>
        <item x="517"/>
        <item x="532"/>
        <item x="282"/>
        <item x="354"/>
        <item x="263"/>
        <item x="243"/>
        <item x="51"/>
        <item x="531"/>
        <item x="109"/>
        <item x="305"/>
        <item x="461"/>
        <item x="341"/>
        <item x="221"/>
        <item x="620"/>
        <item x="291"/>
        <item x="311"/>
        <item x="108"/>
        <item x="602"/>
        <item x="230"/>
        <item x="490"/>
        <item x="551"/>
        <item x="127"/>
        <item x="519"/>
        <item x="445"/>
        <item x="323"/>
        <item x="476"/>
        <item x="464"/>
        <item x="582"/>
        <item x="391"/>
        <item x="347"/>
        <item x="26"/>
        <item x="621"/>
        <item x="217"/>
        <item x="330"/>
        <item x="326"/>
        <item x="460"/>
        <item x="116"/>
        <item x="211"/>
        <item x="412"/>
        <item x="128"/>
        <item x="124"/>
        <item x="174"/>
        <item x="466"/>
        <item x="344"/>
        <item x="463"/>
        <item x="597"/>
        <item x="245"/>
        <item x="139"/>
        <item x="113"/>
        <item x="570"/>
        <item x="169"/>
        <item x="87"/>
        <item x="28"/>
        <item x="526"/>
        <item x="232"/>
        <item x="608"/>
        <item x="318"/>
        <item x="257"/>
        <item x="609"/>
        <item x="565"/>
        <item x="439"/>
        <item x="114"/>
        <item x="5"/>
        <item x="508"/>
        <item x="579"/>
        <item x="6"/>
        <item x="297"/>
        <item x="434"/>
        <item x="481"/>
        <item x="334"/>
        <item x="222"/>
        <item x="133"/>
        <item x="495"/>
        <item x="627"/>
        <item x="403"/>
        <item x="0"/>
        <item x="258"/>
        <item x="82"/>
        <item x="584"/>
        <item x="581"/>
        <item x="546"/>
        <item x="53"/>
        <item x="327"/>
        <item x="511"/>
        <item x="296"/>
        <item x="239"/>
        <item x="231"/>
        <item x="57"/>
        <item x="436"/>
        <item x="304"/>
        <item x="39"/>
        <item x="604"/>
        <item x="254"/>
        <item x="443"/>
        <item x="370"/>
        <item x="491"/>
        <item x="194"/>
        <item x="378"/>
        <item x="307"/>
        <item x="277"/>
        <item x="240"/>
        <item x="233"/>
        <item x="598"/>
        <item x="293"/>
        <item x="486"/>
        <item x="71"/>
        <item x="178"/>
        <item x="103"/>
        <item x="248"/>
        <item x="488"/>
        <item x="156"/>
        <item x="12"/>
        <item x="130"/>
        <item x="571"/>
        <item x="79"/>
        <item x="350"/>
        <item x="118"/>
        <item x="308"/>
        <item x="186"/>
        <item x="458"/>
        <item x="462"/>
        <item x="410"/>
        <item x="182"/>
        <item x="328"/>
        <item x="432"/>
        <item x="358"/>
        <item x="483"/>
        <item x="285"/>
        <item x="513"/>
        <item x="563"/>
        <item x="161"/>
        <item x="498"/>
        <item x="369"/>
        <item x="599"/>
        <item x="594"/>
        <item x="314"/>
        <item x="171"/>
        <item x="59"/>
        <item x="524"/>
        <item x="437"/>
        <item x="332"/>
        <item x="46"/>
        <item x="69"/>
        <item x="191"/>
        <item x="141"/>
        <item x="509"/>
        <item x="338"/>
        <item x="137"/>
        <item x="179"/>
        <item x="74"/>
        <item x="214"/>
        <item x="616"/>
        <item x="279"/>
        <item x="90"/>
        <item x="447"/>
        <item x="158"/>
        <item x="540"/>
        <item x="373"/>
        <item x="315"/>
        <item x="201"/>
        <item x="227"/>
        <item x="446"/>
        <item x="473"/>
        <item x="206"/>
        <item x="218"/>
        <item x="27"/>
        <item x="470"/>
        <item x="271"/>
        <item x="525"/>
        <item x="408"/>
        <item x="578"/>
        <item x="43"/>
        <item x="146"/>
        <item x="502"/>
        <item x="168"/>
        <item x="331"/>
        <item x="183"/>
        <item x="309"/>
        <item x="503"/>
        <item x="596"/>
        <item x="543"/>
        <item x="3"/>
        <item x="88"/>
        <item x="386"/>
        <item x="75"/>
        <item x="270"/>
        <item x="262"/>
        <item x="301"/>
        <item x="32"/>
        <item x="489"/>
        <item x="349"/>
        <item x="193"/>
        <item x="485"/>
        <item x="333"/>
        <item x="25"/>
        <item x="102"/>
        <item x="274"/>
        <item x="94"/>
        <item x="37"/>
        <item x="131"/>
        <item x="589"/>
        <item x="593"/>
        <item x="145"/>
        <item x="163"/>
        <item x="520"/>
        <item x="368"/>
        <item x="558"/>
        <item x="316"/>
        <item x="92"/>
        <item x="544"/>
        <item x="33"/>
        <item x="630"/>
        <item x="220"/>
        <item x="250"/>
        <item x="518"/>
        <item x="398"/>
        <item x="152"/>
        <item x="430"/>
        <item x="35"/>
        <item x="477"/>
        <item x="580"/>
        <item x="450"/>
        <item x="62"/>
        <item x="561"/>
        <item x="536"/>
        <item x="533"/>
        <item x="595"/>
        <item x="417"/>
        <item x="15"/>
        <item x="433"/>
        <item x="101"/>
        <item x="238"/>
        <item x="212"/>
        <item x="515"/>
        <item x="104"/>
        <item x="312"/>
        <item x="294"/>
        <item x="361"/>
        <item x="78"/>
        <item x="162"/>
        <item x="269"/>
        <item x="421"/>
        <item x="197"/>
        <item x="41"/>
        <item x="411"/>
        <item x="22"/>
        <item x="241"/>
        <item x="164"/>
        <item x="143"/>
        <item x="268"/>
        <item x="343"/>
        <item x="129"/>
        <item x="345"/>
        <item x="283"/>
        <item x="189"/>
        <item x="577"/>
        <item x="419"/>
        <item x="216"/>
        <item x="453"/>
        <item x="98"/>
        <item x="523"/>
        <item x="559"/>
        <item x="281"/>
        <item x="472"/>
        <item x="8"/>
        <item x="325"/>
        <item x="405"/>
        <item x="615"/>
        <item x="507"/>
        <item x="52"/>
        <item x="198"/>
        <item x="246"/>
        <item x="70"/>
        <item x="425"/>
        <item x="155"/>
        <item x="413"/>
        <item x="367"/>
        <item x="30"/>
        <item x="530"/>
        <item x="549"/>
        <item x="275"/>
        <item x="136"/>
        <item x="612"/>
        <item x="176"/>
        <item x="457"/>
        <item x="499"/>
        <item x="359"/>
        <item x="527"/>
        <item x="623"/>
        <item x="154"/>
        <item x="535"/>
        <item x="510"/>
        <item x="451"/>
        <item x="67"/>
        <item x="564"/>
        <item x="610"/>
        <item x="541"/>
        <item x="185"/>
        <item x="494"/>
        <item x="342"/>
        <item x="68"/>
        <item x="321"/>
        <item x="303"/>
        <item x="605"/>
        <item x="504"/>
        <item x="415"/>
        <item x="335"/>
        <item x="455"/>
        <item x="538"/>
        <item x="363"/>
        <item x="601"/>
        <item x="14"/>
        <item x="290"/>
        <item x="148"/>
        <item x="380"/>
        <item x="93"/>
        <item x="295"/>
        <item x="147"/>
        <item x="287"/>
        <item x="13"/>
        <item x="249"/>
        <item x="404"/>
        <item x="492"/>
        <item x="467"/>
        <item x="210"/>
        <item x="320"/>
        <item x="280"/>
        <item x="441"/>
        <item x="4"/>
        <item x="591"/>
        <item x="611"/>
        <item x="255"/>
        <item x="267"/>
        <item x="23"/>
        <item x="393"/>
        <item x="229"/>
        <item x="261"/>
        <item x="366"/>
        <item x="394"/>
        <item x="547"/>
        <item x="545"/>
        <item x="500"/>
        <item x="20"/>
        <item x="576"/>
        <item x="29"/>
        <item x="399"/>
        <item x="21"/>
        <item x="440"/>
        <item x="225"/>
        <item x="452"/>
        <item x="474"/>
        <item x="123"/>
        <item x="428"/>
        <item x="420"/>
        <item x="324"/>
        <item x="38"/>
        <item x="469"/>
        <item x="614"/>
        <item x="24"/>
        <item x="259"/>
        <item x="364"/>
        <item x="251"/>
        <item x="50"/>
        <item x="381"/>
        <item x="121"/>
        <item x="444"/>
        <item x="115"/>
        <item x="590"/>
        <item x="209"/>
        <item x="228"/>
        <item x="204"/>
        <item x="454"/>
        <item x="150"/>
        <item x="284"/>
        <item x="377"/>
        <item x="501"/>
        <item x="395"/>
        <item x="568"/>
        <item x="56"/>
        <item x="253"/>
        <item x="170"/>
        <item x="552"/>
        <item x="34"/>
        <item x="456"/>
        <item x="73"/>
        <item x="205"/>
        <item x="213"/>
        <item x="299"/>
        <item x="85"/>
        <item x="234"/>
        <item x="91"/>
        <item x="607"/>
        <item x="256"/>
        <item x="606"/>
        <item x="125"/>
        <item x="167"/>
        <item x="371"/>
        <item x="207"/>
        <item x="449"/>
        <item x="260"/>
        <item x="157"/>
        <item x="416"/>
        <item x="86"/>
        <item x="107"/>
        <item x="208"/>
        <item x="414"/>
        <item x="355"/>
        <item x="215"/>
        <item x="105"/>
        <item x="554"/>
        <item x="529"/>
        <item x="135"/>
        <item x="573"/>
        <item x="336"/>
        <item x="288"/>
        <item x="574"/>
        <item x="10"/>
        <item x="110"/>
        <item x="153"/>
        <item x="44"/>
        <item x="348"/>
        <item x="351"/>
        <item x="442"/>
        <item x="160"/>
        <item x="200"/>
        <item x="505"/>
        <item x="132"/>
        <item x="379"/>
        <item x="329"/>
        <item x="585"/>
        <item x="487"/>
        <item x="166"/>
        <item x="475"/>
        <item x="317"/>
        <item x="202"/>
        <item x="555"/>
        <item x="496"/>
        <item x="550"/>
        <item x="400"/>
        <item x="514"/>
        <item x="219"/>
        <item x="340"/>
        <item x="292"/>
        <item x="566"/>
        <item x="553"/>
        <item x="235"/>
        <item x="401"/>
        <item x="144"/>
        <item x="244"/>
        <item x="387"/>
        <item x="402"/>
        <item x="224"/>
        <item x="390"/>
        <item x="300"/>
        <item x="459"/>
        <item x="289"/>
        <item x="372"/>
        <item x="122"/>
        <item x="310"/>
        <item x="569"/>
        <item x="65"/>
        <item x="384"/>
        <item x="409"/>
        <item x="484"/>
        <item x="159"/>
        <item x="522"/>
        <item x="66"/>
        <item x="388"/>
        <item x="339"/>
        <item x="516"/>
        <item x="2"/>
        <item x="468"/>
        <item x="226"/>
        <item x="61"/>
        <item x="374"/>
        <item x="151"/>
        <item x="471"/>
        <item x="76"/>
        <item x="252"/>
        <item x="352"/>
        <item x="11"/>
        <item x="134"/>
        <item x="322"/>
        <item x="479"/>
        <item x="120"/>
        <item x="84"/>
        <item x="628"/>
        <item x="188"/>
        <item x="600"/>
        <item x="190"/>
        <item x="625"/>
        <item x="77"/>
        <item x="81"/>
        <item x="173"/>
        <item x="365"/>
        <item x="406"/>
        <item x="18"/>
        <item x="36"/>
        <item x="19"/>
        <item x="629"/>
        <item x="482"/>
        <item x="603"/>
        <item x="480"/>
        <item x="95"/>
        <item x="42"/>
        <item x="17"/>
        <item x="587"/>
        <item x="31"/>
        <item x="64"/>
        <item x="278"/>
        <item x="560"/>
        <item x="111"/>
        <item x="617"/>
        <item x="397"/>
        <item x="265"/>
        <item x="48"/>
        <item x="438"/>
        <item x="427"/>
        <item x="266"/>
        <item x="100"/>
        <item x="99"/>
        <item x="273"/>
        <item x="356"/>
        <item x="478"/>
        <item x="542"/>
        <item x="97"/>
        <item x="429"/>
        <item x="181"/>
        <item x="313"/>
        <item x="562"/>
        <item x="360"/>
        <item x="626"/>
        <item x="534"/>
        <item x="337"/>
        <item x="45"/>
        <item x="435"/>
        <item x="149"/>
        <item x="72"/>
        <item x="184"/>
        <item x="60"/>
        <item x="557"/>
        <item x="196"/>
        <item x="618"/>
        <item x="353"/>
        <item x="16"/>
        <item x="431"/>
        <item x="548"/>
        <item x="407"/>
        <item x="556"/>
        <item x="506"/>
        <item x="195"/>
        <item x="592"/>
        <item x="138"/>
        <item x="624"/>
        <item x="426"/>
        <item x="567"/>
        <item x="242"/>
        <item x="376"/>
        <item x="537"/>
        <item x="40"/>
        <item x="448"/>
        <item x="302"/>
        <item x="396"/>
        <item x="49"/>
        <item x="272"/>
        <item x="192"/>
        <item x="583"/>
        <item x="223"/>
        <item x="142"/>
        <item x="521"/>
        <item x="497"/>
        <item x="187"/>
        <item x="357"/>
        <item x="382"/>
        <item x="117"/>
        <item x="236"/>
        <item x="622"/>
        <item x="55"/>
        <item x="199"/>
        <item x="264"/>
        <item x="1"/>
        <item x="375"/>
        <item x="588"/>
        <item x="613"/>
        <item x="306"/>
        <item x="619"/>
        <item x="424"/>
        <item x="423"/>
        <item x="385"/>
        <item x="203"/>
        <item x="539"/>
        <item x="80"/>
        <item x="362"/>
        <item x="392"/>
        <item x="126"/>
        <item x="9"/>
        <item x="346"/>
        <item x="47"/>
        <item x="512"/>
        <item x="319"/>
        <item x="383"/>
        <item x="528"/>
        <item x="465"/>
        <item x="276"/>
        <item x="175"/>
        <item x="165"/>
        <item x="422"/>
        <item x="63"/>
        <item x="140"/>
        <item x="58"/>
        <item x="237"/>
        <item t="default"/>
      </items>
    </pivotField>
    <pivotField compact="0" numFmtId="44" showAll="0">
      <items count="633">
        <item x="1"/>
        <item x="385"/>
        <item x="626"/>
        <item x="265"/>
        <item x="11"/>
        <item x="560"/>
        <item x="132"/>
        <item x="134"/>
        <item x="423"/>
        <item x="289"/>
        <item x="497"/>
        <item x="58"/>
        <item x="501"/>
        <item x="187"/>
        <item x="65"/>
        <item x="125"/>
        <item x="192"/>
        <item x="407"/>
        <item x="150"/>
        <item x="244"/>
        <item x="259"/>
        <item x="73"/>
        <item x="72"/>
        <item x="388"/>
        <item x="590"/>
        <item x="229"/>
        <item x="416"/>
        <item x="152"/>
        <item x="477"/>
        <item x="492"/>
        <item x="98"/>
        <item x="361"/>
        <item x="2"/>
        <item x="196"/>
        <item x="52"/>
        <item x="617"/>
        <item x="363"/>
        <item x="622"/>
        <item x="404"/>
        <item x="601"/>
        <item x="605"/>
        <item x="105"/>
        <item x="397"/>
        <item x="14"/>
        <item x="146"/>
        <item x="131"/>
        <item x="384"/>
        <item x="540"/>
        <item x="338"/>
        <item x="193"/>
        <item x="321"/>
        <item x="66"/>
        <item x="432"/>
        <item x="27"/>
        <item x="449"/>
        <item x="427"/>
        <item x="543"/>
        <item x="167"/>
        <item x="224"/>
        <item x="55"/>
        <item x="303"/>
        <item x="373"/>
        <item x="457"/>
        <item x="166"/>
        <item x="81"/>
        <item x="122"/>
        <item x="114"/>
        <item x="101"/>
        <item x="94"/>
        <item x="408"/>
        <item x="593"/>
        <item x="116"/>
        <item x="3"/>
        <item x="252"/>
        <item x="268"/>
        <item x="434"/>
        <item x="411"/>
        <item x="323"/>
        <item x="299"/>
        <item x="333"/>
        <item x="238"/>
        <item x="201"/>
        <item x="36"/>
        <item x="68"/>
        <item x="137"/>
        <item x="390"/>
        <item x="230"/>
        <item x="177"/>
        <item x="179"/>
        <item x="74"/>
        <item x="87"/>
        <item x="53"/>
        <item x="519"/>
        <item x="127"/>
        <item x="631"/>
        <item x="123"/>
        <item x="574"/>
        <item x="139"/>
        <item x="54"/>
        <item x="476"/>
        <item x="200"/>
        <item x="109"/>
        <item x="298"/>
        <item x="286"/>
        <item x="112"/>
        <item x="212"/>
        <item x="609"/>
        <item x="180"/>
        <item x="263"/>
        <item x="532"/>
        <item x="96"/>
        <item x="51"/>
        <item x="106"/>
        <item x="35"/>
        <item x="172"/>
        <item x="531"/>
        <item x="493"/>
        <item x="311"/>
        <item x="561"/>
        <item x="575"/>
        <item x="285"/>
        <item x="85"/>
        <item x="275"/>
        <item x="282"/>
        <item x="216"/>
        <item x="485"/>
        <item x="243"/>
        <item x="7"/>
        <item x="83"/>
        <item x="586"/>
        <item x="89"/>
        <item x="221"/>
        <item x="119"/>
        <item x="389"/>
        <item x="358"/>
        <item x="602"/>
        <item x="461"/>
        <item x="526"/>
        <item x="247"/>
        <item x="418"/>
        <item x="620"/>
        <item x="15"/>
        <item x="291"/>
        <item x="257"/>
        <item x="59"/>
        <item x="198"/>
        <item x="545"/>
        <item x="462"/>
        <item x="248"/>
        <item x="572"/>
        <item x="460"/>
        <item x="463"/>
        <item x="341"/>
        <item x="211"/>
        <item x="269"/>
        <item x="517"/>
        <item x="369"/>
        <item x="174"/>
        <item x="510"/>
        <item x="86"/>
        <item x="6"/>
        <item x="580"/>
        <item x="113"/>
        <item x="606"/>
        <item x="354"/>
        <item x="227"/>
        <item x="26"/>
        <item x="307"/>
        <item x="169"/>
        <item x="490"/>
        <item x="155"/>
        <item x="402"/>
        <item x="124"/>
        <item x="190"/>
        <item x="582"/>
        <item x="412"/>
        <item x="439"/>
        <item x="447"/>
        <item x="464"/>
        <item x="383"/>
        <item x="608"/>
        <item x="39"/>
        <item x="350"/>
        <item x="612"/>
        <item x="488"/>
        <item x="511"/>
        <item x="530"/>
        <item x="297"/>
        <item x="108"/>
        <item x="314"/>
        <item x="318"/>
        <item x="551"/>
        <item x="232"/>
        <item x="194"/>
        <item x="445"/>
        <item x="305"/>
        <item x="162"/>
        <item x="618"/>
        <item x="16"/>
        <item x="4"/>
        <item x="217"/>
        <item x="520"/>
        <item x="317"/>
        <item x="347"/>
        <item x="393"/>
        <item x="133"/>
        <item x="189"/>
        <item x="239"/>
        <item x="75"/>
        <item x="536"/>
        <item x="327"/>
        <item x="326"/>
        <item x="417"/>
        <item x="513"/>
        <item x="234"/>
        <item x="621"/>
        <item x="370"/>
        <item x="10"/>
        <item x="340"/>
        <item x="364"/>
        <item x="381"/>
        <item x="504"/>
        <item x="128"/>
        <item x="136"/>
        <item x="571"/>
        <item x="584"/>
        <item x="186"/>
        <item x="401"/>
        <item x="466"/>
        <item x="483"/>
        <item x="235"/>
        <item x="598"/>
        <item x="330"/>
        <item x="240"/>
        <item x="564"/>
        <item x="391"/>
        <item x="30"/>
        <item x="168"/>
        <item x="215"/>
        <item x="245"/>
        <item x="270"/>
        <item x="218"/>
        <item x="610"/>
        <item x="578"/>
        <item x="566"/>
        <item x="79"/>
        <item x="296"/>
        <item x="351"/>
        <item x="343"/>
        <item x="185"/>
        <item x="410"/>
        <item x="161"/>
        <item x="576"/>
        <item x="206"/>
        <item x="597"/>
        <item x="508"/>
        <item x="12"/>
        <item x="246"/>
        <item x="344"/>
        <item x="570"/>
        <item x="170"/>
        <item x="591"/>
        <item x="294"/>
        <item x="599"/>
        <item x="258"/>
        <item x="380"/>
        <item x="554"/>
        <item x="271"/>
        <item x="308"/>
        <item x="5"/>
        <item x="419"/>
        <item x="579"/>
        <item x="325"/>
        <item x="486"/>
        <item x="395"/>
        <item x="57"/>
        <item x="623"/>
        <item x="28"/>
        <item x="400"/>
        <item x="222"/>
        <item x="208"/>
        <item x="249"/>
        <item x="565"/>
        <item x="233"/>
        <item x="546"/>
        <item x="524"/>
        <item x="495"/>
        <item x="154"/>
        <item x="241"/>
        <item x="0"/>
        <item x="262"/>
        <item x="481"/>
        <item x="118"/>
        <item x="328"/>
        <item x="399"/>
        <item x="334"/>
        <item x="70"/>
        <item x="596"/>
        <item x="428"/>
        <item x="549"/>
        <item x="615"/>
        <item x="365"/>
        <item x="84"/>
        <item x="627"/>
        <item x="143"/>
        <item x="604"/>
        <item x="25"/>
        <item x="316"/>
        <item x="441"/>
        <item x="527"/>
        <item x="403"/>
        <item x="46"/>
        <item x="103"/>
        <item x="421"/>
        <item x="436"/>
        <item x="82"/>
        <item x="332"/>
        <item x="184"/>
        <item x="503"/>
        <item x="277"/>
        <item x="494"/>
        <item x="231"/>
        <item x="44"/>
        <item x="142"/>
        <item x="443"/>
        <item x="437"/>
        <item x="377"/>
        <item x="525"/>
        <item x="304"/>
        <item x="183"/>
        <item x="214"/>
        <item x="71"/>
        <item x="331"/>
        <item x="50"/>
        <item x="284"/>
        <item x="518"/>
        <item x="78"/>
        <item x="473"/>
        <item x="41"/>
        <item x="406"/>
        <item x="387"/>
        <item x="90"/>
        <item x="420"/>
        <item x="371"/>
        <item x="151"/>
        <item x="378"/>
        <item x="581"/>
        <item x="438"/>
        <item x="254"/>
        <item x="22"/>
        <item x="491"/>
        <item x="141"/>
        <item x="38"/>
        <item x="92"/>
        <item x="426"/>
        <item x="489"/>
        <item x="147"/>
        <item x="509"/>
        <item x="32"/>
        <item x="386"/>
        <item x="515"/>
        <item x="315"/>
        <item x="182"/>
        <item x="99"/>
        <item x="178"/>
        <item x="156"/>
        <item x="458"/>
        <item x="301"/>
        <item x="435"/>
        <item x="197"/>
        <item x="553"/>
        <item x="558"/>
        <item x="279"/>
        <item x="312"/>
        <item x="283"/>
        <item x="594"/>
        <item x="309"/>
        <item x="293"/>
        <item x="191"/>
        <item x="62"/>
        <item x="479"/>
        <item x="453"/>
        <item x="130"/>
        <item x="467"/>
        <item x="512"/>
        <item x="228"/>
        <item x="563"/>
        <item x="164"/>
        <item x="69"/>
        <item x="498"/>
        <item x="516"/>
        <item x="171"/>
        <item x="446"/>
        <item x="375"/>
        <item x="236"/>
        <item x="484"/>
        <item x="573"/>
        <item x="469"/>
        <item x="195"/>
        <item x="547"/>
        <item x="533"/>
        <item x="470"/>
        <item x="281"/>
        <item x="104"/>
        <item x="522"/>
        <item x="43"/>
        <item x="274"/>
        <item x="559"/>
        <item x="587"/>
        <item x="148"/>
        <item x="502"/>
        <item x="158"/>
        <item x="67"/>
        <item x="405"/>
        <item x="455"/>
        <item x="382"/>
        <item x="250"/>
        <item x="49"/>
        <item x="209"/>
        <item x="450"/>
        <item x="256"/>
        <item x="163"/>
        <item x="589"/>
        <item x="251"/>
        <item x="272"/>
        <item x="37"/>
        <item x="552"/>
        <item x="88"/>
        <item x="616"/>
        <item x="433"/>
        <item x="359"/>
        <item x="345"/>
        <item x="31"/>
        <item x="619"/>
        <item x="548"/>
        <item x="630"/>
        <item x="91"/>
        <item x="349"/>
        <item x="577"/>
        <item x="430"/>
        <item x="64"/>
        <item x="535"/>
        <item x="145"/>
        <item x="264"/>
        <item x="398"/>
        <item x="319"/>
        <item x="409"/>
        <item x="33"/>
        <item x="8"/>
        <item x="220"/>
        <item x="160"/>
        <item x="425"/>
        <item x="242"/>
        <item x="614"/>
        <item x="176"/>
        <item x="335"/>
        <item x="507"/>
        <item x="292"/>
        <item x="368"/>
        <item x="267"/>
        <item x="280"/>
        <item x="585"/>
        <item x="472"/>
        <item x="102"/>
        <item x="261"/>
        <item x="544"/>
        <item x="468"/>
        <item x="413"/>
        <item x="456"/>
        <item x="459"/>
        <item x="273"/>
        <item x="499"/>
        <item x="611"/>
        <item x="595"/>
        <item x="210"/>
        <item x="306"/>
        <item x="474"/>
        <item x="352"/>
        <item x="523"/>
        <item x="392"/>
        <item x="129"/>
        <item x="506"/>
        <item x="339"/>
        <item x="542"/>
        <item x="138"/>
        <item x="300"/>
        <item x="366"/>
        <item x="21"/>
        <item x="45"/>
        <item x="188"/>
        <item x="355"/>
        <item x="415"/>
        <item x="394"/>
        <item x="260"/>
        <item x="144"/>
        <item x="29"/>
        <item x="290"/>
        <item x="63"/>
        <item x="500"/>
        <item x="440"/>
        <item x="444"/>
        <item x="202"/>
        <item x="111"/>
        <item x="107"/>
        <item x="23"/>
        <item x="61"/>
        <item x="367"/>
        <item x="353"/>
        <item x="60"/>
        <item x="562"/>
        <item x="287"/>
        <item x="93"/>
        <item x="157"/>
        <item x="225"/>
        <item x="541"/>
        <item x="451"/>
        <item x="295"/>
        <item x="454"/>
        <item x="42"/>
        <item x="342"/>
        <item x="213"/>
        <item x="538"/>
        <item x="121"/>
        <item x="528"/>
        <item x="203"/>
        <item x="302"/>
        <item x="583"/>
        <item x="13"/>
        <item x="475"/>
        <item x="97"/>
        <item x="159"/>
        <item x="348"/>
        <item x="360"/>
        <item x="219"/>
        <item x="288"/>
        <item x="568"/>
        <item x="320"/>
        <item x="173"/>
        <item x="329"/>
        <item x="253"/>
        <item x="115"/>
        <item x="110"/>
        <item x="452"/>
        <item x="226"/>
        <item x="205"/>
        <item x="374"/>
        <item x="135"/>
        <item x="20"/>
        <item x="204"/>
        <item x="40"/>
        <item x="24"/>
        <item x="487"/>
        <item x="625"/>
        <item x="310"/>
        <item x="336"/>
        <item x="255"/>
        <item x="77"/>
        <item x="550"/>
        <item x="34"/>
        <item x="628"/>
        <item x="153"/>
        <item x="278"/>
        <item x="324"/>
        <item x="207"/>
        <item x="48"/>
        <item x="496"/>
        <item x="600"/>
        <item x="337"/>
        <item x="372"/>
        <item x="17"/>
        <item x="607"/>
        <item x="442"/>
        <item x="376"/>
        <item x="482"/>
        <item x="56"/>
        <item x="567"/>
        <item x="76"/>
        <item x="505"/>
        <item x="569"/>
        <item x="357"/>
        <item x="514"/>
        <item x="313"/>
        <item x="414"/>
        <item x="266"/>
        <item x="448"/>
        <item x="555"/>
        <item x="379"/>
        <item x="471"/>
        <item x="429"/>
        <item x="181"/>
        <item x="18"/>
        <item x="149"/>
        <item x="534"/>
        <item x="529"/>
        <item x="9"/>
        <item x="19"/>
        <item x="478"/>
        <item x="603"/>
        <item x="556"/>
        <item x="480"/>
        <item x="120"/>
        <item x="629"/>
        <item x="322"/>
        <item x="356"/>
        <item x="424"/>
        <item x="199"/>
        <item x="140"/>
        <item x="624"/>
        <item x="80"/>
        <item x="95"/>
        <item x="537"/>
        <item x="126"/>
        <item x="592"/>
        <item x="276"/>
        <item x="557"/>
        <item x="396"/>
        <item x="539"/>
        <item x="465"/>
        <item x="165"/>
        <item x="100"/>
        <item x="431"/>
        <item x="117"/>
        <item x="588"/>
        <item x="521"/>
        <item x="346"/>
        <item x="223"/>
        <item x="175"/>
        <item x="362"/>
        <item x="422"/>
        <item x="613"/>
        <item x="237"/>
        <item x="47"/>
        <item t="default"/>
      </items>
    </pivotField>
    <pivotField compact="0" numFmtId="44" showAll="0">
      <items count="633">
        <item x="1"/>
        <item x="385"/>
        <item x="11"/>
        <item x="626"/>
        <item x="132"/>
        <item x="265"/>
        <item x="289"/>
        <item x="501"/>
        <item x="560"/>
        <item x="134"/>
        <item x="150"/>
        <item x="125"/>
        <item x="259"/>
        <item x="152"/>
        <item x="477"/>
        <item x="361"/>
        <item x="65"/>
        <item x="146"/>
        <item x="98"/>
        <item x="338"/>
        <item x="540"/>
        <item x="73"/>
        <item x="432"/>
        <item x="116"/>
        <item x="229"/>
        <item x="52"/>
        <item x="131"/>
        <item x="114"/>
        <item x="323"/>
        <item x="177"/>
        <item x="298"/>
        <item x="631"/>
        <item x="193"/>
        <item x="112"/>
        <item x="180"/>
        <item x="286"/>
        <item x="54"/>
        <item x="230"/>
        <item x="96"/>
        <item x="172"/>
        <item x="493"/>
        <item x="109"/>
        <item x="519"/>
        <item x="532"/>
        <item x="127"/>
        <item x="263"/>
        <item x="106"/>
        <item x="27"/>
        <item x="492"/>
        <item x="244"/>
        <item x="531"/>
        <item x="434"/>
        <item x="575"/>
        <item x="590"/>
        <item x="51"/>
        <item x="476"/>
        <item x="586"/>
        <item x="282"/>
        <item x="83"/>
        <item x="389"/>
        <item x="311"/>
        <item x="119"/>
        <item x="89"/>
        <item x="7"/>
        <item x="87"/>
        <item x="243"/>
        <item x="247"/>
        <item x="221"/>
        <item x="139"/>
        <item x="418"/>
        <item x="605"/>
        <item x="461"/>
        <item x="602"/>
        <item x="373"/>
        <item x="620"/>
        <item x="601"/>
        <item x="572"/>
        <item x="291"/>
        <item x="543"/>
        <item x="609"/>
        <item x="53"/>
        <item x="404"/>
        <item x="14"/>
        <item x="517"/>
        <item x="341"/>
        <item x="354"/>
        <item x="460"/>
        <item x="526"/>
        <item x="416"/>
        <item x="211"/>
        <item x="408"/>
        <item x="463"/>
        <item x="490"/>
        <item x="257"/>
        <item x="363"/>
        <item x="321"/>
        <item x="174"/>
        <item x="26"/>
        <item x="113"/>
        <item x="582"/>
        <item x="3"/>
        <item x="94"/>
        <item x="179"/>
        <item x="124"/>
        <item x="412"/>
        <item x="169"/>
        <item x="108"/>
        <item x="464"/>
        <item x="593"/>
        <item x="285"/>
        <item x="305"/>
        <item x="551"/>
        <item x="201"/>
        <item x="6"/>
        <item x="137"/>
        <item x="445"/>
        <item x="101"/>
        <item x="248"/>
        <item x="333"/>
        <item x="358"/>
        <item x="388"/>
        <item x="439"/>
        <item x="608"/>
        <item x="462"/>
        <item x="217"/>
        <item x="347"/>
        <item x="307"/>
        <item x="318"/>
        <item x="232"/>
        <item x="59"/>
        <item x="297"/>
        <item x="303"/>
        <item x="326"/>
        <item x="39"/>
        <item x="268"/>
        <item x="411"/>
        <item x="621"/>
        <item x="457"/>
        <item x="238"/>
        <item x="511"/>
        <item x="369"/>
        <item x="128"/>
        <item x="350"/>
        <item x="488"/>
        <item x="466"/>
        <item x="330"/>
        <item x="485"/>
        <item x="391"/>
        <item x="133"/>
        <item x="194"/>
        <item x="35"/>
        <item x="74"/>
        <item x="212"/>
        <item x="561"/>
        <item x="245"/>
        <item x="239"/>
        <item x="327"/>
        <item x="227"/>
        <item x="584"/>
        <item x="314"/>
        <item x="370"/>
        <item x="597"/>
        <item x="15"/>
        <item x="68"/>
        <item x="598"/>
        <item x="344"/>
        <item x="216"/>
        <item x="571"/>
        <item x="570"/>
        <item x="240"/>
        <item x="186"/>
        <item x="2"/>
        <item x="513"/>
        <item x="296"/>
        <item x="508"/>
        <item x="580"/>
        <item x="483"/>
        <item x="275"/>
        <item x="407"/>
        <item x="449"/>
        <item x="269"/>
        <item x="79"/>
        <item x="198"/>
        <item x="447"/>
        <item x="497"/>
        <item x="5"/>
        <item x="258"/>
        <item x="12"/>
        <item x="28"/>
        <item x="105"/>
        <item x="410"/>
        <item x="579"/>
        <item x="75"/>
        <item x="161"/>
        <item x="384"/>
        <item x="520"/>
        <item x="565"/>
        <item x="123"/>
        <item x="222"/>
        <item x="57"/>
        <item x="155"/>
        <item x="510"/>
        <item x="218"/>
        <item x="72"/>
        <item x="168"/>
        <item x="308"/>
        <item x="486"/>
        <item x="578"/>
        <item x="162"/>
        <item x="536"/>
        <item x="495"/>
        <item x="546"/>
        <item x="599"/>
        <item x="167"/>
        <item x="417"/>
        <item x="270"/>
        <item x="206"/>
        <item x="612"/>
        <item x="233"/>
        <item x="481"/>
        <item x="530"/>
        <item x="189"/>
        <item x="0"/>
        <item x="192"/>
        <item x="299"/>
        <item x="545"/>
        <item x="423"/>
        <item x="334"/>
        <item x="617"/>
        <item x="66"/>
        <item x="166"/>
        <item x="271"/>
        <item x="118"/>
        <item x="627"/>
        <item x="524"/>
        <item x="187"/>
        <item x="224"/>
        <item x="604"/>
        <item x="403"/>
        <item x="136"/>
        <item x="82"/>
        <item x="397"/>
        <item x="85"/>
        <item x="436"/>
        <item x="504"/>
        <item x="30"/>
        <item x="4"/>
        <item x="103"/>
        <item x="122"/>
        <item x="564"/>
        <item x="574"/>
        <item x="294"/>
        <item x="610"/>
        <item x="231"/>
        <item x="277"/>
        <item x="200"/>
        <item x="343"/>
        <item x="443"/>
        <item x="185"/>
        <item x="262"/>
        <item x="304"/>
        <item x="46"/>
        <item x="419"/>
        <item x="196"/>
        <item x="596"/>
        <item x="606"/>
        <item x="390"/>
        <item x="325"/>
        <item x="86"/>
        <item x="393"/>
        <item x="71"/>
        <item x="364"/>
        <item x="25"/>
        <item x="81"/>
        <item x="252"/>
        <item x="437"/>
        <item x="246"/>
        <item x="381"/>
        <item x="581"/>
        <item x="241"/>
        <item x="623"/>
        <item x="332"/>
        <item x="576"/>
        <item x="316"/>
        <item x="380"/>
        <item x="378"/>
        <item x="591"/>
        <item x="254"/>
        <item x="214"/>
        <item x="503"/>
        <item x="525"/>
        <item x="491"/>
        <item x="328"/>
        <item x="143"/>
        <item x="234"/>
        <item x="70"/>
        <item x="154"/>
        <item x="183"/>
        <item x="615"/>
        <item x="249"/>
        <item x="473"/>
        <item x="421"/>
        <item x="36"/>
        <item x="331"/>
        <item x="549"/>
        <item x="178"/>
        <item x="90"/>
        <item x="156"/>
        <item x="402"/>
        <item x="182"/>
        <item x="141"/>
        <item x="458"/>
        <item x="215"/>
        <item x="509"/>
        <item x="317"/>
        <item x="527"/>
        <item x="518"/>
        <item x="10"/>
        <item x="293"/>
        <item x="399"/>
        <item x="315"/>
        <item x="41"/>
        <item x="395"/>
        <item x="130"/>
        <item x="489"/>
        <item x="441"/>
        <item x="594"/>
        <item x="494"/>
        <item x="32"/>
        <item x="428"/>
        <item x="386"/>
        <item x="279"/>
        <item x="351"/>
        <item x="92"/>
        <item x="235"/>
        <item x="401"/>
        <item x="191"/>
        <item x="170"/>
        <item x="554"/>
        <item x="190"/>
        <item x="22"/>
        <item x="301"/>
        <item x="78"/>
        <item x="563"/>
        <item x="208"/>
        <item x="566"/>
        <item x="498"/>
        <item x="515"/>
        <item x="69"/>
        <item x="309"/>
        <item x="558"/>
        <item x="171"/>
        <item x="197"/>
        <item x="62"/>
        <item x="312"/>
        <item x="446"/>
        <item x="400"/>
        <item x="283"/>
        <item x="147"/>
        <item x="377"/>
        <item x="622"/>
        <item x="453"/>
        <item x="420"/>
        <item x="164"/>
        <item x="284"/>
        <item x="470"/>
        <item x="427"/>
        <item x="38"/>
        <item x="43"/>
        <item x="158"/>
        <item x="502"/>
        <item x="44"/>
        <item x="533"/>
        <item x="274"/>
        <item x="467"/>
        <item x="371"/>
        <item x="104"/>
        <item x="618"/>
        <item x="616"/>
        <item x="84"/>
        <item x="250"/>
        <item x="559"/>
        <item x="16"/>
        <item x="365"/>
        <item x="589"/>
        <item x="163"/>
        <item x="55"/>
        <item x="37"/>
        <item x="450"/>
        <item x="50"/>
        <item x="88"/>
        <item x="405"/>
        <item x="228"/>
        <item x="387"/>
        <item x="67"/>
        <item x="547"/>
        <item x="349"/>
        <item x="469"/>
        <item x="148"/>
        <item x="433"/>
        <item x="455"/>
        <item x="630"/>
        <item x="430"/>
        <item x="345"/>
        <item x="151"/>
        <item x="553"/>
        <item x="145"/>
        <item x="577"/>
        <item x="406"/>
        <item x="398"/>
        <item x="359"/>
        <item x="33"/>
        <item x="573"/>
        <item x="535"/>
        <item x="220"/>
        <item x="251"/>
        <item x="209"/>
        <item x="184"/>
        <item x="438"/>
        <item x="281"/>
        <item x="8"/>
        <item x="368"/>
        <item x="479"/>
        <item x="516"/>
        <item x="102"/>
        <item x="425"/>
        <item x="256"/>
        <item x="552"/>
        <item x="484"/>
        <item x="544"/>
        <item x="176"/>
        <item x="507"/>
        <item x="335"/>
        <item x="472"/>
        <item x="91"/>
        <item x="522"/>
        <item x="595"/>
        <item x="413"/>
        <item x="435"/>
        <item x="267"/>
        <item x="614"/>
        <item x="280"/>
        <item x="499"/>
        <item x="261"/>
        <item x="523"/>
        <item x="587"/>
        <item x="142"/>
        <item x="129"/>
        <item x="611"/>
        <item x="426"/>
        <item x="210"/>
        <item x="160"/>
        <item x="409"/>
        <item x="474"/>
        <item x="456"/>
        <item x="31"/>
        <item x="585"/>
        <item x="64"/>
        <item x="292"/>
        <item x="99"/>
        <item x="195"/>
        <item x="415"/>
        <item x="366"/>
        <item x="21"/>
        <item x="290"/>
        <item x="394"/>
        <item x="459"/>
        <item x="468"/>
        <item x="29"/>
        <item x="367"/>
        <item x="58"/>
        <item x="500"/>
        <item x="23"/>
        <item x="440"/>
        <item x="383"/>
        <item x="548"/>
        <item x="260"/>
        <item x="287"/>
        <item x="355"/>
        <item x="444"/>
        <item x="541"/>
        <item x="93"/>
        <item x="352"/>
        <item x="49"/>
        <item x="236"/>
        <item x="451"/>
        <item x="272"/>
        <item x="295"/>
        <item x="300"/>
        <item x="375"/>
        <item x="273"/>
        <item x="342"/>
        <item x="107"/>
        <item x="225"/>
        <item x="538"/>
        <item x="144"/>
        <item x="382"/>
        <item x="202"/>
        <item x="242"/>
        <item x="454"/>
        <item x="157"/>
        <item x="188"/>
        <item x="121"/>
        <item x="542"/>
        <item x="13"/>
        <item x="213"/>
        <item x="61"/>
        <item x="320"/>
        <item x="111"/>
        <item x="264"/>
        <item x="45"/>
        <item x="619"/>
        <item x="506"/>
        <item x="452"/>
        <item x="568"/>
        <item x="339"/>
        <item x="115"/>
        <item x="138"/>
        <item x="475"/>
        <item x="253"/>
        <item x="20"/>
        <item x="348"/>
        <item x="288"/>
        <item x="562"/>
        <item x="60"/>
        <item x="512"/>
        <item x="24"/>
        <item x="353"/>
        <item x="204"/>
        <item x="205"/>
        <item x="329"/>
        <item x="159"/>
        <item x="110"/>
        <item x="255"/>
        <item x="135"/>
        <item x="306"/>
        <item x="226"/>
        <item x="173"/>
        <item x="487"/>
        <item x="336"/>
        <item x="97"/>
        <item x="34"/>
        <item x="324"/>
        <item x="219"/>
        <item x="550"/>
        <item x="360"/>
        <item x="310"/>
        <item x="340"/>
        <item x="207"/>
        <item x="319"/>
        <item x="153"/>
        <item x="625"/>
        <item x="374"/>
        <item x="302"/>
        <item x="77"/>
        <item x="496"/>
        <item x="583"/>
        <item x="628"/>
        <item x="607"/>
        <item x="372"/>
        <item x="278"/>
        <item x="42"/>
        <item x="600"/>
        <item x="56"/>
        <item x="48"/>
        <item x="442"/>
        <item x="40"/>
        <item x="17"/>
        <item x="203"/>
        <item x="505"/>
        <item x="414"/>
        <item x="337"/>
        <item x="514"/>
        <item x="569"/>
        <item x="482"/>
        <item x="76"/>
        <item x="379"/>
        <item x="555"/>
        <item x="529"/>
        <item x="471"/>
        <item x="266"/>
        <item x="313"/>
        <item x="528"/>
        <item x="376"/>
        <item x="18"/>
        <item x="567"/>
        <item x="429"/>
        <item x="181"/>
        <item x="19"/>
        <item x="448"/>
        <item x="149"/>
        <item x="534"/>
        <item x="603"/>
        <item x="478"/>
        <item x="357"/>
        <item x="120"/>
        <item x="480"/>
        <item x="322"/>
        <item x="629"/>
        <item x="556"/>
        <item x="356"/>
        <item x="392"/>
        <item x="63"/>
        <item x="95"/>
        <item x="9"/>
        <item x="624"/>
        <item x="537"/>
        <item x="199"/>
        <item x="424"/>
        <item x="592"/>
        <item x="557"/>
        <item x="80"/>
        <item x="126"/>
        <item x="396"/>
        <item x="100"/>
        <item x="539"/>
        <item x="431"/>
        <item x="140"/>
        <item x="276"/>
        <item x="117"/>
        <item x="521"/>
        <item x="588"/>
        <item x="465"/>
        <item x="165"/>
        <item x="223"/>
        <item x="346"/>
        <item x="362"/>
        <item x="175"/>
        <item x="613"/>
        <item x="422"/>
        <item x="47"/>
        <item x="237"/>
        <item t="default"/>
      </items>
    </pivotField>
    <pivotField compact="0" showAll="0">
      <items count="633">
        <item x="1"/>
        <item x="132"/>
        <item x="11"/>
        <item x="116"/>
        <item x="501"/>
        <item x="626"/>
        <item x="385"/>
        <item x="265"/>
        <item x="152"/>
        <item x="177"/>
        <item x="289"/>
        <item x="477"/>
        <item x="150"/>
        <item x="298"/>
        <item x="560"/>
        <item x="259"/>
        <item x="134"/>
        <item x="338"/>
        <item x="146"/>
        <item x="125"/>
        <item x="323"/>
        <item x="361"/>
        <item x="540"/>
        <item x="432"/>
        <item x="98"/>
        <item x="114"/>
        <item x="65"/>
        <item x="112"/>
        <item x="131"/>
        <item x="52"/>
        <item x="73"/>
        <item x="229"/>
        <item x="631"/>
        <item x="193"/>
        <item x="244"/>
        <item x="590"/>
        <item x="492"/>
        <item x="230"/>
        <item x="27"/>
        <item x="286"/>
        <item x="605"/>
        <item x="363"/>
        <item x="601"/>
        <item x="416"/>
        <item x="404"/>
        <item x="54"/>
        <item x="14"/>
        <item x="388"/>
        <item x="497"/>
        <item x="434"/>
        <item x="423"/>
        <item x="407"/>
        <item x="373"/>
        <item x="543"/>
        <item x="321"/>
        <item x="187"/>
        <item x="180"/>
        <item x="192"/>
        <item x="72"/>
        <item x="2"/>
        <item x="105"/>
        <item x="519"/>
        <item x="127"/>
        <item x="408"/>
        <item x="617"/>
        <item x="384"/>
        <item x="94"/>
        <item x="303"/>
        <item x="196"/>
        <item x="397"/>
        <item x="3"/>
        <item x="593"/>
        <item x="449"/>
        <item x="457"/>
        <item x="101"/>
        <item x="87"/>
        <item x="66"/>
        <item x="58"/>
        <item x="167"/>
        <item x="109"/>
        <item x="201"/>
        <item x="622"/>
        <item x="268"/>
        <item x="411"/>
        <item x="427"/>
        <item x="333"/>
        <item x="224"/>
        <item x="53"/>
        <item x="137"/>
        <item x="139"/>
        <item x="166"/>
        <item x="238"/>
        <item x="476"/>
        <item x="122"/>
        <item x="81"/>
        <item x="179"/>
        <item x="74"/>
        <item x="252"/>
        <item x="68"/>
        <item x="55"/>
        <item x="299"/>
        <item x="36"/>
        <item x="390"/>
        <item x="123"/>
        <item x="574"/>
        <item x="263"/>
        <item x="609"/>
        <item x="200"/>
        <item x="532"/>
        <item x="212"/>
        <item x="96"/>
        <item x="35"/>
        <item x="85"/>
        <item x="561"/>
        <item x="275"/>
        <item x="383"/>
        <item x="216"/>
        <item x="485"/>
        <item x="285"/>
        <item x="51"/>
        <item x="545"/>
        <item x="106"/>
        <item x="190"/>
        <item x="402"/>
        <item x="86"/>
        <item x="16"/>
        <item x="618"/>
        <item x="15"/>
        <item x="606"/>
        <item x="198"/>
        <item x="531"/>
        <item x="358"/>
        <item x="510"/>
        <item x="269"/>
        <item x="317"/>
        <item x="155"/>
        <item x="311"/>
        <item x="340"/>
        <item x="401"/>
        <item x="235"/>
        <item x="59"/>
        <item x="10"/>
        <item x="580"/>
        <item x="234"/>
        <item x="612"/>
        <item x="566"/>
        <item x="512"/>
        <item x="530"/>
        <item x="462"/>
        <item x="215"/>
        <item x="4"/>
        <item x="393"/>
        <item x="351"/>
        <item x="381"/>
        <item x="364"/>
        <item x="142"/>
        <item x="227"/>
        <item x="248"/>
        <item x="369"/>
        <item x="184"/>
        <item x="526"/>
        <item x="400"/>
        <item x="170"/>
        <item x="504"/>
        <item x="365"/>
        <item x="554"/>
        <item x="162"/>
        <item x="84"/>
        <item x="426"/>
        <item x="189"/>
        <item x="375"/>
        <item x="319"/>
        <item x="447"/>
        <item x="136"/>
        <item x="208"/>
        <item x="236"/>
        <item x="576"/>
        <item x="63"/>
        <item x="564"/>
        <item x="257"/>
        <item x="520"/>
        <item x="395"/>
        <item x="30"/>
        <item x="536"/>
        <item x="610"/>
        <item x="417"/>
        <item x="435"/>
        <item x="382"/>
        <item x="438"/>
        <item x="406"/>
        <item x="185"/>
        <item x="591"/>
        <item x="619"/>
        <item x="99"/>
        <item x="75"/>
        <item x="307"/>
        <item x="195"/>
        <item x="151"/>
        <item x="264"/>
        <item x="380"/>
        <item x="49"/>
        <item x="314"/>
        <item x="246"/>
        <item x="272"/>
        <item x="44"/>
        <item x="343"/>
        <item x="282"/>
        <item x="387"/>
        <item x="392"/>
        <item x="249"/>
        <item x="575"/>
        <item x="350"/>
        <item x="428"/>
        <item x="399"/>
        <item x="6"/>
        <item x="623"/>
        <item x="306"/>
        <item x="479"/>
        <item x="528"/>
        <item x="270"/>
        <item x="548"/>
        <item x="221"/>
        <item x="488"/>
        <item x="325"/>
        <item x="377"/>
        <item x="168"/>
        <item x="553"/>
        <item x="419"/>
        <item x="294"/>
        <item x="39"/>
        <item x="371"/>
        <item x="242"/>
        <item x="516"/>
        <item x="154"/>
        <item x="284"/>
        <item x="587"/>
        <item x="441"/>
        <item x="463"/>
        <item x="602"/>
        <item x="578"/>
        <item x="50"/>
        <item x="218"/>
        <item x="484"/>
        <item x="513"/>
        <item x="549"/>
        <item x="243"/>
        <item x="70"/>
        <item x="511"/>
        <item x="460"/>
        <item x="522"/>
        <item x="211"/>
        <item x="194"/>
        <item x="31"/>
        <item x="527"/>
        <item x="206"/>
        <item x="420"/>
        <item x="241"/>
        <item x="64"/>
        <item x="439"/>
        <item x="203"/>
        <item x="615"/>
        <item x="483"/>
        <item x="38"/>
        <item x="506"/>
        <item x="461"/>
        <item x="7"/>
        <item x="494"/>
        <item x="138"/>
        <item x="573"/>
        <item x="169"/>
        <item x="174"/>
        <item x="297"/>
        <item x="186"/>
        <item x="113"/>
        <item x="143"/>
        <item x="140"/>
        <item x="608"/>
        <item x="273"/>
        <item x="271"/>
        <item x="571"/>
        <item x="620"/>
        <item x="228"/>
        <item x="421"/>
        <item x="147"/>
        <item x="161"/>
        <item x="409"/>
        <item x="291"/>
        <item x="370"/>
        <item x="542"/>
        <item x="239"/>
        <item x="89"/>
        <item x="262"/>
        <item x="45"/>
        <item x="598"/>
        <item x="353"/>
        <item x="583"/>
        <item x="316"/>
        <item x="172"/>
        <item x="327"/>
        <item x="302"/>
        <item x="410"/>
        <item x="60"/>
        <item x="318"/>
        <item x="133"/>
        <item x="596"/>
        <item x="468"/>
        <item x="240"/>
        <item x="25"/>
        <item x="469"/>
        <item x="256"/>
        <item x="599"/>
        <item x="467"/>
        <item x="79"/>
        <item x="124"/>
        <item x="562"/>
        <item x="232"/>
        <item x="41"/>
        <item x="352"/>
        <item x="119"/>
        <item x="292"/>
        <item x="552"/>
        <item x="78"/>
        <item x="160"/>
        <item x="9"/>
        <item x="91"/>
        <item x="459"/>
        <item x="209"/>
        <item x="276"/>
        <item x="584"/>
        <item x="40"/>
        <item x="412"/>
        <item x="26"/>
        <item x="111"/>
        <item x="547"/>
        <item x="22"/>
        <item x="12"/>
        <item x="585"/>
        <item x="339"/>
        <item x="188"/>
        <item x="518"/>
        <item x="83"/>
        <item x="251"/>
        <item x="524"/>
        <item x="503"/>
        <item x="418"/>
        <item x="360"/>
        <item x="97"/>
        <item x="515"/>
        <item x="357"/>
        <item x="296"/>
        <item x="308"/>
        <item x="300"/>
        <item x="283"/>
        <item x="42"/>
        <item x="197"/>
        <item x="61"/>
        <item x="183"/>
        <item x="465"/>
        <item x="453"/>
        <item x="165"/>
        <item x="341"/>
        <item x="148"/>
        <item x="92"/>
        <item x="144"/>
        <item x="331"/>
        <item x="582"/>
        <item x="312"/>
        <item x="525"/>
        <item x="455"/>
        <item x="126"/>
        <item x="456"/>
        <item x="376"/>
        <item x="164"/>
        <item x="328"/>
        <item x="46"/>
        <item x="486"/>
        <item x="614"/>
        <item x="67"/>
        <item x="424"/>
        <item x="489"/>
        <item x="464"/>
        <item x="567"/>
        <item x="332"/>
        <item x="448"/>
        <item x="558"/>
        <item x="80"/>
        <item x="32"/>
        <item x="202"/>
        <item x="62"/>
        <item x="490"/>
        <item x="473"/>
        <item x="386"/>
        <item x="173"/>
        <item x="337"/>
        <item x="237"/>
        <item x="247"/>
        <item x="355"/>
        <item x="281"/>
        <item x="214"/>
        <item x="301"/>
        <item x="233"/>
        <item x="199"/>
        <item x="559"/>
        <item x="118"/>
        <item x="260"/>
        <item x="405"/>
        <item x="359"/>
        <item x="159"/>
        <item x="90"/>
        <item x="175"/>
        <item x="57"/>
        <item x="48"/>
        <item x="508"/>
        <item x="437"/>
        <item x="625"/>
        <item x="267"/>
        <item x="107"/>
        <item x="226"/>
        <item x="258"/>
        <item x="535"/>
        <item x="374"/>
        <item x="261"/>
        <item x="278"/>
        <item x="77"/>
        <item x="309"/>
        <item x="104"/>
        <item x="533"/>
        <item x="280"/>
        <item x="474"/>
        <item x="313"/>
        <item x="219"/>
        <item x="628"/>
        <item x="315"/>
        <item x="556"/>
        <item x="475"/>
        <item x="157"/>
        <item x="335"/>
        <item x="611"/>
        <item x="17"/>
        <item x="600"/>
        <item x="539"/>
        <item x="141"/>
        <item x="348"/>
        <item x="149"/>
        <item x="345"/>
        <item x="546"/>
        <item x="181"/>
        <item x="429"/>
        <item x="210"/>
        <item x="310"/>
        <item x="509"/>
        <item x="329"/>
        <item x="577"/>
        <item x="176"/>
        <item x="534"/>
        <item x="266"/>
        <item x="444"/>
        <item x="217"/>
        <item x="422"/>
        <item x="425"/>
        <item x="103"/>
        <item x="572"/>
        <item x="579"/>
        <item x="128"/>
        <item x="213"/>
        <item x="288"/>
        <item x="110"/>
        <item x="346"/>
        <item x="222"/>
        <item x="279"/>
        <item x="21"/>
        <item x="466"/>
        <item x="5"/>
        <item x="482"/>
        <item x="537"/>
        <item x="450"/>
        <item x="250"/>
        <item x="624"/>
        <item x="366"/>
        <item x="274"/>
        <item x="347"/>
        <item x="8"/>
        <item x="454"/>
        <item x="433"/>
        <item x="495"/>
        <item x="29"/>
        <item x="517"/>
        <item x="487"/>
        <item x="394"/>
        <item x="550"/>
        <item x="326"/>
        <item x="586"/>
        <item x="507"/>
        <item x="440"/>
        <item x="163"/>
        <item x="478"/>
        <item x="604"/>
        <item x="413"/>
        <item x="245"/>
        <item x="499"/>
        <item x="135"/>
        <item x="0"/>
        <item x="551"/>
        <item x="389"/>
        <item x="500"/>
        <item x="445"/>
        <item x="372"/>
        <item x="76"/>
        <item x="446"/>
        <item x="589"/>
        <item x="592"/>
        <item x="191"/>
        <item x="430"/>
        <item x="121"/>
        <item x="277"/>
        <item x="630"/>
        <item x="496"/>
        <item x="472"/>
        <item x="37"/>
        <item x="18"/>
        <item x="23"/>
        <item x="336"/>
        <item x="568"/>
        <item x="481"/>
        <item x="253"/>
        <item x="621"/>
        <item x="153"/>
        <item x="225"/>
        <item x="436"/>
        <item x="43"/>
        <item x="182"/>
        <item x="588"/>
        <item x="396"/>
        <item x="470"/>
        <item x="398"/>
        <item x="565"/>
        <item x="205"/>
        <item x="502"/>
        <item x="71"/>
        <item x="334"/>
        <item x="594"/>
        <item x="108"/>
        <item x="69"/>
        <item x="471"/>
        <item x="570"/>
        <item x="354"/>
        <item x="356"/>
        <item x="569"/>
        <item x="290"/>
        <item x="117"/>
        <item x="19"/>
        <item x="415"/>
        <item x="145"/>
        <item x="603"/>
        <item x="33"/>
        <item x="627"/>
        <item x="88"/>
        <item x="493"/>
        <item x="443"/>
        <item x="349"/>
        <item x="480"/>
        <item x="28"/>
        <item x="115"/>
        <item x="458"/>
        <item x="597"/>
        <item x="82"/>
        <item x="220"/>
        <item x="287"/>
        <item x="523"/>
        <item x="403"/>
        <item x="204"/>
        <item x="629"/>
        <item x="330"/>
        <item x="442"/>
        <item x="362"/>
        <item x="231"/>
        <item x="171"/>
        <item x="563"/>
        <item x="93"/>
        <item x="557"/>
        <item x="207"/>
        <item x="34"/>
        <item x="514"/>
        <item x="158"/>
        <item x="498"/>
        <item x="304"/>
        <item x="120"/>
        <item x="295"/>
        <item x="505"/>
        <item x="368"/>
        <item x="344"/>
        <item x="129"/>
        <item x="521"/>
        <item x="555"/>
        <item x="322"/>
        <item x="378"/>
        <item x="24"/>
        <item x="544"/>
        <item x="452"/>
        <item x="156"/>
        <item x="391"/>
        <item x="595"/>
        <item x="379"/>
        <item x="367"/>
        <item x="607"/>
        <item x="95"/>
        <item x="178"/>
        <item x="541"/>
        <item x="538"/>
        <item x="13"/>
        <item x="491"/>
        <item x="451"/>
        <item x="342"/>
        <item x="102"/>
        <item x="254"/>
        <item x="320"/>
        <item x="20"/>
        <item x="414"/>
        <item x="616"/>
        <item x="431"/>
        <item x="130"/>
        <item x="223"/>
        <item x="56"/>
        <item x="324"/>
        <item x="293"/>
        <item x="305"/>
        <item x="581"/>
        <item x="613"/>
        <item x="529"/>
        <item x="255"/>
        <item x="100"/>
        <item x="47"/>
        <item t="default"/>
      </items>
    </pivotField>
    <pivotField compact="0" defaultSubtotal="0" showAll="0">
      <items count="5">
        <item x="0"/>
        <item x="4"/>
        <item x="1"/>
        <item x="2"/>
        <item x="3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4"/>
  </colFields>
  <col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colItems>
  <pageFields count="1">
    <pageField fld="23"/>
  </pageFields>
  <dataFields count="1">
    <dataField name="Count of OrderID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 chartFormat="4">
  <location ref="A3:B16" firstHeaderRow="1" firstDataRow="1" firstDataCol="1"/>
  <pivotFields count="34">
    <pivotField compact="0" showAll="0">
      <items count="632">
        <item x="605"/>
        <item x="449"/>
        <item x="7"/>
        <item x="518"/>
        <item x="573"/>
        <item x="46"/>
        <item x="367"/>
        <item x="201"/>
        <item x="551"/>
        <item x="324"/>
        <item x="438"/>
        <item x="166"/>
        <item x="80"/>
        <item x="361"/>
        <item x="328"/>
        <item x="300"/>
        <item x="453"/>
        <item x="577"/>
        <item x="193"/>
        <item x="122"/>
        <item x="332"/>
        <item x="439"/>
        <item x="457"/>
        <item x="148"/>
        <item x="224"/>
        <item x="190"/>
        <item x="347"/>
        <item x="278"/>
        <item x="350"/>
        <item x="535"/>
        <item x="54"/>
        <item x="65"/>
        <item x="163"/>
        <item x="470"/>
        <item x="580"/>
        <item x="625"/>
        <item x="106"/>
        <item x="269"/>
        <item x="256"/>
        <item x="89"/>
        <item x="339"/>
        <item x="24"/>
        <item x="220"/>
        <item x="281"/>
        <item x="250"/>
        <item x="376"/>
        <item x="540"/>
        <item x="172"/>
        <item x="225"/>
        <item x="78"/>
        <item x="49"/>
        <item x="603"/>
        <item x="226"/>
        <item x="168"/>
        <item x="45"/>
        <item x="144"/>
        <item x="183"/>
        <item x="574"/>
        <item x="81"/>
        <item x="512"/>
        <item x="562"/>
        <item x="315"/>
        <item x="391"/>
        <item x="288"/>
        <item x="272"/>
        <item x="2"/>
        <item x="92"/>
        <item x="292"/>
        <item x="434"/>
        <item x="585"/>
        <item x="199"/>
        <item x="74"/>
        <item x="363"/>
        <item x="204"/>
        <item x="185"/>
        <item x="497"/>
        <item x="52"/>
        <item x="99"/>
        <item x="118"/>
        <item x="132"/>
        <item x="215"/>
        <item x="495"/>
        <item x="171"/>
        <item x="613"/>
        <item x="543"/>
        <item x="629"/>
        <item x="520"/>
        <item x="547"/>
        <item x="255"/>
        <item x="351"/>
        <item x="64"/>
        <item x="546"/>
        <item x="151"/>
        <item x="223"/>
        <item x="615"/>
        <item x="239"/>
        <item x="260"/>
        <item x="129"/>
        <item x="532"/>
        <item x="326"/>
        <item x="459"/>
        <item x="371"/>
        <item x="66"/>
        <item x="626"/>
        <item x="604"/>
        <item x="624"/>
        <item x="31"/>
        <item x="515"/>
        <item x="477"/>
        <item x="344"/>
        <item x="499"/>
        <item x="197"/>
        <item x="121"/>
        <item x="445"/>
        <item x="455"/>
        <item x="202"/>
        <item x="474"/>
        <item x="301"/>
        <item x="382"/>
        <item x="152"/>
        <item x="485"/>
        <item x="296"/>
        <item x="124"/>
        <item x="229"/>
        <item x="478"/>
        <item x="284"/>
        <item x="137"/>
        <item x="216"/>
        <item x="387"/>
        <item x="591"/>
        <item x="316"/>
        <item x="537"/>
        <item x="419"/>
        <item x="261"/>
        <item x="266"/>
        <item x="259"/>
        <item x="528"/>
        <item x="39"/>
        <item x="213"/>
        <item x="431"/>
        <item x="337"/>
        <item x="176"/>
        <item x="609"/>
        <item x="291"/>
        <item x="408"/>
        <item x="384"/>
        <item x="596"/>
        <item x="526"/>
        <item x="198"/>
        <item x="460"/>
        <item x="221"/>
        <item x="576"/>
        <item x="279"/>
        <item x="75"/>
        <item x="5"/>
        <item x="589"/>
        <item x="466"/>
        <item x="412"/>
        <item x="349"/>
        <item x="501"/>
        <item x="243"/>
        <item x="68"/>
        <item x="436"/>
        <item x="619"/>
        <item x="340"/>
        <item x="444"/>
        <item x="450"/>
        <item x="476"/>
        <item x="437"/>
        <item x="69"/>
        <item x="539"/>
        <item x="369"/>
        <item x="4"/>
        <item x="338"/>
        <item x="145"/>
        <item x="187"/>
        <item x="318"/>
        <item x="388"/>
        <item x="85"/>
        <item x="154"/>
        <item x="441"/>
        <item x="160"/>
        <item x="404"/>
        <item x="370"/>
        <item x="581"/>
        <item x="35"/>
        <item x="507"/>
        <item x="483"/>
        <item x="135"/>
        <item x="21"/>
        <item x="570"/>
        <item x="95"/>
        <item x="115"/>
        <item x="456"/>
        <item x="125"/>
        <item x="308"/>
        <item x="165"/>
        <item x="623"/>
        <item x="258"/>
        <item x="321"/>
        <item x="311"/>
        <item x="28"/>
        <item x="346"/>
        <item x="140"/>
        <item x="142"/>
        <item x="509"/>
        <item x="205"/>
        <item x="627"/>
        <item x="192"/>
        <item x="393"/>
        <item x="469"/>
        <item x="411"/>
        <item x="15"/>
        <item x="331"/>
        <item x="233"/>
        <item x="228"/>
        <item x="555"/>
        <item x="542"/>
        <item x="628"/>
        <item x="237"/>
        <item x="267"/>
        <item x="538"/>
        <item x="114"/>
        <item x="414"/>
        <item x="178"/>
        <item x="396"/>
        <item x="479"/>
        <item x="336"/>
        <item x="164"/>
        <item x="155"/>
        <item x="549"/>
        <item x="325"/>
        <item x="105"/>
        <item x="134"/>
        <item x="309"/>
        <item x="109"/>
        <item x="34"/>
        <item x="401"/>
        <item x="30"/>
        <item x="79"/>
        <item x="214"/>
        <item x="153"/>
        <item x="458"/>
        <item x="548"/>
        <item x="16"/>
        <item x="322"/>
        <item x="523"/>
        <item x="297"/>
        <item x="564"/>
        <item x="480"/>
        <item x="10"/>
        <item x="147"/>
        <item x="191"/>
        <item x="25"/>
        <item x="162"/>
        <item x="251"/>
        <item x="111"/>
        <item x="353"/>
        <item x="139"/>
        <item x="181"/>
        <item x="586"/>
        <item x="489"/>
        <item x="63"/>
        <item x="560"/>
        <item x="392"/>
        <item x="454"/>
        <item x="51"/>
        <item x="607"/>
        <item x="0"/>
        <item x="287"/>
        <item x="234"/>
        <item x="107"/>
        <item x="70"/>
        <item x="57"/>
        <item x="41"/>
        <item x="252"/>
        <item x="390"/>
        <item x="504"/>
        <item x="247"/>
        <item x="167"/>
        <item x="561"/>
        <item x="610"/>
        <item x="334"/>
        <item x="341"/>
        <item x="6"/>
        <item x="612"/>
        <item x="362"/>
        <item x="67"/>
        <item x="253"/>
        <item x="536"/>
        <item x="572"/>
        <item x="461"/>
        <item x="161"/>
        <item x="1"/>
        <item x="524"/>
        <item x="283"/>
        <item x="486"/>
        <item x="410"/>
        <item x="429"/>
        <item x="484"/>
        <item x="143"/>
        <item x="44"/>
        <item x="405"/>
        <item x="383"/>
        <item x="517"/>
        <item x="310"/>
        <item x="545"/>
        <item x="231"/>
        <item x="313"/>
        <item x="494"/>
        <item x="568"/>
        <item x="149"/>
        <item x="594"/>
        <item x="194"/>
        <item x="440"/>
        <item x="76"/>
        <item x="77"/>
        <item x="413"/>
        <item x="50"/>
        <item x="521"/>
        <item x="423"/>
        <item x="117"/>
        <item x="103"/>
        <item x="578"/>
        <item x="274"/>
        <item x="23"/>
        <item x="265"/>
        <item x="323"/>
        <item x="188"/>
        <item x="464"/>
        <item x="443"/>
        <item x="356"/>
        <item x="424"/>
        <item x="492"/>
        <item x="386"/>
        <item x="529"/>
        <item x="554"/>
        <item x="409"/>
        <item x="245"/>
        <item x="47"/>
        <item x="600"/>
        <item x="157"/>
        <item x="558"/>
        <item x="448"/>
        <item x="500"/>
        <item x="232"/>
        <item x="335"/>
        <item x="587"/>
        <item x="493"/>
        <item x="277"/>
        <item x="433"/>
        <item x="126"/>
        <item x="598"/>
        <item x="123"/>
        <item x="8"/>
        <item x="582"/>
        <item x="86"/>
        <item x="38"/>
        <item x="88"/>
        <item x="128"/>
        <item x="170"/>
        <item x="400"/>
        <item x="541"/>
        <item x="33"/>
        <item x="40"/>
        <item x="97"/>
        <item x="184"/>
        <item x="475"/>
        <item x="342"/>
        <item x="472"/>
        <item x="430"/>
        <item x="415"/>
        <item x="249"/>
        <item x="195"/>
        <item x="402"/>
        <item x="209"/>
        <item x="557"/>
        <item x="207"/>
        <item x="583"/>
        <item x="373"/>
        <item x="36"/>
        <item x="359"/>
        <item x="527"/>
        <item x="320"/>
        <item x="217"/>
        <item x="496"/>
        <item x="506"/>
        <item x="611"/>
        <item x="442"/>
        <item x="271"/>
        <item x="418"/>
        <item x="618"/>
        <item x="189"/>
        <item x="156"/>
        <item x="567"/>
        <item x="104"/>
        <item x="508"/>
        <item x="218"/>
        <item x="138"/>
        <item x="465"/>
        <item x="26"/>
        <item x="295"/>
        <item x="490"/>
        <item x="108"/>
        <item x="20"/>
        <item x="73"/>
        <item x="235"/>
        <item x="427"/>
        <item x="621"/>
        <item x="365"/>
        <item x="319"/>
        <item x="522"/>
        <item x="273"/>
        <item x="136"/>
        <item x="432"/>
        <item x="608"/>
        <item x="101"/>
        <item x="451"/>
        <item x="244"/>
        <item x="27"/>
        <item x="254"/>
        <item x="286"/>
        <item x="242"/>
        <item x="374"/>
        <item x="559"/>
        <item x="303"/>
        <item x="268"/>
        <item x="447"/>
        <item x="13"/>
        <item x="358"/>
        <item x="519"/>
        <item x="343"/>
        <item x="238"/>
        <item x="345"/>
        <item x="141"/>
        <item x="60"/>
        <item x="599"/>
        <item x="110"/>
        <item x="352"/>
        <item x="112"/>
        <item x="354"/>
        <item x="312"/>
        <item x="616"/>
        <item x="72"/>
        <item x="169"/>
        <item x="592"/>
        <item x="275"/>
        <item x="177"/>
        <item x="510"/>
        <item x="357"/>
        <item x="511"/>
        <item x="48"/>
        <item x="196"/>
        <item x="174"/>
        <item x="435"/>
        <item x="398"/>
        <item x="487"/>
        <item x="565"/>
        <item x="211"/>
        <item x="426"/>
        <item x="93"/>
        <item x="42"/>
        <item x="200"/>
        <item x="82"/>
        <item x="364"/>
        <item x="236"/>
        <item x="513"/>
        <item x="304"/>
        <item x="206"/>
        <item x="534"/>
        <item x="617"/>
        <item x="579"/>
        <item x="3"/>
        <item x="569"/>
        <item x="571"/>
        <item x="120"/>
        <item x="257"/>
        <item x="375"/>
        <item x="601"/>
        <item x="299"/>
        <item x="379"/>
        <item x="417"/>
        <item x="314"/>
        <item x="17"/>
        <item x="146"/>
        <item x="150"/>
        <item x="584"/>
        <item x="248"/>
        <item x="482"/>
        <item x="488"/>
        <item x="606"/>
        <item x="96"/>
        <item x="372"/>
        <item x="420"/>
        <item x="302"/>
        <item x="588"/>
        <item x="575"/>
        <item x="227"/>
        <item x="462"/>
        <item x="368"/>
        <item x="533"/>
        <item x="333"/>
        <item x="100"/>
        <item x="84"/>
        <item x="502"/>
        <item x="553"/>
        <item x="552"/>
        <item x="133"/>
        <item x="306"/>
        <item x="294"/>
        <item x="416"/>
        <item x="307"/>
        <item x="481"/>
        <item x="452"/>
        <item x="159"/>
        <item x="550"/>
        <item x="263"/>
        <item x="525"/>
        <item x="446"/>
        <item x="505"/>
        <item x="32"/>
        <item x="348"/>
        <item x="270"/>
        <item x="389"/>
        <item x="394"/>
        <item x="293"/>
        <item x="12"/>
        <item x="83"/>
        <item x="463"/>
        <item x="131"/>
        <item x="240"/>
        <item x="407"/>
        <item x="11"/>
        <item x="62"/>
        <item x="91"/>
        <item x="614"/>
        <item x="127"/>
        <item x="285"/>
        <item x="98"/>
        <item x="186"/>
        <item x="29"/>
        <item x="212"/>
        <item x="53"/>
        <item x="22"/>
        <item x="210"/>
        <item x="397"/>
        <item x="360"/>
        <item x="399"/>
        <item x="366"/>
        <item x="90"/>
        <item x="208"/>
        <item x="514"/>
        <item x="377"/>
        <item x="58"/>
        <item x="71"/>
        <item x="241"/>
        <item x="113"/>
        <item x="622"/>
        <item x="130"/>
        <item x="421"/>
        <item x="179"/>
        <item x="329"/>
        <item x="563"/>
        <item x="102"/>
        <item x="180"/>
        <item x="428"/>
        <item x="395"/>
        <item x="276"/>
        <item x="222"/>
        <item x="503"/>
        <item x="473"/>
        <item x="597"/>
        <item x="280"/>
        <item x="116"/>
        <item x="173"/>
        <item x="491"/>
        <item x="595"/>
        <item x="37"/>
        <item x="94"/>
        <item x="630"/>
        <item x="330"/>
        <item x="19"/>
        <item x="602"/>
        <item x="290"/>
        <item x="230"/>
        <item x="219"/>
        <item x="59"/>
        <item x="55"/>
        <item x="158"/>
        <item x="531"/>
        <item x="327"/>
        <item x="61"/>
        <item x="471"/>
        <item x="381"/>
        <item x="467"/>
        <item x="425"/>
        <item x="43"/>
        <item x="380"/>
        <item x="498"/>
        <item x="516"/>
        <item x="422"/>
        <item x="14"/>
        <item x="18"/>
        <item x="175"/>
        <item x="593"/>
        <item x="317"/>
        <item x="87"/>
        <item x="385"/>
        <item x="556"/>
        <item x="406"/>
        <item x="264"/>
        <item x="182"/>
        <item x="620"/>
        <item x="262"/>
        <item x="403"/>
        <item x="378"/>
        <item x="289"/>
        <item x="530"/>
        <item x="566"/>
        <item x="56"/>
        <item x="298"/>
        <item x="305"/>
        <item x="246"/>
        <item x="468"/>
        <item x="355"/>
        <item x="119"/>
        <item x="544"/>
        <item x="203"/>
        <item x="282"/>
        <item x="590"/>
        <item x="9"/>
        <item t="default"/>
      </items>
    </pivotField>
    <pivotField axis="axisRow"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3">
        <item x="4"/>
        <item x="2"/>
        <item x="0"/>
        <item x="7"/>
        <item x="5"/>
        <item x="9"/>
        <item x="8"/>
        <item x="11"/>
        <item x="6"/>
        <item x="1"/>
        <item x="10"/>
        <item x="3"/>
        <item t="default"/>
      </items>
    </pivotField>
    <pivotField name="Month2" compact="0" showAll="0">
      <items count="469">
        <item x="5"/>
        <item x="455"/>
        <item x="271"/>
        <item x="415"/>
        <item x="181"/>
        <item x="7"/>
        <item x="371"/>
        <item x="184"/>
        <item x="119"/>
        <item x="424"/>
        <item x="122"/>
        <item x="171"/>
        <item x="180"/>
        <item x="312"/>
        <item x="23"/>
        <item x="77"/>
        <item x="426"/>
        <item x="62"/>
        <item x="152"/>
        <item x="147"/>
        <item x="361"/>
        <item x="29"/>
        <item x="159"/>
        <item x="452"/>
        <item x="2"/>
        <item x="107"/>
        <item x="432"/>
        <item x="226"/>
        <item x="336"/>
        <item x="206"/>
        <item x="315"/>
        <item x="211"/>
        <item x="342"/>
        <item x="64"/>
        <item x="278"/>
        <item x="150"/>
        <item x="33"/>
        <item x="50"/>
        <item x="451"/>
        <item x="163"/>
        <item x="89"/>
        <item x="458"/>
        <item x="125"/>
        <item x="290"/>
        <item x="27"/>
        <item x="387"/>
        <item x="153"/>
        <item x="43"/>
        <item x="67"/>
        <item x="460"/>
        <item x="15"/>
        <item x="441"/>
        <item x="410"/>
        <item x="129"/>
        <item x="449"/>
        <item x="177"/>
        <item x="275"/>
        <item x="239"/>
        <item x="406"/>
        <item x="20"/>
        <item x="382"/>
        <item x="362"/>
        <item x="72"/>
        <item x="207"/>
        <item x="373"/>
        <item x="234"/>
        <item x="328"/>
        <item x="408"/>
        <item x="446"/>
        <item x="308"/>
        <item x="109"/>
        <item x="280"/>
        <item x="367"/>
        <item x="75"/>
        <item x="251"/>
        <item x="37"/>
        <item x="264"/>
        <item x="169"/>
        <item x="44"/>
        <item x="87"/>
        <item x="85"/>
        <item x="306"/>
        <item x="186"/>
        <item x="140"/>
        <item x="133"/>
        <item x="422"/>
        <item x="425"/>
        <item x="376"/>
        <item x="47"/>
        <item x="289"/>
        <item x="386"/>
        <item x="256"/>
        <item x="172"/>
        <item x="370"/>
        <item x="245"/>
        <item x="288"/>
        <item x="131"/>
        <item x="203"/>
        <item x="443"/>
        <item x="242"/>
        <item x="235"/>
        <item x="174"/>
        <item x="389"/>
        <item x="115"/>
        <item x="183"/>
        <item x="419"/>
        <item x="66"/>
        <item x="114"/>
        <item x="260"/>
        <item x="417"/>
        <item x="343"/>
        <item x="200"/>
        <item x="161"/>
        <item x="345"/>
        <item x="52"/>
        <item x="429"/>
        <item x="137"/>
        <item x="459"/>
        <item x="73"/>
        <item x="216"/>
        <item x="364"/>
        <item x="158"/>
        <item x="199"/>
        <item x="323"/>
        <item x="204"/>
        <item x="231"/>
        <item x="155"/>
        <item x="327"/>
        <item x="233"/>
        <item x="348"/>
        <item x="176"/>
        <item x="358"/>
        <item x="259"/>
        <item x="282"/>
        <item x="391"/>
        <item x="324"/>
        <item x="250"/>
        <item x="143"/>
        <item x="193"/>
        <item x="276"/>
        <item x="285"/>
        <item x="112"/>
        <item x="106"/>
        <item x="214"/>
        <item x="134"/>
        <item x="294"/>
        <item x="297"/>
        <item x="63"/>
        <item x="374"/>
        <item x="4"/>
        <item x="141"/>
        <item x="340"/>
        <item x="380"/>
        <item x="202"/>
        <item x="195"/>
        <item x="295"/>
        <item x="81"/>
        <item x="240"/>
        <item x="311"/>
        <item x="423"/>
        <item x="113"/>
        <item x="360"/>
        <item x="300"/>
        <item x="279"/>
        <item x="435"/>
        <item x="241"/>
        <item x="39"/>
        <item x="182"/>
        <item x="94"/>
        <item x="347"/>
        <item x="303"/>
        <item x="13"/>
        <item x="84"/>
        <item x="436"/>
        <item x="247"/>
        <item x="10"/>
        <item x="145"/>
        <item x="162"/>
        <item x="383"/>
        <item x="437"/>
        <item x="179"/>
        <item x="128"/>
        <item x="221"/>
        <item x="292"/>
        <item x="142"/>
        <item x="351"/>
        <item x="439"/>
        <item x="354"/>
        <item x="352"/>
        <item x="194"/>
        <item x="397"/>
        <item x="263"/>
        <item x="314"/>
        <item x="428"/>
        <item x="220"/>
        <item x="34"/>
        <item x="307"/>
        <item x="58"/>
        <item x="0"/>
        <item x="450"/>
        <item x="227"/>
        <item x="246"/>
        <item x="68"/>
        <item x="363"/>
        <item x="265"/>
        <item x="248"/>
        <item x="215"/>
        <item x="244"/>
        <item x="149"/>
        <item x="136"/>
        <item x="403"/>
        <item x="82"/>
        <item x="286"/>
        <item x="70"/>
        <item x="413"/>
        <item x="31"/>
        <item x="36"/>
        <item x="395"/>
        <item x="412"/>
        <item x="400"/>
        <item x="230"/>
        <item x="372"/>
        <item x="8"/>
        <item x="375"/>
        <item x="322"/>
        <item x="385"/>
        <item x="393"/>
        <item x="45"/>
        <item x="313"/>
        <item x="22"/>
        <item x="173"/>
        <item x="42"/>
        <item x="98"/>
        <item x="65"/>
        <item x="154"/>
        <item x="398"/>
        <item x="91"/>
        <item x="118"/>
        <item x="101"/>
        <item x="368"/>
        <item x="151"/>
        <item x="416"/>
        <item x="344"/>
        <item x="116"/>
        <item x="274"/>
        <item x="102"/>
        <item x="103"/>
        <item x="369"/>
        <item x="132"/>
        <item x="249"/>
        <item x="269"/>
        <item x="304"/>
        <item x="463"/>
        <item x="104"/>
        <item x="24"/>
        <item x="411"/>
        <item x="287"/>
        <item x="293"/>
        <item x="157"/>
        <item x="320"/>
        <item x="26"/>
        <item x="334"/>
        <item x="19"/>
        <item x="465"/>
        <item x="228"/>
        <item x="453"/>
        <item x="447"/>
        <item x="399"/>
        <item x="144"/>
        <item x="298"/>
        <item x="326"/>
        <item x="175"/>
        <item x="99"/>
        <item x="421"/>
        <item x="456"/>
        <item x="353"/>
        <item x="396"/>
        <item x="365"/>
        <item x="32"/>
        <item x="38"/>
        <item x="74"/>
        <item x="341"/>
        <item x="434"/>
        <item x="225"/>
        <item x="209"/>
        <item x="210"/>
        <item x="331"/>
        <item x="255"/>
        <item x="191"/>
        <item x="187"/>
        <item x="212"/>
        <item x="97"/>
        <item x="197"/>
        <item x="178"/>
        <item x="138"/>
        <item x="366"/>
        <item x="189"/>
        <item x="166"/>
        <item x="88"/>
        <item x="238"/>
        <item x="156"/>
        <item x="407"/>
        <item x="196"/>
        <item x="464"/>
        <item x="46"/>
        <item x="100"/>
        <item x="49"/>
        <item x="462"/>
        <item x="168"/>
        <item x="1"/>
        <item x="404"/>
        <item x="40"/>
        <item x="229"/>
        <item x="291"/>
        <item x="148"/>
        <item x="356"/>
        <item x="61"/>
        <item x="273"/>
        <item x="333"/>
        <item x="48"/>
        <item x="299"/>
        <item x="223"/>
        <item x="444"/>
        <item x="405"/>
        <item x="392"/>
        <item x="127"/>
        <item x="76"/>
        <item x="379"/>
        <item x="302"/>
        <item x="461"/>
        <item x="25"/>
        <item x="219"/>
        <item x="96"/>
        <item x="430"/>
        <item x="390"/>
        <item x="16"/>
        <item x="330"/>
        <item x="126"/>
        <item x="71"/>
        <item x="55"/>
        <item x="337"/>
        <item x="124"/>
        <item x="130"/>
        <item x="359"/>
        <item x="6"/>
        <item x="357"/>
        <item x="272"/>
        <item x="11"/>
        <item x="409"/>
        <item x="316"/>
        <item x="123"/>
        <item x="420"/>
        <item x="283"/>
        <item x="170"/>
        <item x="105"/>
        <item x="335"/>
        <item x="51"/>
        <item x="266"/>
        <item x="93"/>
        <item x="192"/>
        <item x="318"/>
        <item x="167"/>
        <item x="185"/>
        <item x="317"/>
        <item x="414"/>
        <item x="54"/>
        <item x="120"/>
        <item x="146"/>
        <item x="433"/>
        <item x="454"/>
        <item x="243"/>
        <item x="338"/>
        <item x="349"/>
        <item x="467"/>
        <item x="121"/>
        <item x="12"/>
        <item x="339"/>
        <item x="402"/>
        <item x="418"/>
        <item x="252"/>
        <item x="310"/>
        <item x="309"/>
        <item x="381"/>
        <item x="401"/>
        <item x="80"/>
        <item x="3"/>
        <item x="258"/>
        <item x="95"/>
        <item x="277"/>
        <item x="254"/>
        <item x="53"/>
        <item x="28"/>
        <item x="69"/>
        <item x="377"/>
        <item x="261"/>
        <item x="332"/>
        <item x="440"/>
        <item x="160"/>
        <item x="139"/>
        <item x="448"/>
        <item x="222"/>
        <item x="79"/>
        <item x="208"/>
        <item x="60"/>
        <item x="86"/>
        <item x="57"/>
        <item x="355"/>
        <item x="267"/>
        <item x="321"/>
        <item x="78"/>
        <item x="394"/>
        <item x="217"/>
        <item x="253"/>
        <item x="270"/>
        <item x="281"/>
        <item x="9"/>
        <item x="329"/>
        <item x="41"/>
        <item x="262"/>
        <item x="108"/>
        <item x="346"/>
        <item x="56"/>
        <item x="21"/>
        <item x="325"/>
        <item x="296"/>
        <item x="111"/>
        <item x="236"/>
        <item x="268"/>
        <item x="35"/>
        <item x="305"/>
        <item x="438"/>
        <item x="232"/>
        <item x="350"/>
        <item x="110"/>
        <item x="445"/>
        <item x="190"/>
        <item x="201"/>
        <item x="213"/>
        <item x="466"/>
        <item x="18"/>
        <item x="188"/>
        <item x="92"/>
        <item x="319"/>
        <item x="30"/>
        <item x="378"/>
        <item x="90"/>
        <item x="218"/>
        <item x="442"/>
        <item x="117"/>
        <item x="431"/>
        <item x="83"/>
        <item x="205"/>
        <item x="457"/>
        <item x="384"/>
        <item x="301"/>
        <item x="427"/>
        <item x="164"/>
        <item x="198"/>
        <item x="257"/>
        <item x="388"/>
        <item x="14"/>
        <item x="237"/>
        <item x="17"/>
        <item x="59"/>
        <item x="135"/>
        <item x="224"/>
        <item x="284"/>
        <item x="165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numFmtId="181" showAll="0">
      <items count="470">
        <item x="5"/>
        <item x="7"/>
        <item x="185"/>
        <item x="199"/>
        <item x="411"/>
        <item x="270"/>
        <item x="125"/>
        <item x="128"/>
        <item x="187"/>
        <item x="441"/>
        <item x="78"/>
        <item x="24"/>
        <item x="419"/>
        <item x="183"/>
        <item x="62"/>
        <item x="279"/>
        <item x="174"/>
        <item x="152"/>
        <item x="111"/>
        <item x="422"/>
        <item x="297"/>
        <item x="162"/>
        <item x="157"/>
        <item x="384"/>
        <item x="96"/>
        <item x="223"/>
        <item x="2"/>
        <item x="155"/>
        <item x="214"/>
        <item x="211"/>
        <item x="314"/>
        <item x="50"/>
        <item x="339"/>
        <item x="310"/>
        <item x="64"/>
        <item x="290"/>
        <item x="132"/>
        <item x="277"/>
        <item x="166"/>
        <item x="130"/>
        <item x="357"/>
        <item x="400"/>
        <item x="15"/>
        <item x="453"/>
        <item x="450"/>
        <item x="437"/>
        <item x="92"/>
        <item x="189"/>
        <item x="43"/>
        <item x="430"/>
        <item x="235"/>
        <item x="206"/>
        <item x="67"/>
        <item x="184"/>
        <item x="28"/>
        <item x="295"/>
        <item x="72"/>
        <item x="370"/>
        <item x="426"/>
        <item x="379"/>
        <item x="383"/>
        <item x="180"/>
        <item x="408"/>
        <item x="21"/>
        <item x="281"/>
        <item x="435"/>
        <item x="359"/>
        <item x="103"/>
        <item x="403"/>
        <item x="212"/>
        <item x="374"/>
        <item x="76"/>
        <item x="282"/>
        <item x="114"/>
        <item x="326"/>
        <item x="367"/>
        <item x="271"/>
        <item x="90"/>
        <item x="37"/>
        <item x="305"/>
        <item x="440"/>
        <item x="87"/>
        <item x="44"/>
        <item x="393"/>
        <item x="260"/>
        <item x="420"/>
        <item x="416"/>
        <item x="438"/>
        <item x="418"/>
        <item x="138"/>
        <item x="467"/>
        <item x="373"/>
        <item x="172"/>
        <item x="264"/>
        <item x="145"/>
        <item x="175"/>
        <item x="47"/>
        <item x="464"/>
        <item x="208"/>
        <item x="254"/>
        <item x="241"/>
        <item x="238"/>
        <item x="386"/>
        <item x="289"/>
        <item x="177"/>
        <item x="170"/>
        <item x="230"/>
        <item x="136"/>
        <item x="466"/>
        <item x="52"/>
        <item x="286"/>
        <item x="120"/>
        <item x="121"/>
        <item x="66"/>
        <item x="204"/>
        <item x="165"/>
        <item x="79"/>
        <item x="340"/>
        <item x="460"/>
        <item x="142"/>
        <item x="380"/>
        <item x="413"/>
        <item x="258"/>
        <item x="360"/>
        <item x="203"/>
        <item x="322"/>
        <item x="227"/>
        <item x="73"/>
        <item x="308"/>
        <item x="161"/>
        <item x="456"/>
        <item x="229"/>
        <item x="355"/>
        <item x="353"/>
        <item x="159"/>
        <item x="325"/>
        <item x="395"/>
        <item x="209"/>
        <item x="406"/>
        <item x="263"/>
        <item x="147"/>
        <item x="323"/>
        <item x="257"/>
        <item x="179"/>
        <item x="247"/>
        <item x="284"/>
        <item x="388"/>
        <item x="196"/>
        <item x="139"/>
        <item x="275"/>
        <item x="110"/>
        <item x="287"/>
        <item x="217"/>
        <item x="371"/>
        <item x="369"/>
        <item x="117"/>
        <item x="298"/>
        <item x="293"/>
        <item x="336"/>
        <item x="207"/>
        <item x="83"/>
        <item x="63"/>
        <item x="4"/>
        <item x="236"/>
        <item x="436"/>
        <item x="309"/>
        <item x="296"/>
        <item x="358"/>
        <item x="429"/>
        <item x="362"/>
        <item x="198"/>
        <item x="385"/>
        <item x="465"/>
        <item x="118"/>
        <item x="98"/>
        <item x="237"/>
        <item x="86"/>
        <item x="243"/>
        <item x="186"/>
        <item x="253"/>
        <item x="454"/>
        <item x="39"/>
        <item x="303"/>
        <item x="431"/>
        <item x="250"/>
        <item x="414"/>
        <item x="10"/>
        <item x="344"/>
        <item x="13"/>
        <item x="134"/>
        <item x="176"/>
        <item x="433"/>
        <item x="149"/>
        <item x="381"/>
        <item x="391"/>
        <item x="182"/>
        <item x="146"/>
        <item x="348"/>
        <item x="351"/>
        <item x="280"/>
        <item x="259"/>
        <item x="312"/>
        <item x="68"/>
        <item x="447"/>
        <item x="402"/>
        <item x="34"/>
        <item x="221"/>
        <item x="427"/>
        <item x="197"/>
        <item x="375"/>
        <item x="261"/>
        <item x="0"/>
        <item x="154"/>
        <item x="58"/>
        <item x="244"/>
        <item x="242"/>
        <item x="240"/>
        <item x="288"/>
        <item x="301"/>
        <item x="141"/>
        <item x="84"/>
        <item x="410"/>
        <item x="36"/>
        <item x="70"/>
        <item x="32"/>
        <item x="409"/>
        <item x="321"/>
        <item x="365"/>
        <item x="372"/>
        <item x="226"/>
        <item x="338"/>
        <item x="428"/>
        <item x="23"/>
        <item x="390"/>
        <item x="94"/>
        <item x="102"/>
        <item x="45"/>
        <item x="8"/>
        <item x="42"/>
        <item x="163"/>
        <item x="65"/>
        <item x="105"/>
        <item x="421"/>
        <item x="107"/>
        <item x="124"/>
        <item x="158"/>
        <item x="307"/>
        <item x="156"/>
        <item x="392"/>
        <item x="278"/>
        <item x="266"/>
        <item x="443"/>
        <item x="412"/>
        <item x="273"/>
        <item x="304"/>
        <item x="122"/>
        <item x="75"/>
        <item x="455"/>
        <item x="246"/>
        <item x="137"/>
        <item x="106"/>
        <item x="364"/>
        <item x="292"/>
        <item x="25"/>
        <item x="160"/>
        <item x="27"/>
        <item x="446"/>
        <item x="20"/>
        <item x="108"/>
        <item x="224"/>
        <item x="294"/>
        <item x="423"/>
        <item x="319"/>
        <item x="332"/>
        <item x="442"/>
        <item x="331"/>
        <item x="148"/>
        <item x="299"/>
        <item x="33"/>
        <item x="462"/>
        <item x="417"/>
        <item x="448"/>
        <item x="178"/>
        <item x="104"/>
        <item x="337"/>
        <item x="252"/>
        <item x="213"/>
        <item x="350"/>
        <item x="394"/>
        <item x="150"/>
        <item x="38"/>
        <item x="74"/>
        <item x="425"/>
        <item x="181"/>
        <item x="215"/>
        <item x="361"/>
        <item x="330"/>
        <item x="101"/>
        <item x="191"/>
        <item x="234"/>
        <item x="168"/>
        <item x="201"/>
        <item x="143"/>
        <item x="1"/>
        <item x="193"/>
        <item x="459"/>
        <item x="399"/>
        <item x="171"/>
        <item x="91"/>
        <item x="291"/>
        <item x="272"/>
        <item x="49"/>
        <item x="432"/>
        <item x="46"/>
        <item x="200"/>
        <item x="352"/>
        <item x="40"/>
        <item x="61"/>
        <item x="225"/>
        <item x="401"/>
        <item x="48"/>
        <item x="153"/>
        <item x="300"/>
        <item x="389"/>
        <item x="119"/>
        <item x="302"/>
        <item x="387"/>
        <item x="341"/>
        <item x="220"/>
        <item x="133"/>
        <item x="55"/>
        <item x="354"/>
        <item x="71"/>
        <item x="77"/>
        <item x="452"/>
        <item x="129"/>
        <item x="100"/>
        <item x="368"/>
        <item x="26"/>
        <item x="113"/>
        <item x="404"/>
        <item x="16"/>
        <item x="135"/>
        <item x="131"/>
        <item x="356"/>
        <item x="6"/>
        <item x="30"/>
        <item x="457"/>
        <item x="315"/>
        <item x="262"/>
        <item x="11"/>
        <item x="109"/>
        <item x="333"/>
        <item x="269"/>
        <item x="195"/>
        <item x="173"/>
        <item x="190"/>
        <item x="97"/>
        <item x="51"/>
        <item x="316"/>
        <item x="188"/>
        <item x="444"/>
        <item x="126"/>
        <item x="54"/>
        <item x="169"/>
        <item x="239"/>
        <item x="468"/>
        <item x="335"/>
        <item x="345"/>
        <item x="334"/>
        <item x="127"/>
        <item x="397"/>
        <item x="268"/>
        <item x="398"/>
        <item x="248"/>
        <item x="12"/>
        <item x="3"/>
        <item x="99"/>
        <item x="256"/>
        <item x="343"/>
        <item x="306"/>
        <item x="311"/>
        <item x="29"/>
        <item x="267"/>
        <item x="251"/>
        <item x="434"/>
        <item x="82"/>
        <item x="376"/>
        <item x="81"/>
        <item x="232"/>
        <item x="276"/>
        <item x="363"/>
        <item x="53"/>
        <item x="222"/>
        <item x="461"/>
        <item x="164"/>
        <item x="69"/>
        <item x="415"/>
        <item x="57"/>
        <item x="88"/>
        <item x="144"/>
        <item x="283"/>
        <item x="449"/>
        <item x="19"/>
        <item x="80"/>
        <item x="60"/>
        <item x="320"/>
        <item x="218"/>
        <item x="249"/>
        <item x="407"/>
        <item x="378"/>
        <item x="274"/>
        <item x="327"/>
        <item x="9"/>
        <item x="112"/>
        <item x="342"/>
        <item x="56"/>
        <item x="41"/>
        <item x="451"/>
        <item x="366"/>
        <item x="89"/>
        <item x="231"/>
        <item x="22"/>
        <item x="324"/>
        <item x="228"/>
        <item x="346"/>
        <item x="265"/>
        <item x="35"/>
        <item x="313"/>
        <item x="116"/>
        <item x="245"/>
        <item x="458"/>
        <item x="205"/>
        <item x="115"/>
        <item x="216"/>
        <item x="463"/>
        <item x="439"/>
        <item x="194"/>
        <item x="18"/>
        <item x="31"/>
        <item x="192"/>
        <item x="219"/>
        <item x="123"/>
        <item x="377"/>
        <item x="93"/>
        <item x="318"/>
        <item x="95"/>
        <item x="85"/>
        <item x="151"/>
        <item x="424"/>
        <item x="255"/>
        <item x="405"/>
        <item x="210"/>
        <item x="382"/>
        <item x="349"/>
        <item x="317"/>
        <item x="233"/>
        <item x="59"/>
        <item x="328"/>
        <item x="17"/>
        <item x="167"/>
        <item x="445"/>
        <item x="329"/>
        <item x="202"/>
        <item x="347"/>
        <item x="285"/>
        <item x="140"/>
        <item x="14"/>
        <item x="396"/>
        <item t="default"/>
      </items>
    </pivotField>
    <pivotField compact="0" numFmtId="181" showAll="0">
      <items count="473">
        <item x="5"/>
        <item x="185"/>
        <item x="7"/>
        <item x="412"/>
        <item x="199"/>
        <item x="123"/>
        <item x="126"/>
        <item x="187"/>
        <item x="443"/>
        <item x="78"/>
        <item x="24"/>
        <item x="420"/>
        <item x="183"/>
        <item x="62"/>
        <item x="174"/>
        <item x="152"/>
        <item x="109"/>
        <item x="424"/>
        <item x="276"/>
        <item x="294"/>
        <item x="162"/>
        <item x="157"/>
        <item x="381"/>
        <item x="95"/>
        <item x="222"/>
        <item x="2"/>
        <item x="155"/>
        <item x="214"/>
        <item x="211"/>
        <item x="311"/>
        <item x="50"/>
        <item x="335"/>
        <item x="307"/>
        <item x="64"/>
        <item x="130"/>
        <item x="273"/>
        <item x="166"/>
        <item x="128"/>
        <item x="382"/>
        <item x="287"/>
        <item x="34"/>
        <item x="457"/>
        <item x="454"/>
        <item x="440"/>
        <item x="91"/>
        <item x="189"/>
        <item x="15"/>
        <item x="433"/>
        <item x="206"/>
        <item x="67"/>
        <item x="184"/>
        <item x="28"/>
        <item x="292"/>
        <item x="133"/>
        <item x="366"/>
        <item x="428"/>
        <item x="376"/>
        <item x="380"/>
        <item x="180"/>
        <item x="72"/>
        <item x="21"/>
        <item x="278"/>
        <item x="438"/>
        <item x="354"/>
        <item x="102"/>
        <item x="403"/>
        <item x="212"/>
        <item x="370"/>
        <item x="76"/>
        <item x="279"/>
        <item x="112"/>
        <item x="322"/>
        <item x="363"/>
        <item x="246"/>
        <item x="38"/>
        <item x="302"/>
        <item x="89"/>
        <item x="86"/>
        <item x="44"/>
        <item x="392"/>
        <item x="258"/>
        <item x="421"/>
        <item x="417"/>
        <item x="441"/>
        <item x="419"/>
        <item x="137"/>
        <item x="470"/>
        <item x="369"/>
        <item x="172"/>
        <item x="262"/>
        <item x="144"/>
        <item x="360"/>
        <item x="175"/>
        <item x="47"/>
        <item x="208"/>
        <item x="252"/>
        <item x="239"/>
        <item x="236"/>
        <item x="385"/>
        <item x="286"/>
        <item x="177"/>
        <item x="170"/>
        <item x="229"/>
        <item x="135"/>
        <item x="469"/>
        <item x="52"/>
        <item x="283"/>
        <item x="118"/>
        <item x="119"/>
        <item x="66"/>
        <item x="204"/>
        <item x="165"/>
        <item x="79"/>
        <item x="336"/>
        <item x="464"/>
        <item x="141"/>
        <item x="377"/>
        <item x="414"/>
        <item x="256"/>
        <item x="355"/>
        <item x="203"/>
        <item x="318"/>
        <item x="226"/>
        <item x="73"/>
        <item x="305"/>
        <item x="161"/>
        <item x="460"/>
        <item x="228"/>
        <item x="351"/>
        <item x="349"/>
        <item x="159"/>
        <item x="321"/>
        <item x="394"/>
        <item x="209"/>
        <item x="406"/>
        <item x="261"/>
        <item x="147"/>
        <item x="319"/>
        <item x="255"/>
        <item x="179"/>
        <item x="245"/>
        <item x="281"/>
        <item x="387"/>
        <item x="196"/>
        <item x="271"/>
        <item x="108"/>
        <item x="284"/>
        <item x="138"/>
        <item x="367"/>
        <item x="365"/>
        <item x="115"/>
        <item x="145"/>
        <item x="295"/>
        <item x="290"/>
        <item x="332"/>
        <item x="207"/>
        <item x="82"/>
        <item x="63"/>
        <item x="4"/>
        <item x="234"/>
        <item x="439"/>
        <item x="306"/>
        <item x="293"/>
        <item x="353"/>
        <item x="275"/>
        <item x="432"/>
        <item x="357"/>
        <item x="198"/>
        <item x="383"/>
        <item x="468"/>
        <item x="116"/>
        <item x="97"/>
        <item x="235"/>
        <item x="85"/>
        <item x="241"/>
        <item x="186"/>
        <item x="251"/>
        <item x="458"/>
        <item x="40"/>
        <item x="300"/>
        <item x="434"/>
        <item x="248"/>
        <item x="415"/>
        <item x="10"/>
        <item x="340"/>
        <item x="13"/>
        <item x="132"/>
        <item x="176"/>
        <item x="436"/>
        <item x="149"/>
        <item x="378"/>
        <item x="182"/>
        <item x="146"/>
        <item x="344"/>
        <item x="390"/>
        <item x="347"/>
        <item x="277"/>
        <item x="257"/>
        <item x="309"/>
        <item x="68"/>
        <item x="451"/>
        <item x="402"/>
        <item x="35"/>
        <item x="220"/>
        <item x="430"/>
        <item x="197"/>
        <item x="371"/>
        <item x="259"/>
        <item x="0"/>
        <item x="154"/>
        <item x="58"/>
        <item x="242"/>
        <item x="240"/>
        <item x="238"/>
        <item x="285"/>
        <item x="298"/>
        <item x="140"/>
        <item x="83"/>
        <item x="411"/>
        <item x="396"/>
        <item x="37"/>
        <item x="70"/>
        <item x="32"/>
        <item x="410"/>
        <item x="317"/>
        <item x="361"/>
        <item x="368"/>
        <item x="225"/>
        <item x="334"/>
        <item x="431"/>
        <item x="23"/>
        <item x="389"/>
        <item x="408"/>
        <item x="101"/>
        <item x="45"/>
        <item x="8"/>
        <item x="43"/>
        <item x="163"/>
        <item x="93"/>
        <item x="65"/>
        <item x="104"/>
        <item x="422"/>
        <item x="105"/>
        <item x="122"/>
        <item x="158"/>
        <item x="304"/>
        <item x="156"/>
        <item x="391"/>
        <item x="274"/>
        <item x="264"/>
        <item x="445"/>
        <item x="413"/>
        <item x="269"/>
        <item x="301"/>
        <item x="120"/>
        <item x="374"/>
        <item x="459"/>
        <item x="244"/>
        <item x="136"/>
        <item x="75"/>
        <item x="359"/>
        <item x="409"/>
        <item x="25"/>
        <item x="160"/>
        <item x="27"/>
        <item x="289"/>
        <item x="448"/>
        <item x="106"/>
        <item x="223"/>
        <item x="20"/>
        <item x="291"/>
        <item x="425"/>
        <item x="316"/>
        <item x="328"/>
        <item x="444"/>
        <item x="327"/>
        <item x="148"/>
        <item x="296"/>
        <item x="466"/>
        <item x="450"/>
        <item x="418"/>
        <item x="33"/>
        <item x="452"/>
        <item x="178"/>
        <item x="103"/>
        <item x="333"/>
        <item x="250"/>
        <item x="213"/>
        <item x="346"/>
        <item x="393"/>
        <item x="150"/>
        <item x="39"/>
        <item x="74"/>
        <item x="427"/>
        <item x="181"/>
        <item x="215"/>
        <item x="356"/>
        <item x="326"/>
        <item x="100"/>
        <item x="191"/>
        <item x="233"/>
        <item x="168"/>
        <item x="201"/>
        <item x="142"/>
        <item x="193"/>
        <item x="463"/>
        <item x="400"/>
        <item x="171"/>
        <item x="1"/>
        <item x="90"/>
        <item x="288"/>
        <item x="268"/>
        <item x="49"/>
        <item x="435"/>
        <item x="46"/>
        <item x="200"/>
        <item x="348"/>
        <item x="41"/>
        <item x="61"/>
        <item x="224"/>
        <item x="401"/>
        <item x="48"/>
        <item x="153"/>
        <item x="297"/>
        <item x="388"/>
        <item x="117"/>
        <item x="299"/>
        <item x="386"/>
        <item x="337"/>
        <item x="219"/>
        <item x="131"/>
        <item x="55"/>
        <item x="350"/>
        <item x="71"/>
        <item x="77"/>
        <item x="456"/>
        <item x="127"/>
        <item x="99"/>
        <item x="364"/>
        <item x="26"/>
        <item x="111"/>
        <item x="404"/>
        <item x="16"/>
        <item x="134"/>
        <item x="129"/>
        <item x="352"/>
        <item x="6"/>
        <item x="30"/>
        <item x="461"/>
        <item x="312"/>
        <item x="260"/>
        <item x="11"/>
        <item x="107"/>
        <item x="329"/>
        <item x="267"/>
        <item x="195"/>
        <item x="173"/>
        <item x="190"/>
        <item x="96"/>
        <item x="51"/>
        <item x="313"/>
        <item x="449"/>
        <item x="188"/>
        <item x="446"/>
        <item x="124"/>
        <item x="54"/>
        <item x="169"/>
        <item x="237"/>
        <item x="471"/>
        <item x="331"/>
        <item x="341"/>
        <item x="330"/>
        <item x="125"/>
        <item x="397"/>
        <item x="266"/>
        <item x="398"/>
        <item x="247"/>
        <item x="12"/>
        <item x="3"/>
        <item x="98"/>
        <item x="254"/>
        <item x="339"/>
        <item x="303"/>
        <item x="308"/>
        <item x="29"/>
        <item x="265"/>
        <item x="249"/>
        <item x="437"/>
        <item x="81"/>
        <item x="372"/>
        <item x="231"/>
        <item x="272"/>
        <item x="358"/>
        <item x="53"/>
        <item x="221"/>
        <item x="465"/>
        <item x="164"/>
        <item x="69"/>
        <item x="416"/>
        <item x="57"/>
        <item x="87"/>
        <item x="143"/>
        <item x="399"/>
        <item x="453"/>
        <item x="384"/>
        <item x="429"/>
        <item x="80"/>
        <item x="60"/>
        <item x="280"/>
        <item x="217"/>
        <item x="19"/>
        <item x="407"/>
        <item x="375"/>
        <item x="270"/>
        <item x="323"/>
        <item x="9"/>
        <item x="110"/>
        <item x="338"/>
        <item x="56"/>
        <item x="42"/>
        <item x="455"/>
        <item x="362"/>
        <item x="88"/>
        <item x="230"/>
        <item x="22"/>
        <item x="320"/>
        <item x="227"/>
        <item x="342"/>
        <item x="263"/>
        <item x="36"/>
        <item x="310"/>
        <item x="114"/>
        <item x="243"/>
        <item x="462"/>
        <item x="205"/>
        <item x="113"/>
        <item x="216"/>
        <item x="467"/>
        <item x="442"/>
        <item x="194"/>
        <item x="18"/>
        <item x="31"/>
        <item x="192"/>
        <item x="218"/>
        <item x="121"/>
        <item x="373"/>
        <item x="92"/>
        <item x="315"/>
        <item x="94"/>
        <item x="84"/>
        <item x="151"/>
        <item x="426"/>
        <item x="423"/>
        <item x="405"/>
        <item x="210"/>
        <item x="379"/>
        <item x="253"/>
        <item x="345"/>
        <item x="314"/>
        <item x="232"/>
        <item x="59"/>
        <item x="324"/>
        <item x="17"/>
        <item x="167"/>
        <item x="447"/>
        <item x="325"/>
        <item x="202"/>
        <item x="343"/>
        <item x="282"/>
        <item x="139"/>
        <item x="14"/>
        <item x="395"/>
        <item t="default"/>
      </items>
    </pivotField>
    <pivotField compact="0" numFmtId="1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compact="0" showAll="0">
      <items count="4">
        <item m="1" x="2"/>
        <item x="0"/>
        <item x="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compact="0" showAll="0">
      <items count="41">
        <item x="7"/>
        <item x="36"/>
        <item x="38"/>
        <item x="6"/>
        <item x="9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4"/>
        <item x="28"/>
        <item x="1"/>
        <item x="30"/>
        <item x="24"/>
        <item x="8"/>
        <item x="23"/>
        <item x="14"/>
        <item x="27"/>
        <item x="5"/>
        <item x="35"/>
        <item x="26"/>
        <item t="default"/>
      </items>
    </pivotField>
    <pivotField compact="0" showAll="0">
      <items count="7">
        <item x="3"/>
        <item x="0"/>
        <item x="1"/>
        <item x="5"/>
        <item x="2"/>
        <item x="4"/>
        <item t="default"/>
      </items>
    </pivotField>
    <pivotField compact="0" showAll="0">
      <items count="7">
        <item x="4"/>
        <item x="3"/>
        <item x="2"/>
        <item x="5"/>
        <item x="1"/>
        <item x="0"/>
        <item t="default"/>
      </items>
    </pivotField>
    <pivotField compact="0" showAll="0">
      <items count="17">
        <item x="8"/>
        <item x="5"/>
        <item x="0"/>
        <item x="14"/>
        <item x="6"/>
        <item x="9"/>
        <item x="3"/>
        <item x="10"/>
        <item x="2"/>
        <item x="1"/>
        <item x="11"/>
        <item x="4"/>
        <item x="12"/>
        <item x="13"/>
        <item x="7"/>
        <item x="15"/>
        <item t="default"/>
      </items>
    </pivotField>
    <pivotField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showAll="0">
      <items count="631">
        <item x="139"/>
        <item x="621"/>
        <item x="333"/>
        <item x="415"/>
        <item x="340"/>
        <item x="394"/>
        <item x="441"/>
        <item x="293"/>
        <item x="491"/>
        <item x="587"/>
        <item x="207"/>
        <item x="14"/>
        <item x="478"/>
        <item x="58"/>
        <item x="261"/>
        <item x="59"/>
        <item x="325"/>
        <item x="103"/>
        <item x="170"/>
        <item x="70"/>
        <item x="497"/>
        <item x="416"/>
        <item x="312"/>
        <item x="319"/>
        <item x="489"/>
        <item x="332"/>
        <item x="355"/>
        <item x="516"/>
        <item x="185"/>
        <item x="545"/>
        <item x="221"/>
        <item x="259"/>
        <item x="450"/>
        <item x="521"/>
        <item x="576"/>
        <item x="270"/>
        <item x="22"/>
        <item x="158"/>
        <item x="131"/>
        <item x="154"/>
        <item x="290"/>
        <item x="76"/>
        <item x="113"/>
        <item x="569"/>
        <item x="187"/>
        <item x="618"/>
        <item x="588"/>
        <item x="227"/>
        <item x="552"/>
        <item x="551"/>
        <item x="97"/>
        <item x="460"/>
        <item x="214"/>
        <item x="352"/>
        <item x="299"/>
        <item x="57"/>
        <item x="288"/>
        <item x="50"/>
        <item x="147"/>
        <item x="437"/>
        <item x="346"/>
        <item x="180"/>
        <item x="358"/>
        <item x="142"/>
        <item x="493"/>
        <item x="557"/>
        <item x="465"/>
        <item x="604"/>
        <item x="360"/>
        <item x="592"/>
        <item x="10"/>
        <item x="277"/>
        <item x="18"/>
        <item x="338"/>
        <item x="541"/>
        <item x="292"/>
        <item x="454"/>
        <item x="25"/>
        <item x="209"/>
        <item x="93"/>
        <item x="66"/>
        <item x="77"/>
        <item x="554"/>
        <item x="536"/>
        <item x="306"/>
        <item x="182"/>
        <item x="408"/>
        <item x="109"/>
        <item x="75"/>
        <item x="169"/>
        <item x="513"/>
        <item x="471"/>
        <item x="579"/>
        <item x="607"/>
        <item x="624"/>
        <item x="34"/>
        <item x="172"/>
        <item x="627"/>
        <item x="401"/>
        <item x="126"/>
        <item x="391"/>
        <item x="124"/>
        <item x="484"/>
        <item x="523"/>
        <item x="377"/>
        <item x="24"/>
        <item x="87"/>
        <item x="82"/>
        <item x="324"/>
        <item x="510"/>
        <item x="367"/>
        <item x="458"/>
        <item x="12"/>
        <item x="136"/>
        <item x="9"/>
        <item x="294"/>
        <item x="157"/>
        <item x="464"/>
        <item x="210"/>
        <item x="315"/>
        <item x="467"/>
        <item x="85"/>
        <item x="161"/>
        <item x="260"/>
        <item x="348"/>
        <item x="256"/>
        <item x="573"/>
        <item x="220"/>
        <item x="617"/>
        <item x="594"/>
        <item x="326"/>
        <item x="74"/>
        <item x="171"/>
        <item x="589"/>
        <item x="490"/>
        <item x="518"/>
        <item x="463"/>
        <item x="78"/>
        <item x="519"/>
        <item x="564"/>
        <item x="44"/>
        <item x="127"/>
        <item x="125"/>
        <item x="110"/>
        <item x="568"/>
        <item x="504"/>
        <item x="459"/>
        <item x="451"/>
        <item x="397"/>
        <item x="30"/>
        <item x="230"/>
        <item x="61"/>
        <item x="365"/>
        <item x="222"/>
        <item x="206"/>
        <item x="69"/>
        <item x="250"/>
        <item x="36"/>
        <item x="60"/>
        <item x="105"/>
        <item x="511"/>
        <item x="101"/>
        <item x="86"/>
        <item x="234"/>
        <item x="0"/>
        <item x="37"/>
        <item x="393"/>
        <item x="436"/>
        <item x="403"/>
        <item x="289"/>
        <item x="476"/>
        <item x="237"/>
        <item x="585"/>
        <item x="177"/>
        <item x="300"/>
        <item x="267"/>
        <item x="559"/>
        <item x="323"/>
        <item x="475"/>
        <item x="477"/>
        <item x="533"/>
        <item x="166"/>
        <item x="145"/>
        <item x="295"/>
        <item x="15"/>
        <item x="527"/>
        <item x="445"/>
        <item x="582"/>
        <item x="539"/>
        <item x="349"/>
        <item x="119"/>
        <item x="279"/>
        <item x="246"/>
        <item x="384"/>
        <item x="239"/>
        <item x="370"/>
        <item x="629"/>
        <item x="481"/>
        <item x="146"/>
        <item x="19"/>
        <item x="64"/>
        <item x="264"/>
        <item x="507"/>
        <item x="571"/>
        <item x="345"/>
        <item x="99"/>
        <item x="53"/>
        <item x="362"/>
        <item x="514"/>
        <item x="581"/>
        <item x="71"/>
        <item x="309"/>
        <item x="304"/>
        <item x="542"/>
        <item x="242"/>
        <item x="457"/>
        <item x="603"/>
        <item x="23"/>
        <item x="255"/>
        <item x="508"/>
        <item x="104"/>
        <item x="190"/>
        <item x="563"/>
        <item x="387"/>
        <item x="251"/>
        <item x="151"/>
        <item x="520"/>
        <item x="593"/>
        <item x="368"/>
        <item x="56"/>
        <item x="409"/>
        <item x="275"/>
        <item x="173"/>
        <item x="102"/>
        <item x="388"/>
        <item x="534"/>
        <item x="565"/>
        <item x="425"/>
        <item x="52"/>
        <item x="192"/>
        <item x="407"/>
        <item x="117"/>
        <item x="396"/>
        <item x="424"/>
        <item x="72"/>
        <item x="5"/>
        <item x="598"/>
        <item x="430"/>
        <item x="421"/>
        <item x="283"/>
        <item x="329"/>
        <item x="386"/>
        <item x="111"/>
        <item x="224"/>
        <item x="132"/>
        <item x="20"/>
        <item x="402"/>
        <item x="284"/>
        <item x="33"/>
        <item x="339"/>
        <item x="566"/>
        <item x="314"/>
        <item x="271"/>
        <item x="591"/>
        <item x="216"/>
        <item x="186"/>
        <item x="205"/>
        <item x="96"/>
        <item x="404"/>
        <item x="167"/>
        <item x="140"/>
        <item x="68"/>
        <item x="472"/>
        <item x="509"/>
        <item x="217"/>
        <item x="115"/>
        <item x="247"/>
        <item x="597"/>
        <item x="89"/>
        <item x="328"/>
        <item x="249"/>
        <item x="135"/>
        <item x="273"/>
        <item x="427"/>
        <item x="83"/>
        <item x="398"/>
        <item x="121"/>
        <item x="625"/>
        <item x="418"/>
        <item x="615"/>
        <item x="189"/>
        <item x="351"/>
        <item x="549"/>
        <item x="297"/>
        <item x="51"/>
        <item x="252"/>
        <item x="372"/>
        <item x="432"/>
        <item x="499"/>
        <item x="55"/>
        <item x="204"/>
        <item x="456"/>
        <item x="130"/>
        <item x="63"/>
        <item x="233"/>
        <item x="178"/>
        <item x="305"/>
        <item x="447"/>
        <item x="280"/>
        <item x="298"/>
        <item x="183"/>
        <item x="363"/>
        <item x="389"/>
        <item x="561"/>
        <item x="572"/>
        <item x="522"/>
        <item x="547"/>
        <item x="310"/>
        <item x="195"/>
        <item x="165"/>
        <item x="67"/>
        <item x="453"/>
        <item x="8"/>
        <item x="175"/>
        <item x="556"/>
        <item x="446"/>
        <item x="580"/>
        <item x="191"/>
        <item x="168"/>
        <item x="383"/>
        <item x="258"/>
        <item x="211"/>
        <item x="188"/>
        <item x="79"/>
        <item x="610"/>
        <item x="544"/>
        <item x="6"/>
        <item x="272"/>
        <item x="540"/>
        <item x="431"/>
        <item x="184"/>
        <item x="494"/>
        <item x="254"/>
        <item x="88"/>
        <item x="118"/>
        <item x="531"/>
        <item x="163"/>
        <item x="498"/>
        <item x="318"/>
        <item x="395"/>
        <item x="266"/>
        <item x="160"/>
        <item x="40"/>
        <item x="496"/>
        <item x="311"/>
        <item x="495"/>
        <item x="590"/>
        <item x="380"/>
        <item x="41"/>
        <item x="223"/>
        <item x="226"/>
        <item x="302"/>
        <item x="98"/>
        <item x="341"/>
        <item x="73"/>
        <item x="479"/>
        <item x="90"/>
        <item x="45"/>
        <item x="47"/>
        <item x="144"/>
        <item x="257"/>
        <item x="623"/>
        <item x="438"/>
        <item x="562"/>
        <item x="248"/>
        <item x="483"/>
        <item x="577"/>
        <item x="114"/>
        <item x="21"/>
        <item x="399"/>
        <item x="198"/>
        <item x="376"/>
        <item x="575"/>
        <item x="506"/>
        <item x="307"/>
        <item x="574"/>
        <item x="382"/>
        <item x="357"/>
        <item x="317"/>
        <item x="129"/>
        <item x="517"/>
        <item x="112"/>
        <item x="548"/>
        <item x="321"/>
        <item x="620"/>
        <item x="622"/>
        <item x="80"/>
        <item x="322"/>
        <item x="543"/>
        <item x="48"/>
        <item x="462"/>
        <item x="612"/>
        <item x="379"/>
        <item x="276"/>
        <item x="194"/>
        <item x="611"/>
        <item x="466"/>
        <item x="203"/>
        <item x="600"/>
        <item x="503"/>
        <item x="120"/>
        <item x="108"/>
        <item x="535"/>
        <item x="413"/>
        <item x="84"/>
        <item x="550"/>
        <item x="215"/>
        <item x="378"/>
        <item x="155"/>
        <item x="32"/>
        <item x="433"/>
        <item x="502"/>
        <item x="281"/>
        <item x="123"/>
        <item x="619"/>
        <item x="156"/>
        <item x="538"/>
        <item x="614"/>
        <item x="353"/>
        <item x="331"/>
        <item x="262"/>
        <item x="567"/>
        <item x="529"/>
        <item x="344"/>
        <item x="2"/>
        <item x="29"/>
        <item x="435"/>
        <item x="287"/>
        <item x="54"/>
        <item x="420"/>
        <item x="17"/>
        <item x="282"/>
        <item x="347"/>
        <item x="213"/>
        <item x="343"/>
        <item x="28"/>
        <item x="560"/>
        <item x="512"/>
        <item x="202"/>
        <item x="371"/>
        <item x="327"/>
        <item x="107"/>
        <item x="448"/>
        <item x="238"/>
        <item x="482"/>
        <item x="231"/>
        <item x="422"/>
        <item x="133"/>
        <item x="530"/>
        <item x="268"/>
        <item x="426"/>
        <item x="200"/>
        <item x="392"/>
        <item x="91"/>
        <item x="241"/>
        <item x="286"/>
        <item x="263"/>
        <item x="334"/>
        <item x="412"/>
        <item x="440"/>
        <item x="128"/>
        <item x="570"/>
        <item x="3"/>
        <item x="583"/>
        <item x="149"/>
        <item x="65"/>
        <item x="626"/>
        <item x="245"/>
        <item x="31"/>
        <item x="375"/>
        <item x="197"/>
        <item x="303"/>
        <item x="584"/>
        <item x="361"/>
        <item x="162"/>
        <item x="452"/>
        <item x="428"/>
        <item x="406"/>
        <item x="485"/>
        <item x="553"/>
        <item x="316"/>
        <item x="330"/>
        <item x="488"/>
        <item x="455"/>
        <item x="285"/>
        <item x="278"/>
        <item x="27"/>
        <item x="366"/>
        <item x="94"/>
        <item x="11"/>
        <item x="244"/>
        <item x="225"/>
        <item x="605"/>
        <item x="181"/>
        <item x="578"/>
        <item x="336"/>
        <item x="492"/>
        <item x="122"/>
        <item x="374"/>
        <item x="137"/>
        <item x="141"/>
        <item x="532"/>
        <item x="62"/>
        <item x="100"/>
        <item x="419"/>
        <item x="411"/>
        <item x="505"/>
        <item x="236"/>
        <item x="434"/>
        <item x="106"/>
        <item x="500"/>
        <item x="628"/>
        <item x="159"/>
        <item x="320"/>
        <item x="473"/>
        <item x="586"/>
        <item x="196"/>
        <item x="501"/>
        <item x="335"/>
        <item x="232"/>
        <item x="390"/>
        <item x="474"/>
        <item x="265"/>
        <item x="486"/>
        <item x="49"/>
        <item x="526"/>
        <item x="537"/>
        <item x="410"/>
        <item x="515"/>
        <item x="525"/>
        <item x="439"/>
        <item x="228"/>
        <item x="313"/>
        <item x="449"/>
        <item x="555"/>
        <item x="429"/>
        <item x="46"/>
        <item x="524"/>
        <item x="219"/>
        <item x="253"/>
        <item x="308"/>
        <item x="212"/>
        <item x="42"/>
        <item x="468"/>
        <item x="364"/>
        <item x="369"/>
        <item x="174"/>
        <item x="480"/>
        <item x="164"/>
        <item x="26"/>
        <item x="148"/>
        <item x="143"/>
        <item x="35"/>
        <item x="528"/>
        <item x="595"/>
        <item x="134"/>
        <item x="442"/>
        <item x="342"/>
        <item x="609"/>
        <item x="138"/>
        <item x="193"/>
        <item x="240"/>
        <item x="602"/>
        <item x="176"/>
        <item x="613"/>
        <item x="337"/>
        <item x="243"/>
        <item x="606"/>
        <item x="400"/>
        <item x="218"/>
        <item x="616"/>
        <item x="487"/>
        <item x="417"/>
        <item x="381"/>
        <item x="208"/>
        <item x="601"/>
        <item x="150"/>
        <item x="7"/>
        <item x="423"/>
        <item x="116"/>
        <item x="92"/>
        <item x="301"/>
        <item x="39"/>
        <item x="558"/>
        <item x="359"/>
        <item x="269"/>
        <item x="16"/>
        <item x="461"/>
        <item x="199"/>
        <item x="229"/>
        <item x="470"/>
        <item x="153"/>
        <item x="38"/>
        <item x="350"/>
        <item x="235"/>
        <item x="296"/>
        <item x="444"/>
        <item x="4"/>
        <item x="179"/>
        <item x="152"/>
        <item x="13"/>
        <item x="201"/>
        <item x="373"/>
        <item x="274"/>
        <item x="291"/>
        <item x="385"/>
        <item x="95"/>
        <item x="608"/>
        <item x="1"/>
        <item x="405"/>
        <item x="469"/>
        <item x="356"/>
        <item x="443"/>
        <item x="546"/>
        <item x="81"/>
        <item x="43"/>
        <item x="599"/>
        <item x="596"/>
        <item x="354"/>
        <item x="414"/>
        <item t="default"/>
      </items>
    </pivotField>
    <pivotField compact="0" numFmtId="44" showAll="0">
      <items count="633">
        <item x="493"/>
        <item x="112"/>
        <item x="180"/>
        <item x="298"/>
        <item x="172"/>
        <item x="286"/>
        <item x="106"/>
        <item x="247"/>
        <item x="389"/>
        <item x="83"/>
        <item x="572"/>
        <item x="96"/>
        <item x="7"/>
        <item x="341"/>
        <item x="177"/>
        <item x="461"/>
        <item x="127"/>
        <item x="582"/>
        <item x="481"/>
        <item x="54"/>
        <item x="311"/>
        <item x="631"/>
        <item x="230"/>
        <item x="354"/>
        <item x="89"/>
        <item x="119"/>
        <item x="532"/>
        <item x="586"/>
        <item x="245"/>
        <item x="139"/>
        <item x="517"/>
        <item x="291"/>
        <item x="243"/>
        <item x="51"/>
        <item x="116"/>
        <item x="347"/>
        <item x="323"/>
        <item x="418"/>
        <item x="575"/>
        <item x="108"/>
        <item x="551"/>
        <item x="305"/>
        <item x="443"/>
        <item x="211"/>
        <item x="526"/>
        <item x="282"/>
        <item x="263"/>
        <item x="330"/>
        <item x="344"/>
        <item x="103"/>
        <item x="609"/>
        <item x="488"/>
        <item x="463"/>
        <item x="531"/>
        <item x="26"/>
        <item x="308"/>
        <item x="436"/>
        <item x="163"/>
        <item x="206"/>
        <item x="570"/>
        <item x="460"/>
        <item x="113"/>
        <item x="608"/>
        <item x="221"/>
        <item x="217"/>
        <item x="318"/>
        <item x="128"/>
        <item x="239"/>
        <item x="579"/>
        <item x="599"/>
        <item x="621"/>
        <item x="82"/>
        <item x="458"/>
        <item x="577"/>
        <item x="124"/>
        <item x="35"/>
        <item x="174"/>
        <item x="434"/>
        <item x="490"/>
        <item x="447"/>
        <item x="233"/>
        <item x="232"/>
        <item x="53"/>
        <item x="28"/>
        <item x="293"/>
        <item x="476"/>
        <item x="178"/>
        <item x="511"/>
        <item x="627"/>
        <item x="508"/>
        <item x="391"/>
        <item x="215"/>
        <item x="304"/>
        <item x="270"/>
        <item x="222"/>
        <item x="466"/>
        <item x="445"/>
        <item x="296"/>
        <item x="194"/>
        <item x="620"/>
        <item x="369"/>
        <item x="485"/>
        <item x="3"/>
        <item x="71"/>
        <item x="464"/>
        <item x="145"/>
        <item x="0"/>
        <item x="274"/>
        <item x="486"/>
        <item x="373"/>
        <item x="316"/>
        <item x="109"/>
        <item x="491"/>
        <item x="597"/>
        <item x="160"/>
        <item x="137"/>
        <item x="133"/>
        <item x="350"/>
        <item x="456"/>
        <item x="326"/>
        <item x="101"/>
        <item x="39"/>
        <item x="258"/>
        <item x="5"/>
        <item x="254"/>
        <item x="594"/>
        <item x="386"/>
        <item x="428"/>
        <item x="271"/>
        <item x="519"/>
        <item x="166"/>
        <item x="12"/>
        <item x="297"/>
        <item x="46"/>
        <item x="118"/>
        <item x="169"/>
        <item x="57"/>
        <item x="483"/>
        <item x="439"/>
        <item x="179"/>
        <item x="495"/>
        <item x="114"/>
        <item x="78"/>
        <item x="148"/>
        <item x="380"/>
        <item x="315"/>
        <item x="441"/>
        <item x="307"/>
        <item x="328"/>
        <item x="432"/>
        <item x="277"/>
        <item x="240"/>
        <item x="219"/>
        <item x="214"/>
        <item x="580"/>
        <item x="616"/>
        <item x="218"/>
        <item x="231"/>
        <item x="505"/>
        <item x="453"/>
        <item x="525"/>
        <item x="309"/>
        <item x="321"/>
        <item x="604"/>
        <item x="93"/>
        <item x="129"/>
        <item x="130"/>
        <item x="602"/>
        <item x="331"/>
        <item x="470"/>
        <item x="378"/>
        <item x="155"/>
        <item x="546"/>
        <item x="573"/>
        <item x="561"/>
        <item x="191"/>
        <item x="544"/>
        <item x="250"/>
        <item x="494"/>
        <item x="410"/>
        <item x="312"/>
        <item x="477"/>
        <item x="500"/>
        <item x="408"/>
        <item x="536"/>
        <item x="334"/>
        <item x="251"/>
        <item x="43"/>
        <item x="433"/>
        <item x="540"/>
        <item x="370"/>
        <item x="201"/>
        <item x="68"/>
        <item x="30"/>
        <item x="64"/>
        <item x="403"/>
        <item x="141"/>
        <item x="419"/>
        <item x="338"/>
        <item x="498"/>
        <item x="523"/>
        <item x="197"/>
        <item x="257"/>
        <item x="290"/>
        <item x="88"/>
        <item x="565"/>
        <item x="268"/>
        <item x="91"/>
        <item x="52"/>
        <item x="361"/>
        <item x="98"/>
        <item x="110"/>
        <item x="479"/>
        <item x="285"/>
        <item x="131"/>
        <item x="444"/>
        <item x="144"/>
        <item x="262"/>
        <item x="6"/>
        <item x="564"/>
        <item x="220"/>
        <item x="202"/>
        <item x="299"/>
        <item x="186"/>
        <item x="314"/>
        <item x="430"/>
        <item x="87"/>
        <item x="62"/>
        <item x="474"/>
        <item x="364"/>
        <item x="437"/>
        <item x="538"/>
        <item x="417"/>
        <item x="623"/>
        <item x="339"/>
        <item x="510"/>
        <item x="283"/>
        <item x="337"/>
        <item x="446"/>
        <item x="515"/>
        <item x="584"/>
        <item x="13"/>
        <item x="10"/>
        <item x="33"/>
        <item x="336"/>
        <item x="472"/>
        <item x="252"/>
        <item x="516"/>
        <item x="301"/>
        <item x="395"/>
        <item x="325"/>
        <item x="156"/>
        <item x="355"/>
        <item x="499"/>
        <item x="340"/>
        <item x="4"/>
        <item x="469"/>
        <item x="411"/>
        <item x="591"/>
        <item x="359"/>
        <item x="255"/>
        <item x="571"/>
        <item x="563"/>
        <item x="67"/>
        <item x="44"/>
        <item x="533"/>
        <item x="147"/>
        <item x="605"/>
        <item x="475"/>
        <item x="90"/>
        <item x="412"/>
        <item x="576"/>
        <item x="238"/>
        <item x="134"/>
        <item x="549"/>
        <item x="558"/>
        <item x="36"/>
        <item x="457"/>
        <item x="611"/>
        <item x="259"/>
        <item x="73"/>
        <item x="585"/>
        <item x="269"/>
        <item x="372"/>
        <item x="617"/>
        <item x="535"/>
        <item x="553"/>
        <item x="22"/>
        <item x="185"/>
        <item x="462"/>
        <item x="568"/>
        <item x="522"/>
        <item x="578"/>
        <item x="595"/>
        <item x="29"/>
        <item x="15"/>
        <item x="37"/>
        <item x="150"/>
        <item x="182"/>
        <item x="358"/>
        <item x="502"/>
        <item x="435"/>
        <item x="14"/>
        <item x="598"/>
        <item x="471"/>
        <item x="294"/>
        <item x="590"/>
        <item x="183"/>
        <item x="192"/>
        <item x="288"/>
        <item x="253"/>
        <item x="120"/>
        <item x="170"/>
        <item x="560"/>
        <item x="248"/>
        <item x="92"/>
        <item x="513"/>
        <item x="342"/>
        <item x="628"/>
        <item x="630"/>
        <item x="161"/>
        <item x="454"/>
        <item x="158"/>
        <item x="619"/>
        <item x="143"/>
        <item x="75"/>
        <item x="45"/>
        <item x="200"/>
        <item x="381"/>
        <item x="362"/>
        <item x="473"/>
        <item x="379"/>
        <item x="313"/>
        <item x="171"/>
        <item x="401"/>
        <item x="416"/>
        <item x="55"/>
        <item x="574"/>
        <item x="27"/>
        <item x="559"/>
        <item x="48"/>
        <item x="581"/>
        <item x="438"/>
        <item x="102"/>
        <item x="300"/>
        <item x="38"/>
        <item x="154"/>
        <item x="451"/>
        <item x="319"/>
        <item x="351"/>
        <item x="548"/>
        <item x="69"/>
        <item x="557"/>
        <item x="203"/>
        <item x="16"/>
        <item x="146"/>
        <item x="303"/>
        <item x="327"/>
        <item x="449"/>
        <item x="492"/>
        <item x="157"/>
        <item x="452"/>
        <item x="509"/>
        <item x="168"/>
        <item x="11"/>
        <item x="70"/>
        <item x="74"/>
        <item x="241"/>
        <item x="164"/>
        <item x="153"/>
        <item x="618"/>
        <item x="518"/>
        <item x="506"/>
        <item x="348"/>
        <item x="228"/>
        <item x="367"/>
        <item x="429"/>
        <item x="530"/>
        <item x="132"/>
        <item x="384"/>
        <item x="612"/>
        <item x="176"/>
        <item x="543"/>
        <item x="450"/>
        <item x="24"/>
        <item x="125"/>
        <item x="360"/>
        <item x="279"/>
        <item x="352"/>
        <item x="404"/>
        <item x="440"/>
        <item x="349"/>
        <item x="600"/>
        <item x="193"/>
        <item x="346"/>
        <item x="320"/>
        <item x="375"/>
        <item x="190"/>
        <item x="504"/>
        <item x="151"/>
        <item x="487"/>
        <item x="94"/>
        <item x="324"/>
        <item x="244"/>
        <item x="19"/>
        <item x="592"/>
        <item x="204"/>
        <item x="317"/>
        <item x="284"/>
        <item x="388"/>
        <item x="402"/>
        <item x="624"/>
        <item x="184"/>
        <item x="162"/>
        <item x="40"/>
        <item x="229"/>
        <item x="272"/>
        <item x="589"/>
        <item x="363"/>
        <item x="207"/>
        <item x="425"/>
        <item x="550"/>
        <item x="478"/>
        <item x="365"/>
        <item x="59"/>
        <item x="524"/>
        <item x="520"/>
        <item x="126"/>
        <item x="287"/>
        <item x="18"/>
        <item x="629"/>
        <item x="189"/>
        <item x="225"/>
        <item x="66"/>
        <item x="332"/>
        <item x="273"/>
        <item x="527"/>
        <item x="1"/>
        <item x="95"/>
        <item x="216"/>
        <item x="135"/>
        <item x="224"/>
        <item x="210"/>
        <item x="280"/>
        <item x="152"/>
        <item x="610"/>
        <item x="420"/>
        <item x="281"/>
        <item x="266"/>
        <item x="77"/>
        <item x="377"/>
        <item x="400"/>
        <item x="260"/>
        <item x="79"/>
        <item x="405"/>
        <item x="392"/>
        <item x="181"/>
        <item x="503"/>
        <item x="497"/>
        <item x="596"/>
        <item x="393"/>
        <item x="107"/>
        <item x="539"/>
        <item x="382"/>
        <item x="292"/>
        <item x="198"/>
        <item x="603"/>
        <item x="383"/>
        <item x="455"/>
        <item x="534"/>
        <item x="427"/>
        <item x="56"/>
        <item x="105"/>
        <item x="385"/>
        <item x="554"/>
        <item x="387"/>
        <item x="212"/>
        <item x="567"/>
        <item x="552"/>
        <item x="468"/>
        <item x="278"/>
        <item x="399"/>
        <item x="60"/>
        <item x="357"/>
        <item x="205"/>
        <item x="81"/>
        <item x="333"/>
        <item x="85"/>
        <item x="111"/>
        <item x="555"/>
        <item x="562"/>
        <item x="413"/>
        <item x="223"/>
        <item x="99"/>
        <item x="431"/>
        <item x="397"/>
        <item x="356"/>
        <item x="138"/>
        <item x="209"/>
        <item x="421"/>
        <item x="448"/>
        <item x="41"/>
        <item x="265"/>
        <item x="528"/>
        <item x="606"/>
        <item x="249"/>
        <item x="371"/>
        <item x="480"/>
        <item x="159"/>
        <item x="58"/>
        <item x="17"/>
        <item x="242"/>
        <item x="97"/>
        <item x="376"/>
        <item x="343"/>
        <item x="501"/>
        <item x="587"/>
        <item x="353"/>
        <item x="566"/>
        <item x="63"/>
        <item x="165"/>
        <item x="235"/>
        <item x="227"/>
        <item x="31"/>
        <item x="208"/>
        <item x="593"/>
        <item x="100"/>
        <item x="414"/>
        <item x="541"/>
        <item x="142"/>
        <item x="187"/>
        <item x="173"/>
        <item x="459"/>
        <item x="302"/>
        <item x="267"/>
        <item x="426"/>
        <item x="289"/>
        <item x="23"/>
        <item x="368"/>
        <item x="521"/>
        <item x="482"/>
        <item x="415"/>
        <item x="335"/>
        <item x="537"/>
        <item x="496"/>
        <item x="366"/>
        <item x="8"/>
        <item x="394"/>
        <item x="149"/>
        <item x="121"/>
        <item x="547"/>
        <item x="322"/>
        <item x="65"/>
        <item x="49"/>
        <item x="545"/>
        <item x="484"/>
        <item x="234"/>
        <item x="398"/>
        <item x="422"/>
        <item x="615"/>
        <item x="199"/>
        <item x="613"/>
        <item x="21"/>
        <item x="9"/>
        <item x="507"/>
        <item x="188"/>
        <item x="465"/>
        <item x="601"/>
        <item x="276"/>
        <item x="236"/>
        <item x="622"/>
        <item x="626"/>
        <item x="625"/>
        <item x="246"/>
        <item x="226"/>
        <item x="406"/>
        <item x="442"/>
        <item x="295"/>
        <item x="123"/>
        <item x="237"/>
        <item x="86"/>
        <item x="588"/>
        <item x="583"/>
        <item x="542"/>
        <item x="329"/>
        <item x="72"/>
        <item x="195"/>
        <item x="512"/>
        <item x="117"/>
        <item x="76"/>
        <item x="122"/>
        <item x="42"/>
        <item x="396"/>
        <item x="529"/>
        <item x="310"/>
        <item x="104"/>
        <item x="196"/>
        <item x="569"/>
        <item x="467"/>
        <item x="80"/>
        <item x="275"/>
        <item x="136"/>
        <item x="175"/>
        <item x="409"/>
        <item x="614"/>
        <item x="47"/>
        <item x="84"/>
        <item x="514"/>
        <item x="34"/>
        <item x="407"/>
        <item x="556"/>
        <item x="213"/>
        <item x="306"/>
        <item x="50"/>
        <item x="264"/>
        <item x="2"/>
        <item x="32"/>
        <item x="140"/>
        <item x="607"/>
        <item x="489"/>
        <item x="61"/>
        <item x="256"/>
        <item x="261"/>
        <item x="115"/>
        <item x="424"/>
        <item x="167"/>
        <item x="374"/>
        <item x="390"/>
        <item x="423"/>
        <item x="25"/>
        <item x="20"/>
        <item x="345"/>
        <item t="default"/>
      </items>
    </pivotField>
    <pivotField compact="0" numFmtId="44" showAll="0">
      <items count="631">
        <item x="615"/>
        <item x="2"/>
        <item x="58"/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numFmtId="44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numFmtId="184" showAll="0">
      <items count="229">
        <item x="5"/>
        <item x="140"/>
        <item x="10"/>
        <item x="20"/>
        <item x="99"/>
        <item x="19"/>
        <item x="84"/>
        <item x="170"/>
        <item x="212"/>
        <item x="108"/>
        <item x="205"/>
        <item x="113"/>
        <item x="106"/>
        <item x="118"/>
        <item x="109"/>
        <item x="179"/>
        <item x="134"/>
        <item x="71"/>
        <item x="8"/>
        <item x="195"/>
        <item x="76"/>
        <item x="42"/>
        <item x="32"/>
        <item x="16"/>
        <item x="188"/>
        <item x="208"/>
        <item x="174"/>
        <item x="89"/>
        <item x="221"/>
        <item x="107"/>
        <item x="215"/>
        <item x="58"/>
        <item x="216"/>
        <item x="54"/>
        <item x="130"/>
        <item x="114"/>
        <item x="223"/>
        <item x="133"/>
        <item x="121"/>
        <item x="92"/>
        <item x="193"/>
        <item x="163"/>
        <item x="227"/>
        <item x="96"/>
        <item x="201"/>
        <item x="176"/>
        <item x="72"/>
        <item x="143"/>
        <item x="55"/>
        <item x="90"/>
        <item x="68"/>
        <item x="88"/>
        <item x="3"/>
        <item x="93"/>
        <item x="13"/>
        <item x="43"/>
        <item x="171"/>
        <item x="202"/>
        <item x="117"/>
        <item x="164"/>
        <item x="226"/>
        <item x="104"/>
        <item x="200"/>
        <item x="26"/>
        <item x="147"/>
        <item x="24"/>
        <item x="167"/>
        <item x="25"/>
        <item x="168"/>
        <item x="119"/>
        <item x="77"/>
        <item x="142"/>
        <item x="12"/>
        <item x="148"/>
        <item x="73"/>
        <item x="224"/>
        <item x="199"/>
        <item x="74"/>
        <item x="165"/>
        <item x="27"/>
        <item x="4"/>
        <item x="172"/>
        <item x="67"/>
        <item x="52"/>
        <item x="192"/>
        <item x="105"/>
        <item x="86"/>
        <item x="14"/>
        <item x="46"/>
        <item x="95"/>
        <item x="0"/>
        <item x="139"/>
        <item x="60"/>
        <item x="158"/>
        <item x="144"/>
        <item x="85"/>
        <item x="45"/>
        <item x="18"/>
        <item x="173"/>
        <item x="153"/>
        <item x="82"/>
        <item x="213"/>
        <item x="22"/>
        <item x="38"/>
        <item x="110"/>
        <item x="137"/>
        <item x="31"/>
        <item x="49"/>
        <item x="2"/>
        <item x="191"/>
        <item x="112"/>
        <item x="61"/>
        <item x="157"/>
        <item x="29"/>
        <item x="81"/>
        <item x="159"/>
        <item x="23"/>
        <item x="78"/>
        <item x="169"/>
        <item x="56"/>
        <item x="17"/>
        <item x="41"/>
        <item x="180"/>
        <item x="34"/>
        <item x="6"/>
        <item x="135"/>
        <item x="9"/>
        <item x="209"/>
        <item x="102"/>
        <item x="136"/>
        <item x="125"/>
        <item x="69"/>
        <item x="131"/>
        <item x="161"/>
        <item x="87"/>
        <item x="181"/>
        <item x="129"/>
        <item x="75"/>
        <item x="64"/>
        <item x="196"/>
        <item x="156"/>
        <item x="211"/>
        <item x="150"/>
        <item x="21"/>
        <item x="36"/>
        <item x="189"/>
        <item x="225"/>
        <item x="145"/>
        <item x="122"/>
        <item x="155"/>
        <item x="30"/>
        <item x="166"/>
        <item x="120"/>
        <item x="94"/>
        <item x="79"/>
        <item x="111"/>
        <item x="35"/>
        <item x="15"/>
        <item x="50"/>
        <item x="57"/>
        <item x="63"/>
        <item x="37"/>
        <item x="70"/>
        <item x="51"/>
        <item x="197"/>
        <item x="98"/>
        <item x="7"/>
        <item x="124"/>
        <item x="115"/>
        <item x="47"/>
        <item x="138"/>
        <item x="91"/>
        <item x="53"/>
        <item x="44"/>
        <item x="162"/>
        <item x="222"/>
        <item x="219"/>
        <item x="182"/>
        <item x="126"/>
        <item x="123"/>
        <item x="207"/>
        <item x="66"/>
        <item x="154"/>
        <item x="203"/>
        <item x="218"/>
        <item x="97"/>
        <item x="217"/>
        <item x="152"/>
        <item x="204"/>
        <item x="83"/>
        <item x="214"/>
        <item x="127"/>
        <item x="146"/>
        <item x="128"/>
        <item x="1"/>
        <item x="149"/>
        <item x="177"/>
        <item x="183"/>
        <item x="65"/>
        <item x="28"/>
        <item x="103"/>
        <item x="220"/>
        <item x="11"/>
        <item x="116"/>
        <item x="48"/>
        <item x="194"/>
        <item x="62"/>
        <item x="132"/>
        <item x="101"/>
        <item x="187"/>
        <item x="151"/>
        <item x="100"/>
        <item x="141"/>
        <item x="178"/>
        <item x="190"/>
        <item x="80"/>
        <item x="186"/>
        <item x="39"/>
        <item x="210"/>
        <item x="40"/>
        <item x="184"/>
        <item x="206"/>
        <item x="160"/>
        <item x="33"/>
        <item x="59"/>
        <item x="175"/>
        <item x="198"/>
        <item x="18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04">
        <item x="5"/>
        <item x="130"/>
        <item x="10"/>
        <item x="20"/>
        <item x="93"/>
        <item x="19"/>
        <item x="78"/>
        <item x="157"/>
        <item x="188"/>
        <item x="100"/>
        <item x="183"/>
        <item x="105"/>
        <item x="98"/>
        <item x="109"/>
        <item x="101"/>
        <item x="164"/>
        <item x="124"/>
        <item x="66"/>
        <item x="8"/>
        <item x="174"/>
        <item x="71"/>
        <item x="40"/>
        <item x="32"/>
        <item x="16"/>
        <item x="169"/>
        <item x="185"/>
        <item x="161"/>
        <item x="83"/>
        <item x="196"/>
        <item x="99"/>
        <item x="190"/>
        <item x="55"/>
        <item x="191"/>
        <item x="51"/>
        <item x="121"/>
        <item x="106"/>
        <item x="198"/>
        <item x="123"/>
        <item x="112"/>
        <item x="86"/>
        <item x="173"/>
        <item x="150"/>
        <item x="202"/>
        <item x="90"/>
        <item x="179"/>
        <item x="162"/>
        <item x="67"/>
        <item x="132"/>
        <item x="52"/>
        <item x="84"/>
        <item x="63"/>
        <item x="82"/>
        <item x="3"/>
        <item x="87"/>
        <item x="13"/>
        <item x="41"/>
        <item x="158"/>
        <item x="180"/>
        <item x="108"/>
        <item x="151"/>
        <item x="201"/>
        <item x="96"/>
        <item x="178"/>
        <item x="26"/>
        <item x="136"/>
        <item x="24"/>
        <item x="154"/>
        <item x="25"/>
        <item x="155"/>
        <item x="110"/>
        <item x="72"/>
        <item x="131"/>
        <item x="12"/>
        <item x="137"/>
        <item x="68"/>
        <item x="199"/>
        <item x="177"/>
        <item x="69"/>
        <item x="152"/>
        <item x="27"/>
        <item x="4"/>
        <item x="159"/>
        <item x="62"/>
        <item x="49"/>
        <item x="172"/>
        <item x="97"/>
        <item x="80"/>
        <item x="14"/>
        <item x="44"/>
        <item x="89"/>
        <item x="0"/>
        <item x="129"/>
        <item x="56"/>
        <item x="146"/>
        <item x="133"/>
        <item x="79"/>
        <item x="43"/>
        <item x="18"/>
        <item x="160"/>
        <item x="141"/>
        <item x="76"/>
        <item x="189"/>
        <item x="22"/>
        <item x="38"/>
        <item x="102"/>
        <item x="127"/>
        <item x="31"/>
        <item x="46"/>
        <item x="2"/>
        <item x="171"/>
        <item x="104"/>
        <item x="57"/>
        <item x="145"/>
        <item x="29"/>
        <item x="75"/>
        <item x="147"/>
        <item x="23"/>
        <item x="73"/>
        <item x="156"/>
        <item x="53"/>
        <item x="17"/>
        <item x="39"/>
        <item x="165"/>
        <item x="34"/>
        <item x="6"/>
        <item x="125"/>
        <item x="9"/>
        <item x="186"/>
        <item x="94"/>
        <item x="126"/>
        <item x="116"/>
        <item x="64"/>
        <item x="122"/>
        <item x="148"/>
        <item x="81"/>
        <item x="166"/>
        <item x="120"/>
        <item x="70"/>
        <item x="59"/>
        <item x="175"/>
        <item x="144"/>
        <item x="187"/>
        <item x="139"/>
        <item x="21"/>
        <item x="36"/>
        <item x="170"/>
        <item x="200"/>
        <item x="134"/>
        <item x="113"/>
        <item x="143"/>
        <item x="30"/>
        <item x="153"/>
        <item x="111"/>
        <item x="88"/>
        <item x="74"/>
        <item x="103"/>
        <item x="35"/>
        <item x="15"/>
        <item x="47"/>
        <item x="54"/>
        <item x="58"/>
        <item x="37"/>
        <item x="65"/>
        <item x="48"/>
        <item x="176"/>
        <item x="92"/>
        <item x="7"/>
        <item x="115"/>
        <item x="107"/>
        <item x="45"/>
        <item x="128"/>
        <item x="85"/>
        <item x="50"/>
        <item x="42"/>
        <item x="149"/>
        <item x="197"/>
        <item x="194"/>
        <item x="167"/>
        <item x="117"/>
        <item x="114"/>
        <item x="184"/>
        <item x="61"/>
        <item x="142"/>
        <item x="181"/>
        <item x="193"/>
        <item x="91"/>
        <item x="192"/>
        <item x="140"/>
        <item x="182"/>
        <item x="77"/>
        <item x="33"/>
        <item x="118"/>
        <item x="135"/>
        <item x="119"/>
        <item x="1"/>
        <item x="138"/>
        <item x="163"/>
        <item x="168"/>
        <item x="60"/>
        <item x="28"/>
        <item x="95"/>
        <item x="195"/>
        <item x="11"/>
        <item t="default"/>
      </items>
    </pivotField>
    <pivotField compact="0" numFmtId="183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dataField="1"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51"/>
        <item x="247"/>
        <item x="531"/>
        <item x="89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41"/>
        <item x="354"/>
        <item x="139"/>
        <item x="114"/>
        <item x="490"/>
        <item x="305"/>
        <item x="87"/>
        <item x="108"/>
        <item x="460"/>
        <item x="26"/>
        <item x="211"/>
        <item x="582"/>
        <item x="464"/>
        <item x="551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137"/>
        <item x="258"/>
        <item x="193"/>
        <item x="598"/>
        <item x="131"/>
        <item x="179"/>
        <item x="74"/>
        <item x="240"/>
        <item x="222"/>
        <item x="369"/>
        <item x="59"/>
        <item x="571"/>
        <item x="201"/>
        <item x="408"/>
        <item x="495"/>
        <item x="543"/>
        <item x="481"/>
        <item x="57"/>
        <item x="361"/>
        <item x="546"/>
        <item x="186"/>
        <item x="334"/>
        <item x="0"/>
        <item x="79"/>
        <item x="12"/>
        <item x="314"/>
        <item x="627"/>
        <item x="483"/>
        <item x="486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447"/>
        <item x="333"/>
        <item x="161"/>
        <item x="593"/>
        <item x="118"/>
        <item x="52"/>
        <item x="231"/>
        <item x="304"/>
        <item x="443"/>
        <item x="103"/>
        <item x="599"/>
        <item x="485"/>
        <item x="277"/>
        <item x="581"/>
        <item x="328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332"/>
        <item x="271"/>
        <item x="46"/>
        <item x="580"/>
        <item x="156"/>
        <item x="270"/>
        <item x="363"/>
        <item x="437"/>
        <item x="293"/>
        <item x="520"/>
        <item x="501"/>
        <item x="229"/>
        <item x="601"/>
        <item x="321"/>
        <item x="492"/>
        <item x="259"/>
        <item x="14"/>
        <item x="458"/>
        <item x="269"/>
        <item x="182"/>
        <item x="130"/>
        <item x="216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343"/>
        <item x="590"/>
        <item x="316"/>
        <item x="510"/>
        <item x="612"/>
        <item x="530"/>
        <item x="73"/>
        <item x="419"/>
        <item x="386"/>
        <item x="489"/>
        <item x="32"/>
        <item x="241"/>
        <item x="136"/>
        <item x="446"/>
        <item x="246"/>
        <item x="30"/>
        <item x="518"/>
        <item x="325"/>
        <item x="309"/>
        <item x="301"/>
        <item x="143"/>
        <item x="421"/>
        <item x="92"/>
        <item x="564"/>
        <item x="504"/>
        <item x="610"/>
        <item x="11"/>
        <item x="158"/>
        <item x="185"/>
        <item x="470"/>
        <item x="78"/>
        <item x="289"/>
        <item x="615"/>
        <item x="558"/>
        <item x="41"/>
        <item x="70"/>
        <item x="43"/>
        <item x="623"/>
        <item x="616"/>
        <item x="545"/>
        <item x="123"/>
        <item x="515"/>
        <item x="502"/>
        <item x="416"/>
        <item x="22"/>
        <item x="549"/>
        <item x="62"/>
        <item x="4"/>
        <item x="154"/>
        <item x="312"/>
        <item x="393"/>
        <item x="197"/>
        <item x="380"/>
        <item x="527"/>
        <item x="274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105"/>
        <item x="576"/>
        <item x="65"/>
        <item x="250"/>
        <item x="163"/>
        <item x="349"/>
        <item x="244"/>
        <item x="449"/>
        <item x="104"/>
        <item x="167"/>
        <item x="450"/>
        <item x="265"/>
        <item x="441"/>
        <item x="299"/>
        <item x="364"/>
        <item x="630"/>
        <item x="381"/>
        <item x="145"/>
        <item x="430"/>
        <item x="433"/>
        <item x="399"/>
        <item x="281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170"/>
        <item x="8"/>
        <item x="455"/>
        <item x="359"/>
        <item x="148"/>
        <item x="50"/>
        <item x="595"/>
        <item x="200"/>
        <item x="38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335"/>
        <item x="469"/>
        <item x="317"/>
        <item x="351"/>
        <item x="499"/>
        <item x="228"/>
        <item x="371"/>
        <item x="402"/>
        <item x="340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427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99"/>
        <item x="204"/>
        <item x="300"/>
        <item x="144"/>
        <item x="16"/>
        <item x="324"/>
        <item x="339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329"/>
        <item x="188"/>
        <item x="219"/>
        <item x="336"/>
        <item x="207"/>
        <item x="487"/>
        <item x="607"/>
        <item x="159"/>
        <item x="273"/>
        <item x="423"/>
        <item x="153"/>
        <item x="56"/>
        <item x="550"/>
        <item x="111"/>
        <item x="622"/>
        <item x="426"/>
        <item x="226"/>
        <item x="42"/>
        <item x="542"/>
        <item x="496"/>
        <item x="310"/>
        <item x="374"/>
        <item x="195"/>
        <item x="442"/>
        <item x="414"/>
        <item x="173"/>
        <item x="55"/>
        <item x="548"/>
        <item x="142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92"/>
        <item x="357"/>
        <item x="624"/>
        <item x="512"/>
        <item x="557"/>
        <item x="537"/>
        <item x="592"/>
        <item x="100"/>
        <item x="319"/>
        <item x="199"/>
        <item x="396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247"/>
        <item x="531"/>
        <item x="89"/>
        <item x="51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54"/>
        <item x="341"/>
        <item x="114"/>
        <item x="139"/>
        <item x="490"/>
        <item x="305"/>
        <item x="87"/>
        <item x="108"/>
        <item x="460"/>
        <item x="26"/>
        <item x="211"/>
        <item x="582"/>
        <item x="551"/>
        <item x="464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258"/>
        <item x="193"/>
        <item x="598"/>
        <item x="131"/>
        <item x="179"/>
        <item x="240"/>
        <item x="222"/>
        <item x="137"/>
        <item x="369"/>
        <item x="59"/>
        <item x="571"/>
        <item x="408"/>
        <item x="495"/>
        <item x="543"/>
        <item x="481"/>
        <item x="57"/>
        <item x="361"/>
        <item x="201"/>
        <item x="546"/>
        <item x="186"/>
        <item x="334"/>
        <item x="0"/>
        <item x="79"/>
        <item x="12"/>
        <item x="314"/>
        <item x="627"/>
        <item x="483"/>
        <item x="486"/>
        <item x="74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333"/>
        <item x="161"/>
        <item x="593"/>
        <item x="118"/>
        <item x="52"/>
        <item x="231"/>
        <item x="304"/>
        <item x="443"/>
        <item x="103"/>
        <item x="599"/>
        <item x="447"/>
        <item x="485"/>
        <item x="277"/>
        <item x="581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271"/>
        <item x="46"/>
        <item x="580"/>
        <item x="156"/>
        <item x="270"/>
        <item x="328"/>
        <item x="437"/>
        <item x="293"/>
        <item x="520"/>
        <item x="501"/>
        <item x="229"/>
        <item x="601"/>
        <item x="321"/>
        <item x="332"/>
        <item x="492"/>
        <item x="259"/>
        <item x="14"/>
        <item x="458"/>
        <item x="269"/>
        <item x="182"/>
        <item x="130"/>
        <item x="216"/>
        <item x="363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590"/>
        <item x="316"/>
        <item x="510"/>
        <item x="612"/>
        <item x="530"/>
        <item x="343"/>
        <item x="73"/>
        <item x="419"/>
        <item x="386"/>
        <item x="489"/>
        <item x="32"/>
        <item x="241"/>
        <item x="136"/>
        <item x="446"/>
        <item x="30"/>
        <item x="518"/>
        <item x="325"/>
        <item x="309"/>
        <item x="301"/>
        <item x="143"/>
        <item x="421"/>
        <item x="92"/>
        <item x="564"/>
        <item x="504"/>
        <item x="246"/>
        <item x="610"/>
        <item x="11"/>
        <item x="158"/>
        <item x="185"/>
        <item x="470"/>
        <item x="289"/>
        <item x="615"/>
        <item x="558"/>
        <item x="41"/>
        <item x="70"/>
        <item x="43"/>
        <item x="623"/>
        <item x="616"/>
        <item x="545"/>
        <item x="123"/>
        <item x="78"/>
        <item x="515"/>
        <item x="502"/>
        <item x="416"/>
        <item x="22"/>
        <item x="549"/>
        <item x="62"/>
        <item x="4"/>
        <item x="154"/>
        <item x="312"/>
        <item x="197"/>
        <item x="380"/>
        <item x="527"/>
        <item x="274"/>
        <item x="393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576"/>
        <item x="65"/>
        <item x="250"/>
        <item x="163"/>
        <item x="349"/>
        <item x="244"/>
        <item x="449"/>
        <item x="104"/>
        <item x="450"/>
        <item x="265"/>
        <item x="441"/>
        <item x="299"/>
        <item x="364"/>
        <item x="630"/>
        <item x="167"/>
        <item x="381"/>
        <item x="105"/>
        <item x="145"/>
        <item x="430"/>
        <item x="433"/>
        <item x="399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281"/>
        <item x="8"/>
        <item x="455"/>
        <item x="359"/>
        <item x="148"/>
        <item x="595"/>
        <item x="200"/>
        <item x="38"/>
        <item x="170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50"/>
        <item x="335"/>
        <item x="469"/>
        <item x="317"/>
        <item x="351"/>
        <item x="499"/>
        <item x="228"/>
        <item x="371"/>
        <item x="402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427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204"/>
        <item x="300"/>
        <item x="144"/>
        <item x="16"/>
        <item x="324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99"/>
        <item x="329"/>
        <item x="188"/>
        <item x="336"/>
        <item x="207"/>
        <item x="339"/>
        <item x="487"/>
        <item x="607"/>
        <item x="159"/>
        <item x="273"/>
        <item x="219"/>
        <item x="423"/>
        <item x="153"/>
        <item x="56"/>
        <item x="550"/>
        <item x="111"/>
        <item x="340"/>
        <item x="622"/>
        <item x="426"/>
        <item x="226"/>
        <item x="542"/>
        <item x="496"/>
        <item x="310"/>
        <item x="195"/>
        <item x="442"/>
        <item x="414"/>
        <item x="173"/>
        <item x="55"/>
        <item x="548"/>
        <item x="142"/>
        <item x="374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42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57"/>
        <item x="624"/>
        <item x="512"/>
        <item x="557"/>
        <item x="537"/>
        <item x="592"/>
        <item x="100"/>
        <item x="319"/>
        <item x="199"/>
        <item x="396"/>
        <item x="392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493"/>
        <item x="172"/>
        <item x="286"/>
        <item x="298"/>
        <item x="96"/>
        <item x="586"/>
        <item x="389"/>
        <item x="54"/>
        <item x="83"/>
        <item x="247"/>
        <item x="631"/>
        <item x="119"/>
        <item x="575"/>
        <item x="89"/>
        <item x="572"/>
        <item x="418"/>
        <item x="106"/>
        <item x="177"/>
        <item x="7"/>
        <item x="517"/>
        <item x="532"/>
        <item x="282"/>
        <item x="354"/>
        <item x="263"/>
        <item x="243"/>
        <item x="51"/>
        <item x="531"/>
        <item x="109"/>
        <item x="305"/>
        <item x="461"/>
        <item x="341"/>
        <item x="221"/>
        <item x="620"/>
        <item x="291"/>
        <item x="311"/>
        <item x="108"/>
        <item x="602"/>
        <item x="230"/>
        <item x="490"/>
        <item x="551"/>
        <item x="127"/>
        <item x="519"/>
        <item x="445"/>
        <item x="323"/>
        <item x="476"/>
        <item x="464"/>
        <item x="582"/>
        <item x="391"/>
        <item x="347"/>
        <item x="26"/>
        <item x="621"/>
        <item x="217"/>
        <item x="330"/>
        <item x="326"/>
        <item x="460"/>
        <item x="116"/>
        <item x="211"/>
        <item x="412"/>
        <item x="128"/>
        <item x="124"/>
        <item x="174"/>
        <item x="466"/>
        <item x="344"/>
        <item x="463"/>
        <item x="597"/>
        <item x="245"/>
        <item x="139"/>
        <item x="113"/>
        <item x="570"/>
        <item x="169"/>
        <item x="87"/>
        <item x="28"/>
        <item x="526"/>
        <item x="232"/>
        <item x="608"/>
        <item x="318"/>
        <item x="257"/>
        <item x="609"/>
        <item x="565"/>
        <item x="439"/>
        <item x="114"/>
        <item x="5"/>
        <item x="508"/>
        <item x="579"/>
        <item x="6"/>
        <item x="297"/>
        <item x="434"/>
        <item x="481"/>
        <item x="334"/>
        <item x="222"/>
        <item x="133"/>
        <item x="495"/>
        <item x="627"/>
        <item x="403"/>
        <item x="0"/>
        <item x="258"/>
        <item x="82"/>
        <item x="584"/>
        <item x="581"/>
        <item x="546"/>
        <item x="53"/>
        <item x="327"/>
        <item x="511"/>
        <item x="296"/>
        <item x="239"/>
        <item x="231"/>
        <item x="57"/>
        <item x="436"/>
        <item x="304"/>
        <item x="39"/>
        <item x="604"/>
        <item x="254"/>
        <item x="443"/>
        <item x="370"/>
        <item x="491"/>
        <item x="194"/>
        <item x="378"/>
        <item x="307"/>
        <item x="277"/>
        <item x="240"/>
        <item x="233"/>
        <item x="598"/>
        <item x="293"/>
        <item x="486"/>
        <item x="71"/>
        <item x="178"/>
        <item x="103"/>
        <item x="248"/>
        <item x="488"/>
        <item x="156"/>
        <item x="12"/>
        <item x="130"/>
        <item x="571"/>
        <item x="79"/>
        <item x="350"/>
        <item x="118"/>
        <item x="308"/>
        <item x="186"/>
        <item x="458"/>
        <item x="462"/>
        <item x="410"/>
        <item x="182"/>
        <item x="328"/>
        <item x="432"/>
        <item x="358"/>
        <item x="483"/>
        <item x="285"/>
        <item x="513"/>
        <item x="563"/>
        <item x="161"/>
        <item x="498"/>
        <item x="369"/>
        <item x="599"/>
        <item x="594"/>
        <item x="314"/>
        <item x="171"/>
        <item x="59"/>
        <item x="524"/>
        <item x="437"/>
        <item x="332"/>
        <item x="46"/>
        <item x="69"/>
        <item x="191"/>
        <item x="141"/>
        <item x="509"/>
        <item x="338"/>
        <item x="137"/>
        <item x="179"/>
        <item x="74"/>
        <item x="214"/>
        <item x="616"/>
        <item x="279"/>
        <item x="90"/>
        <item x="447"/>
        <item x="158"/>
        <item x="540"/>
        <item x="373"/>
        <item x="315"/>
        <item x="201"/>
        <item x="227"/>
        <item x="446"/>
        <item x="473"/>
        <item x="206"/>
        <item x="218"/>
        <item x="27"/>
        <item x="470"/>
        <item x="271"/>
        <item x="525"/>
        <item x="408"/>
        <item x="578"/>
        <item x="43"/>
        <item x="146"/>
        <item x="502"/>
        <item x="168"/>
        <item x="331"/>
        <item x="183"/>
        <item x="309"/>
        <item x="503"/>
        <item x="596"/>
        <item x="543"/>
        <item x="3"/>
        <item x="88"/>
        <item x="386"/>
        <item x="75"/>
        <item x="270"/>
        <item x="262"/>
        <item x="301"/>
        <item x="32"/>
        <item x="489"/>
        <item x="349"/>
        <item x="193"/>
        <item x="485"/>
        <item x="333"/>
        <item x="25"/>
        <item x="102"/>
        <item x="274"/>
        <item x="94"/>
        <item x="37"/>
        <item x="131"/>
        <item x="589"/>
        <item x="593"/>
        <item x="145"/>
        <item x="163"/>
        <item x="520"/>
        <item x="368"/>
        <item x="558"/>
        <item x="316"/>
        <item x="92"/>
        <item x="544"/>
        <item x="33"/>
        <item x="630"/>
        <item x="220"/>
        <item x="250"/>
        <item x="518"/>
        <item x="398"/>
        <item x="152"/>
        <item x="430"/>
        <item x="35"/>
        <item x="477"/>
        <item x="580"/>
        <item x="450"/>
        <item x="62"/>
        <item x="561"/>
        <item x="536"/>
        <item x="533"/>
        <item x="595"/>
        <item x="417"/>
        <item x="15"/>
        <item x="433"/>
        <item x="101"/>
        <item x="238"/>
        <item x="212"/>
        <item x="515"/>
        <item x="104"/>
        <item x="312"/>
        <item x="294"/>
        <item x="361"/>
        <item x="78"/>
        <item x="162"/>
        <item x="269"/>
        <item x="421"/>
        <item x="197"/>
        <item x="41"/>
        <item x="411"/>
        <item x="22"/>
        <item x="241"/>
        <item x="164"/>
        <item x="143"/>
        <item x="268"/>
        <item x="343"/>
        <item x="129"/>
        <item x="345"/>
        <item x="283"/>
        <item x="189"/>
        <item x="577"/>
        <item x="419"/>
        <item x="216"/>
        <item x="453"/>
        <item x="98"/>
        <item x="523"/>
        <item x="559"/>
        <item x="281"/>
        <item x="472"/>
        <item x="8"/>
        <item x="325"/>
        <item x="405"/>
        <item x="615"/>
        <item x="507"/>
        <item x="52"/>
        <item x="198"/>
        <item x="246"/>
        <item x="70"/>
        <item x="425"/>
        <item x="155"/>
        <item x="413"/>
        <item x="367"/>
        <item x="30"/>
        <item x="530"/>
        <item x="549"/>
        <item x="275"/>
        <item x="136"/>
        <item x="612"/>
        <item x="176"/>
        <item x="457"/>
        <item x="499"/>
        <item x="359"/>
        <item x="527"/>
        <item x="623"/>
        <item x="154"/>
        <item x="535"/>
        <item x="510"/>
        <item x="451"/>
        <item x="67"/>
        <item x="564"/>
        <item x="610"/>
        <item x="541"/>
        <item x="185"/>
        <item x="494"/>
        <item x="342"/>
        <item x="68"/>
        <item x="321"/>
        <item x="303"/>
        <item x="605"/>
        <item x="504"/>
        <item x="415"/>
        <item x="335"/>
        <item x="455"/>
        <item x="538"/>
        <item x="363"/>
        <item x="601"/>
        <item x="14"/>
        <item x="290"/>
        <item x="148"/>
        <item x="380"/>
        <item x="93"/>
        <item x="295"/>
        <item x="147"/>
        <item x="287"/>
        <item x="13"/>
        <item x="249"/>
        <item x="404"/>
        <item x="492"/>
        <item x="467"/>
        <item x="210"/>
        <item x="320"/>
        <item x="280"/>
        <item x="441"/>
        <item x="4"/>
        <item x="591"/>
        <item x="611"/>
        <item x="255"/>
        <item x="267"/>
        <item x="23"/>
        <item x="393"/>
        <item x="229"/>
        <item x="261"/>
        <item x="366"/>
        <item x="394"/>
        <item x="547"/>
        <item x="545"/>
        <item x="500"/>
        <item x="20"/>
        <item x="576"/>
        <item x="29"/>
        <item x="399"/>
        <item x="21"/>
        <item x="440"/>
        <item x="225"/>
        <item x="452"/>
        <item x="474"/>
        <item x="123"/>
        <item x="428"/>
        <item x="420"/>
        <item x="324"/>
        <item x="38"/>
        <item x="469"/>
        <item x="614"/>
        <item x="24"/>
        <item x="259"/>
        <item x="364"/>
        <item x="251"/>
        <item x="50"/>
        <item x="381"/>
        <item x="121"/>
        <item x="444"/>
        <item x="115"/>
        <item x="590"/>
        <item x="209"/>
        <item x="228"/>
        <item x="204"/>
        <item x="454"/>
        <item x="150"/>
        <item x="284"/>
        <item x="377"/>
        <item x="501"/>
        <item x="395"/>
        <item x="568"/>
        <item x="56"/>
        <item x="253"/>
        <item x="170"/>
        <item x="552"/>
        <item x="34"/>
        <item x="456"/>
        <item x="73"/>
        <item x="205"/>
        <item x="213"/>
        <item x="299"/>
        <item x="85"/>
        <item x="234"/>
        <item x="91"/>
        <item x="607"/>
        <item x="256"/>
        <item x="606"/>
        <item x="125"/>
        <item x="167"/>
        <item x="371"/>
        <item x="207"/>
        <item x="449"/>
        <item x="260"/>
        <item x="157"/>
        <item x="416"/>
        <item x="86"/>
        <item x="107"/>
        <item x="208"/>
        <item x="414"/>
        <item x="355"/>
        <item x="215"/>
        <item x="105"/>
        <item x="554"/>
        <item x="529"/>
        <item x="135"/>
        <item x="573"/>
        <item x="336"/>
        <item x="288"/>
        <item x="574"/>
        <item x="10"/>
        <item x="110"/>
        <item x="153"/>
        <item x="44"/>
        <item x="348"/>
        <item x="351"/>
        <item x="442"/>
        <item x="160"/>
        <item x="200"/>
        <item x="505"/>
        <item x="132"/>
        <item x="379"/>
        <item x="329"/>
        <item x="585"/>
        <item x="487"/>
        <item x="166"/>
        <item x="475"/>
        <item x="317"/>
        <item x="202"/>
        <item x="555"/>
        <item x="496"/>
        <item x="550"/>
        <item x="400"/>
        <item x="514"/>
        <item x="219"/>
        <item x="340"/>
        <item x="292"/>
        <item x="566"/>
        <item x="553"/>
        <item x="235"/>
        <item x="401"/>
        <item x="144"/>
        <item x="244"/>
        <item x="387"/>
        <item x="402"/>
        <item x="224"/>
        <item x="390"/>
        <item x="300"/>
        <item x="459"/>
        <item x="289"/>
        <item x="372"/>
        <item x="122"/>
        <item x="310"/>
        <item x="569"/>
        <item x="65"/>
        <item x="384"/>
        <item x="409"/>
        <item x="484"/>
        <item x="159"/>
        <item x="522"/>
        <item x="66"/>
        <item x="388"/>
        <item x="339"/>
        <item x="516"/>
        <item x="2"/>
        <item x="468"/>
        <item x="226"/>
        <item x="61"/>
        <item x="374"/>
        <item x="151"/>
        <item x="471"/>
        <item x="76"/>
        <item x="252"/>
        <item x="352"/>
        <item x="11"/>
        <item x="134"/>
        <item x="322"/>
        <item x="479"/>
        <item x="120"/>
        <item x="84"/>
        <item x="628"/>
        <item x="188"/>
        <item x="600"/>
        <item x="190"/>
        <item x="625"/>
        <item x="77"/>
        <item x="81"/>
        <item x="173"/>
        <item x="365"/>
        <item x="406"/>
        <item x="18"/>
        <item x="36"/>
        <item x="19"/>
        <item x="629"/>
        <item x="482"/>
        <item x="603"/>
        <item x="480"/>
        <item x="95"/>
        <item x="42"/>
        <item x="17"/>
        <item x="587"/>
        <item x="31"/>
        <item x="64"/>
        <item x="278"/>
        <item x="560"/>
        <item x="111"/>
        <item x="617"/>
        <item x="397"/>
        <item x="265"/>
        <item x="48"/>
        <item x="438"/>
        <item x="427"/>
        <item x="266"/>
        <item x="100"/>
        <item x="99"/>
        <item x="273"/>
        <item x="356"/>
        <item x="478"/>
        <item x="542"/>
        <item x="97"/>
        <item x="429"/>
        <item x="181"/>
        <item x="313"/>
        <item x="562"/>
        <item x="360"/>
        <item x="626"/>
        <item x="534"/>
        <item x="337"/>
        <item x="45"/>
        <item x="435"/>
        <item x="149"/>
        <item x="72"/>
        <item x="184"/>
        <item x="60"/>
        <item x="557"/>
        <item x="196"/>
        <item x="618"/>
        <item x="353"/>
        <item x="16"/>
        <item x="431"/>
        <item x="548"/>
        <item x="407"/>
        <item x="556"/>
        <item x="506"/>
        <item x="195"/>
        <item x="592"/>
        <item x="138"/>
        <item x="624"/>
        <item x="426"/>
        <item x="567"/>
        <item x="242"/>
        <item x="376"/>
        <item x="537"/>
        <item x="40"/>
        <item x="448"/>
        <item x="302"/>
        <item x="396"/>
        <item x="49"/>
        <item x="272"/>
        <item x="192"/>
        <item x="583"/>
        <item x="223"/>
        <item x="142"/>
        <item x="521"/>
        <item x="497"/>
        <item x="187"/>
        <item x="357"/>
        <item x="382"/>
        <item x="117"/>
        <item x="236"/>
        <item x="622"/>
        <item x="55"/>
        <item x="199"/>
        <item x="264"/>
        <item x="1"/>
        <item x="375"/>
        <item x="588"/>
        <item x="613"/>
        <item x="306"/>
        <item x="619"/>
        <item x="424"/>
        <item x="423"/>
        <item x="385"/>
        <item x="203"/>
        <item x="539"/>
        <item x="80"/>
        <item x="362"/>
        <item x="392"/>
        <item x="126"/>
        <item x="9"/>
        <item x="346"/>
        <item x="47"/>
        <item x="512"/>
        <item x="319"/>
        <item x="383"/>
        <item x="528"/>
        <item x="465"/>
        <item x="276"/>
        <item x="175"/>
        <item x="165"/>
        <item x="422"/>
        <item x="63"/>
        <item x="140"/>
        <item x="58"/>
        <item x="237"/>
        <item t="default"/>
      </items>
    </pivotField>
    <pivotField compact="0" numFmtId="44" showAll="0">
      <items count="633">
        <item x="1"/>
        <item x="385"/>
        <item x="626"/>
        <item x="265"/>
        <item x="11"/>
        <item x="560"/>
        <item x="132"/>
        <item x="134"/>
        <item x="423"/>
        <item x="289"/>
        <item x="497"/>
        <item x="58"/>
        <item x="501"/>
        <item x="187"/>
        <item x="65"/>
        <item x="125"/>
        <item x="192"/>
        <item x="407"/>
        <item x="150"/>
        <item x="244"/>
        <item x="259"/>
        <item x="73"/>
        <item x="72"/>
        <item x="388"/>
        <item x="590"/>
        <item x="229"/>
        <item x="416"/>
        <item x="152"/>
        <item x="477"/>
        <item x="492"/>
        <item x="98"/>
        <item x="361"/>
        <item x="2"/>
        <item x="196"/>
        <item x="52"/>
        <item x="617"/>
        <item x="363"/>
        <item x="622"/>
        <item x="404"/>
        <item x="601"/>
        <item x="605"/>
        <item x="105"/>
        <item x="397"/>
        <item x="14"/>
        <item x="146"/>
        <item x="131"/>
        <item x="384"/>
        <item x="540"/>
        <item x="338"/>
        <item x="193"/>
        <item x="321"/>
        <item x="66"/>
        <item x="432"/>
        <item x="27"/>
        <item x="449"/>
        <item x="427"/>
        <item x="543"/>
        <item x="167"/>
        <item x="224"/>
        <item x="55"/>
        <item x="303"/>
        <item x="373"/>
        <item x="457"/>
        <item x="166"/>
        <item x="81"/>
        <item x="122"/>
        <item x="114"/>
        <item x="101"/>
        <item x="94"/>
        <item x="408"/>
        <item x="593"/>
        <item x="116"/>
        <item x="3"/>
        <item x="252"/>
        <item x="268"/>
        <item x="434"/>
        <item x="411"/>
        <item x="323"/>
        <item x="299"/>
        <item x="333"/>
        <item x="238"/>
        <item x="201"/>
        <item x="36"/>
        <item x="68"/>
        <item x="137"/>
        <item x="390"/>
        <item x="230"/>
        <item x="177"/>
        <item x="179"/>
        <item x="74"/>
        <item x="87"/>
        <item x="53"/>
        <item x="519"/>
        <item x="127"/>
        <item x="631"/>
        <item x="123"/>
        <item x="574"/>
        <item x="139"/>
        <item x="54"/>
        <item x="476"/>
        <item x="200"/>
        <item x="109"/>
        <item x="298"/>
        <item x="286"/>
        <item x="112"/>
        <item x="212"/>
        <item x="609"/>
        <item x="180"/>
        <item x="263"/>
        <item x="532"/>
        <item x="96"/>
        <item x="51"/>
        <item x="106"/>
        <item x="35"/>
        <item x="172"/>
        <item x="531"/>
        <item x="493"/>
        <item x="311"/>
        <item x="561"/>
        <item x="575"/>
        <item x="285"/>
        <item x="85"/>
        <item x="275"/>
        <item x="282"/>
        <item x="216"/>
        <item x="485"/>
        <item x="243"/>
        <item x="7"/>
        <item x="83"/>
        <item x="586"/>
        <item x="89"/>
        <item x="221"/>
        <item x="119"/>
        <item x="389"/>
        <item x="358"/>
        <item x="602"/>
        <item x="461"/>
        <item x="526"/>
        <item x="247"/>
        <item x="418"/>
        <item x="620"/>
        <item x="15"/>
        <item x="291"/>
        <item x="257"/>
        <item x="59"/>
        <item x="198"/>
        <item x="545"/>
        <item x="462"/>
        <item x="248"/>
        <item x="572"/>
        <item x="460"/>
        <item x="463"/>
        <item x="341"/>
        <item x="211"/>
        <item x="269"/>
        <item x="517"/>
        <item x="369"/>
        <item x="174"/>
        <item x="510"/>
        <item x="86"/>
        <item x="6"/>
        <item x="580"/>
        <item x="113"/>
        <item x="606"/>
        <item x="354"/>
        <item x="227"/>
        <item x="26"/>
        <item x="307"/>
        <item x="169"/>
        <item x="490"/>
        <item x="155"/>
        <item x="402"/>
        <item x="124"/>
        <item x="190"/>
        <item x="582"/>
        <item x="412"/>
        <item x="439"/>
        <item x="447"/>
        <item x="464"/>
        <item x="383"/>
        <item x="608"/>
        <item x="39"/>
        <item x="350"/>
        <item x="612"/>
        <item x="488"/>
        <item x="511"/>
        <item x="530"/>
        <item x="297"/>
        <item x="108"/>
        <item x="314"/>
        <item x="318"/>
        <item x="551"/>
        <item x="232"/>
        <item x="194"/>
        <item x="445"/>
        <item x="305"/>
        <item x="162"/>
        <item x="618"/>
        <item x="16"/>
        <item x="4"/>
        <item x="217"/>
        <item x="520"/>
        <item x="317"/>
        <item x="347"/>
        <item x="393"/>
        <item x="133"/>
        <item x="189"/>
        <item x="239"/>
        <item x="75"/>
        <item x="536"/>
        <item x="327"/>
        <item x="326"/>
        <item x="417"/>
        <item x="513"/>
        <item x="234"/>
        <item x="621"/>
        <item x="370"/>
        <item x="10"/>
        <item x="340"/>
        <item x="364"/>
        <item x="381"/>
        <item x="504"/>
        <item x="128"/>
        <item x="136"/>
        <item x="571"/>
        <item x="584"/>
        <item x="186"/>
        <item x="401"/>
        <item x="466"/>
        <item x="483"/>
        <item x="235"/>
        <item x="598"/>
        <item x="330"/>
        <item x="240"/>
        <item x="564"/>
        <item x="391"/>
        <item x="30"/>
        <item x="168"/>
        <item x="215"/>
        <item x="245"/>
        <item x="270"/>
        <item x="218"/>
        <item x="610"/>
        <item x="578"/>
        <item x="566"/>
        <item x="79"/>
        <item x="296"/>
        <item x="351"/>
        <item x="343"/>
        <item x="185"/>
        <item x="410"/>
        <item x="161"/>
        <item x="576"/>
        <item x="206"/>
        <item x="597"/>
        <item x="508"/>
        <item x="12"/>
        <item x="246"/>
        <item x="344"/>
        <item x="570"/>
        <item x="170"/>
        <item x="591"/>
        <item x="294"/>
        <item x="599"/>
        <item x="258"/>
        <item x="380"/>
        <item x="554"/>
        <item x="271"/>
        <item x="308"/>
        <item x="5"/>
        <item x="419"/>
        <item x="579"/>
        <item x="325"/>
        <item x="486"/>
        <item x="395"/>
        <item x="57"/>
        <item x="623"/>
        <item x="28"/>
        <item x="400"/>
        <item x="222"/>
        <item x="208"/>
        <item x="249"/>
        <item x="565"/>
        <item x="233"/>
        <item x="546"/>
        <item x="524"/>
        <item x="495"/>
        <item x="154"/>
        <item x="241"/>
        <item x="0"/>
        <item x="262"/>
        <item x="481"/>
        <item x="118"/>
        <item x="328"/>
        <item x="399"/>
        <item x="334"/>
        <item x="70"/>
        <item x="596"/>
        <item x="428"/>
        <item x="549"/>
        <item x="615"/>
        <item x="365"/>
        <item x="84"/>
        <item x="627"/>
        <item x="143"/>
        <item x="604"/>
        <item x="25"/>
        <item x="316"/>
        <item x="441"/>
        <item x="527"/>
        <item x="403"/>
        <item x="46"/>
        <item x="103"/>
        <item x="421"/>
        <item x="436"/>
        <item x="82"/>
        <item x="332"/>
        <item x="184"/>
        <item x="503"/>
        <item x="277"/>
        <item x="494"/>
        <item x="231"/>
        <item x="44"/>
        <item x="142"/>
        <item x="443"/>
        <item x="437"/>
        <item x="377"/>
        <item x="525"/>
        <item x="304"/>
        <item x="183"/>
        <item x="214"/>
        <item x="71"/>
        <item x="331"/>
        <item x="50"/>
        <item x="284"/>
        <item x="518"/>
        <item x="78"/>
        <item x="473"/>
        <item x="41"/>
        <item x="406"/>
        <item x="387"/>
        <item x="90"/>
        <item x="420"/>
        <item x="371"/>
        <item x="151"/>
        <item x="378"/>
        <item x="581"/>
        <item x="438"/>
        <item x="254"/>
        <item x="22"/>
        <item x="491"/>
        <item x="141"/>
        <item x="38"/>
        <item x="92"/>
        <item x="426"/>
        <item x="489"/>
        <item x="147"/>
        <item x="509"/>
        <item x="32"/>
        <item x="386"/>
        <item x="515"/>
        <item x="315"/>
        <item x="182"/>
        <item x="99"/>
        <item x="178"/>
        <item x="156"/>
        <item x="458"/>
        <item x="301"/>
        <item x="435"/>
        <item x="197"/>
        <item x="553"/>
        <item x="558"/>
        <item x="279"/>
        <item x="312"/>
        <item x="283"/>
        <item x="594"/>
        <item x="309"/>
        <item x="293"/>
        <item x="191"/>
        <item x="62"/>
        <item x="479"/>
        <item x="453"/>
        <item x="130"/>
        <item x="467"/>
        <item x="512"/>
        <item x="228"/>
        <item x="563"/>
        <item x="164"/>
        <item x="69"/>
        <item x="498"/>
        <item x="516"/>
        <item x="171"/>
        <item x="446"/>
        <item x="375"/>
        <item x="236"/>
        <item x="484"/>
        <item x="573"/>
        <item x="469"/>
        <item x="195"/>
        <item x="547"/>
        <item x="533"/>
        <item x="470"/>
        <item x="281"/>
        <item x="104"/>
        <item x="522"/>
        <item x="43"/>
        <item x="274"/>
        <item x="559"/>
        <item x="587"/>
        <item x="148"/>
        <item x="502"/>
        <item x="158"/>
        <item x="67"/>
        <item x="405"/>
        <item x="455"/>
        <item x="382"/>
        <item x="250"/>
        <item x="49"/>
        <item x="209"/>
        <item x="450"/>
        <item x="256"/>
        <item x="163"/>
        <item x="589"/>
        <item x="251"/>
        <item x="272"/>
        <item x="37"/>
        <item x="552"/>
        <item x="88"/>
        <item x="616"/>
        <item x="433"/>
        <item x="359"/>
        <item x="345"/>
        <item x="31"/>
        <item x="619"/>
        <item x="548"/>
        <item x="630"/>
        <item x="91"/>
        <item x="349"/>
        <item x="577"/>
        <item x="430"/>
        <item x="64"/>
        <item x="535"/>
        <item x="145"/>
        <item x="264"/>
        <item x="398"/>
        <item x="319"/>
        <item x="409"/>
        <item x="33"/>
        <item x="8"/>
        <item x="220"/>
        <item x="160"/>
        <item x="425"/>
        <item x="242"/>
        <item x="614"/>
        <item x="176"/>
        <item x="335"/>
        <item x="507"/>
        <item x="292"/>
        <item x="368"/>
        <item x="267"/>
        <item x="280"/>
        <item x="585"/>
        <item x="472"/>
        <item x="102"/>
        <item x="261"/>
        <item x="544"/>
        <item x="468"/>
        <item x="413"/>
        <item x="456"/>
        <item x="459"/>
        <item x="273"/>
        <item x="499"/>
        <item x="611"/>
        <item x="595"/>
        <item x="210"/>
        <item x="306"/>
        <item x="474"/>
        <item x="352"/>
        <item x="523"/>
        <item x="392"/>
        <item x="129"/>
        <item x="506"/>
        <item x="339"/>
        <item x="542"/>
        <item x="138"/>
        <item x="300"/>
        <item x="366"/>
        <item x="21"/>
        <item x="45"/>
        <item x="188"/>
        <item x="355"/>
        <item x="415"/>
        <item x="394"/>
        <item x="260"/>
        <item x="144"/>
        <item x="29"/>
        <item x="290"/>
        <item x="63"/>
        <item x="500"/>
        <item x="440"/>
        <item x="444"/>
        <item x="202"/>
        <item x="111"/>
        <item x="107"/>
        <item x="23"/>
        <item x="61"/>
        <item x="367"/>
        <item x="353"/>
        <item x="60"/>
        <item x="562"/>
        <item x="287"/>
        <item x="93"/>
        <item x="157"/>
        <item x="225"/>
        <item x="541"/>
        <item x="451"/>
        <item x="295"/>
        <item x="454"/>
        <item x="42"/>
        <item x="342"/>
        <item x="213"/>
        <item x="538"/>
        <item x="121"/>
        <item x="528"/>
        <item x="203"/>
        <item x="302"/>
        <item x="583"/>
        <item x="13"/>
        <item x="475"/>
        <item x="97"/>
        <item x="159"/>
        <item x="348"/>
        <item x="360"/>
        <item x="219"/>
        <item x="288"/>
        <item x="568"/>
        <item x="320"/>
        <item x="173"/>
        <item x="329"/>
        <item x="253"/>
        <item x="115"/>
        <item x="110"/>
        <item x="452"/>
        <item x="226"/>
        <item x="205"/>
        <item x="374"/>
        <item x="135"/>
        <item x="20"/>
        <item x="204"/>
        <item x="40"/>
        <item x="24"/>
        <item x="487"/>
        <item x="625"/>
        <item x="310"/>
        <item x="336"/>
        <item x="255"/>
        <item x="77"/>
        <item x="550"/>
        <item x="34"/>
        <item x="628"/>
        <item x="153"/>
        <item x="278"/>
        <item x="324"/>
        <item x="207"/>
        <item x="48"/>
        <item x="496"/>
        <item x="600"/>
        <item x="337"/>
        <item x="372"/>
        <item x="17"/>
        <item x="607"/>
        <item x="442"/>
        <item x="376"/>
        <item x="482"/>
        <item x="56"/>
        <item x="567"/>
        <item x="76"/>
        <item x="505"/>
        <item x="569"/>
        <item x="357"/>
        <item x="514"/>
        <item x="313"/>
        <item x="414"/>
        <item x="266"/>
        <item x="448"/>
        <item x="555"/>
        <item x="379"/>
        <item x="471"/>
        <item x="429"/>
        <item x="181"/>
        <item x="18"/>
        <item x="149"/>
        <item x="534"/>
        <item x="529"/>
        <item x="9"/>
        <item x="19"/>
        <item x="478"/>
        <item x="603"/>
        <item x="556"/>
        <item x="480"/>
        <item x="120"/>
        <item x="629"/>
        <item x="322"/>
        <item x="356"/>
        <item x="424"/>
        <item x="199"/>
        <item x="140"/>
        <item x="624"/>
        <item x="80"/>
        <item x="95"/>
        <item x="537"/>
        <item x="126"/>
        <item x="592"/>
        <item x="276"/>
        <item x="557"/>
        <item x="396"/>
        <item x="539"/>
        <item x="465"/>
        <item x="165"/>
        <item x="100"/>
        <item x="431"/>
        <item x="117"/>
        <item x="588"/>
        <item x="521"/>
        <item x="346"/>
        <item x="223"/>
        <item x="175"/>
        <item x="362"/>
        <item x="422"/>
        <item x="613"/>
        <item x="237"/>
        <item x="47"/>
        <item t="default"/>
      </items>
    </pivotField>
    <pivotField compact="0" numFmtId="44" showAll="0">
      <items count="633">
        <item x="1"/>
        <item x="385"/>
        <item x="11"/>
        <item x="626"/>
        <item x="132"/>
        <item x="265"/>
        <item x="289"/>
        <item x="501"/>
        <item x="560"/>
        <item x="134"/>
        <item x="150"/>
        <item x="125"/>
        <item x="259"/>
        <item x="152"/>
        <item x="477"/>
        <item x="361"/>
        <item x="65"/>
        <item x="146"/>
        <item x="98"/>
        <item x="338"/>
        <item x="540"/>
        <item x="73"/>
        <item x="432"/>
        <item x="116"/>
        <item x="229"/>
        <item x="52"/>
        <item x="131"/>
        <item x="114"/>
        <item x="323"/>
        <item x="177"/>
        <item x="298"/>
        <item x="631"/>
        <item x="193"/>
        <item x="112"/>
        <item x="180"/>
        <item x="286"/>
        <item x="54"/>
        <item x="230"/>
        <item x="96"/>
        <item x="172"/>
        <item x="493"/>
        <item x="109"/>
        <item x="519"/>
        <item x="532"/>
        <item x="127"/>
        <item x="263"/>
        <item x="106"/>
        <item x="27"/>
        <item x="492"/>
        <item x="244"/>
        <item x="531"/>
        <item x="434"/>
        <item x="575"/>
        <item x="590"/>
        <item x="51"/>
        <item x="476"/>
        <item x="586"/>
        <item x="282"/>
        <item x="83"/>
        <item x="389"/>
        <item x="311"/>
        <item x="119"/>
        <item x="89"/>
        <item x="7"/>
        <item x="87"/>
        <item x="243"/>
        <item x="247"/>
        <item x="221"/>
        <item x="139"/>
        <item x="418"/>
        <item x="605"/>
        <item x="461"/>
        <item x="602"/>
        <item x="373"/>
        <item x="620"/>
        <item x="601"/>
        <item x="572"/>
        <item x="291"/>
        <item x="543"/>
        <item x="609"/>
        <item x="53"/>
        <item x="404"/>
        <item x="14"/>
        <item x="517"/>
        <item x="341"/>
        <item x="354"/>
        <item x="460"/>
        <item x="526"/>
        <item x="416"/>
        <item x="211"/>
        <item x="408"/>
        <item x="463"/>
        <item x="490"/>
        <item x="257"/>
        <item x="363"/>
        <item x="321"/>
        <item x="174"/>
        <item x="26"/>
        <item x="113"/>
        <item x="582"/>
        <item x="3"/>
        <item x="94"/>
        <item x="179"/>
        <item x="124"/>
        <item x="412"/>
        <item x="169"/>
        <item x="108"/>
        <item x="464"/>
        <item x="593"/>
        <item x="285"/>
        <item x="305"/>
        <item x="551"/>
        <item x="201"/>
        <item x="6"/>
        <item x="137"/>
        <item x="445"/>
        <item x="101"/>
        <item x="248"/>
        <item x="333"/>
        <item x="358"/>
        <item x="388"/>
        <item x="439"/>
        <item x="608"/>
        <item x="462"/>
        <item x="217"/>
        <item x="347"/>
        <item x="307"/>
        <item x="318"/>
        <item x="232"/>
        <item x="59"/>
        <item x="297"/>
        <item x="303"/>
        <item x="326"/>
        <item x="39"/>
        <item x="268"/>
        <item x="411"/>
        <item x="621"/>
        <item x="457"/>
        <item x="238"/>
        <item x="511"/>
        <item x="369"/>
        <item x="128"/>
        <item x="350"/>
        <item x="488"/>
        <item x="466"/>
        <item x="330"/>
        <item x="485"/>
        <item x="391"/>
        <item x="133"/>
        <item x="194"/>
        <item x="35"/>
        <item x="74"/>
        <item x="212"/>
        <item x="561"/>
        <item x="245"/>
        <item x="239"/>
        <item x="327"/>
        <item x="227"/>
        <item x="584"/>
        <item x="314"/>
        <item x="370"/>
        <item x="597"/>
        <item x="15"/>
        <item x="68"/>
        <item x="598"/>
        <item x="344"/>
        <item x="216"/>
        <item x="571"/>
        <item x="570"/>
        <item x="240"/>
        <item x="186"/>
        <item x="2"/>
        <item x="513"/>
        <item x="296"/>
        <item x="508"/>
        <item x="580"/>
        <item x="483"/>
        <item x="275"/>
        <item x="407"/>
        <item x="449"/>
        <item x="269"/>
        <item x="79"/>
        <item x="198"/>
        <item x="447"/>
        <item x="497"/>
        <item x="5"/>
        <item x="258"/>
        <item x="12"/>
        <item x="28"/>
        <item x="105"/>
        <item x="410"/>
        <item x="579"/>
        <item x="75"/>
        <item x="161"/>
        <item x="384"/>
        <item x="520"/>
        <item x="565"/>
        <item x="123"/>
        <item x="222"/>
        <item x="57"/>
        <item x="155"/>
        <item x="510"/>
        <item x="218"/>
        <item x="72"/>
        <item x="168"/>
        <item x="308"/>
        <item x="486"/>
        <item x="578"/>
        <item x="162"/>
        <item x="536"/>
        <item x="495"/>
        <item x="546"/>
        <item x="599"/>
        <item x="167"/>
        <item x="417"/>
        <item x="270"/>
        <item x="206"/>
        <item x="612"/>
        <item x="233"/>
        <item x="481"/>
        <item x="530"/>
        <item x="189"/>
        <item x="0"/>
        <item x="192"/>
        <item x="299"/>
        <item x="545"/>
        <item x="423"/>
        <item x="334"/>
        <item x="617"/>
        <item x="66"/>
        <item x="166"/>
        <item x="271"/>
        <item x="118"/>
        <item x="627"/>
        <item x="524"/>
        <item x="187"/>
        <item x="224"/>
        <item x="604"/>
        <item x="403"/>
        <item x="136"/>
        <item x="82"/>
        <item x="397"/>
        <item x="85"/>
        <item x="436"/>
        <item x="504"/>
        <item x="30"/>
        <item x="4"/>
        <item x="103"/>
        <item x="122"/>
        <item x="564"/>
        <item x="574"/>
        <item x="294"/>
        <item x="610"/>
        <item x="231"/>
        <item x="277"/>
        <item x="200"/>
        <item x="343"/>
        <item x="443"/>
        <item x="185"/>
        <item x="262"/>
        <item x="304"/>
        <item x="46"/>
        <item x="419"/>
        <item x="196"/>
        <item x="596"/>
        <item x="606"/>
        <item x="390"/>
        <item x="325"/>
        <item x="86"/>
        <item x="393"/>
        <item x="71"/>
        <item x="364"/>
        <item x="25"/>
        <item x="81"/>
        <item x="252"/>
        <item x="437"/>
        <item x="246"/>
        <item x="381"/>
        <item x="581"/>
        <item x="241"/>
        <item x="623"/>
        <item x="332"/>
        <item x="576"/>
        <item x="316"/>
        <item x="380"/>
        <item x="378"/>
        <item x="591"/>
        <item x="254"/>
        <item x="214"/>
        <item x="503"/>
        <item x="525"/>
        <item x="491"/>
        <item x="328"/>
        <item x="143"/>
        <item x="234"/>
        <item x="70"/>
        <item x="154"/>
        <item x="183"/>
        <item x="615"/>
        <item x="249"/>
        <item x="473"/>
        <item x="421"/>
        <item x="36"/>
        <item x="331"/>
        <item x="549"/>
        <item x="178"/>
        <item x="90"/>
        <item x="156"/>
        <item x="402"/>
        <item x="182"/>
        <item x="141"/>
        <item x="458"/>
        <item x="215"/>
        <item x="509"/>
        <item x="317"/>
        <item x="527"/>
        <item x="518"/>
        <item x="10"/>
        <item x="293"/>
        <item x="399"/>
        <item x="315"/>
        <item x="41"/>
        <item x="395"/>
        <item x="130"/>
        <item x="489"/>
        <item x="441"/>
        <item x="594"/>
        <item x="494"/>
        <item x="32"/>
        <item x="428"/>
        <item x="386"/>
        <item x="279"/>
        <item x="351"/>
        <item x="92"/>
        <item x="235"/>
        <item x="401"/>
        <item x="191"/>
        <item x="170"/>
        <item x="554"/>
        <item x="190"/>
        <item x="22"/>
        <item x="301"/>
        <item x="78"/>
        <item x="563"/>
        <item x="208"/>
        <item x="566"/>
        <item x="498"/>
        <item x="515"/>
        <item x="69"/>
        <item x="309"/>
        <item x="558"/>
        <item x="171"/>
        <item x="197"/>
        <item x="62"/>
        <item x="312"/>
        <item x="446"/>
        <item x="400"/>
        <item x="283"/>
        <item x="147"/>
        <item x="377"/>
        <item x="622"/>
        <item x="453"/>
        <item x="420"/>
        <item x="164"/>
        <item x="284"/>
        <item x="470"/>
        <item x="427"/>
        <item x="38"/>
        <item x="43"/>
        <item x="158"/>
        <item x="502"/>
        <item x="44"/>
        <item x="533"/>
        <item x="274"/>
        <item x="467"/>
        <item x="371"/>
        <item x="104"/>
        <item x="618"/>
        <item x="616"/>
        <item x="84"/>
        <item x="250"/>
        <item x="559"/>
        <item x="16"/>
        <item x="365"/>
        <item x="589"/>
        <item x="163"/>
        <item x="55"/>
        <item x="37"/>
        <item x="450"/>
        <item x="50"/>
        <item x="88"/>
        <item x="405"/>
        <item x="228"/>
        <item x="387"/>
        <item x="67"/>
        <item x="547"/>
        <item x="349"/>
        <item x="469"/>
        <item x="148"/>
        <item x="433"/>
        <item x="455"/>
        <item x="630"/>
        <item x="430"/>
        <item x="345"/>
        <item x="151"/>
        <item x="553"/>
        <item x="145"/>
        <item x="577"/>
        <item x="406"/>
        <item x="398"/>
        <item x="359"/>
        <item x="33"/>
        <item x="573"/>
        <item x="535"/>
        <item x="220"/>
        <item x="251"/>
        <item x="209"/>
        <item x="184"/>
        <item x="438"/>
        <item x="281"/>
        <item x="8"/>
        <item x="368"/>
        <item x="479"/>
        <item x="516"/>
        <item x="102"/>
        <item x="425"/>
        <item x="256"/>
        <item x="552"/>
        <item x="484"/>
        <item x="544"/>
        <item x="176"/>
        <item x="507"/>
        <item x="335"/>
        <item x="472"/>
        <item x="91"/>
        <item x="522"/>
        <item x="595"/>
        <item x="413"/>
        <item x="435"/>
        <item x="267"/>
        <item x="614"/>
        <item x="280"/>
        <item x="499"/>
        <item x="261"/>
        <item x="523"/>
        <item x="587"/>
        <item x="142"/>
        <item x="129"/>
        <item x="611"/>
        <item x="426"/>
        <item x="210"/>
        <item x="160"/>
        <item x="409"/>
        <item x="474"/>
        <item x="456"/>
        <item x="31"/>
        <item x="585"/>
        <item x="64"/>
        <item x="292"/>
        <item x="99"/>
        <item x="195"/>
        <item x="415"/>
        <item x="366"/>
        <item x="21"/>
        <item x="290"/>
        <item x="394"/>
        <item x="459"/>
        <item x="468"/>
        <item x="29"/>
        <item x="367"/>
        <item x="58"/>
        <item x="500"/>
        <item x="23"/>
        <item x="440"/>
        <item x="383"/>
        <item x="548"/>
        <item x="260"/>
        <item x="287"/>
        <item x="355"/>
        <item x="444"/>
        <item x="541"/>
        <item x="93"/>
        <item x="352"/>
        <item x="49"/>
        <item x="236"/>
        <item x="451"/>
        <item x="272"/>
        <item x="295"/>
        <item x="300"/>
        <item x="375"/>
        <item x="273"/>
        <item x="342"/>
        <item x="107"/>
        <item x="225"/>
        <item x="538"/>
        <item x="144"/>
        <item x="382"/>
        <item x="202"/>
        <item x="242"/>
        <item x="454"/>
        <item x="157"/>
        <item x="188"/>
        <item x="121"/>
        <item x="542"/>
        <item x="13"/>
        <item x="213"/>
        <item x="61"/>
        <item x="320"/>
        <item x="111"/>
        <item x="264"/>
        <item x="45"/>
        <item x="619"/>
        <item x="506"/>
        <item x="452"/>
        <item x="568"/>
        <item x="339"/>
        <item x="115"/>
        <item x="138"/>
        <item x="475"/>
        <item x="253"/>
        <item x="20"/>
        <item x="348"/>
        <item x="288"/>
        <item x="562"/>
        <item x="60"/>
        <item x="512"/>
        <item x="24"/>
        <item x="353"/>
        <item x="204"/>
        <item x="205"/>
        <item x="329"/>
        <item x="159"/>
        <item x="110"/>
        <item x="255"/>
        <item x="135"/>
        <item x="306"/>
        <item x="226"/>
        <item x="173"/>
        <item x="487"/>
        <item x="336"/>
        <item x="97"/>
        <item x="34"/>
        <item x="324"/>
        <item x="219"/>
        <item x="550"/>
        <item x="360"/>
        <item x="310"/>
        <item x="340"/>
        <item x="207"/>
        <item x="319"/>
        <item x="153"/>
        <item x="625"/>
        <item x="374"/>
        <item x="302"/>
        <item x="77"/>
        <item x="496"/>
        <item x="583"/>
        <item x="628"/>
        <item x="607"/>
        <item x="372"/>
        <item x="278"/>
        <item x="42"/>
        <item x="600"/>
        <item x="56"/>
        <item x="48"/>
        <item x="442"/>
        <item x="40"/>
        <item x="17"/>
        <item x="203"/>
        <item x="505"/>
        <item x="414"/>
        <item x="337"/>
        <item x="514"/>
        <item x="569"/>
        <item x="482"/>
        <item x="76"/>
        <item x="379"/>
        <item x="555"/>
        <item x="529"/>
        <item x="471"/>
        <item x="266"/>
        <item x="313"/>
        <item x="528"/>
        <item x="376"/>
        <item x="18"/>
        <item x="567"/>
        <item x="429"/>
        <item x="181"/>
        <item x="19"/>
        <item x="448"/>
        <item x="149"/>
        <item x="534"/>
        <item x="603"/>
        <item x="478"/>
        <item x="357"/>
        <item x="120"/>
        <item x="480"/>
        <item x="322"/>
        <item x="629"/>
        <item x="556"/>
        <item x="356"/>
        <item x="392"/>
        <item x="63"/>
        <item x="95"/>
        <item x="9"/>
        <item x="624"/>
        <item x="537"/>
        <item x="199"/>
        <item x="424"/>
        <item x="592"/>
        <item x="557"/>
        <item x="80"/>
        <item x="126"/>
        <item x="396"/>
        <item x="100"/>
        <item x="539"/>
        <item x="431"/>
        <item x="140"/>
        <item x="276"/>
        <item x="117"/>
        <item x="521"/>
        <item x="588"/>
        <item x="465"/>
        <item x="165"/>
        <item x="223"/>
        <item x="346"/>
        <item x="362"/>
        <item x="175"/>
        <item x="613"/>
        <item x="422"/>
        <item x="47"/>
        <item x="237"/>
        <item t="default"/>
      </items>
    </pivotField>
    <pivotField compact="0" showAll="0">
      <items count="633">
        <item x="1"/>
        <item x="132"/>
        <item x="11"/>
        <item x="116"/>
        <item x="501"/>
        <item x="626"/>
        <item x="385"/>
        <item x="265"/>
        <item x="152"/>
        <item x="177"/>
        <item x="289"/>
        <item x="477"/>
        <item x="150"/>
        <item x="298"/>
        <item x="560"/>
        <item x="259"/>
        <item x="134"/>
        <item x="338"/>
        <item x="146"/>
        <item x="125"/>
        <item x="323"/>
        <item x="361"/>
        <item x="540"/>
        <item x="432"/>
        <item x="98"/>
        <item x="114"/>
        <item x="65"/>
        <item x="112"/>
        <item x="131"/>
        <item x="52"/>
        <item x="73"/>
        <item x="229"/>
        <item x="631"/>
        <item x="193"/>
        <item x="244"/>
        <item x="590"/>
        <item x="492"/>
        <item x="230"/>
        <item x="27"/>
        <item x="286"/>
        <item x="605"/>
        <item x="363"/>
        <item x="601"/>
        <item x="416"/>
        <item x="404"/>
        <item x="54"/>
        <item x="14"/>
        <item x="388"/>
        <item x="497"/>
        <item x="434"/>
        <item x="423"/>
        <item x="407"/>
        <item x="373"/>
        <item x="543"/>
        <item x="321"/>
        <item x="187"/>
        <item x="180"/>
        <item x="192"/>
        <item x="72"/>
        <item x="2"/>
        <item x="105"/>
        <item x="519"/>
        <item x="127"/>
        <item x="408"/>
        <item x="617"/>
        <item x="384"/>
        <item x="94"/>
        <item x="303"/>
        <item x="196"/>
        <item x="397"/>
        <item x="3"/>
        <item x="593"/>
        <item x="449"/>
        <item x="457"/>
        <item x="101"/>
        <item x="87"/>
        <item x="66"/>
        <item x="58"/>
        <item x="167"/>
        <item x="109"/>
        <item x="201"/>
        <item x="622"/>
        <item x="268"/>
        <item x="411"/>
        <item x="427"/>
        <item x="333"/>
        <item x="224"/>
        <item x="53"/>
        <item x="137"/>
        <item x="139"/>
        <item x="166"/>
        <item x="238"/>
        <item x="476"/>
        <item x="122"/>
        <item x="81"/>
        <item x="179"/>
        <item x="74"/>
        <item x="252"/>
        <item x="68"/>
        <item x="55"/>
        <item x="299"/>
        <item x="36"/>
        <item x="390"/>
        <item x="123"/>
        <item x="574"/>
        <item x="263"/>
        <item x="609"/>
        <item x="200"/>
        <item x="532"/>
        <item x="212"/>
        <item x="96"/>
        <item x="35"/>
        <item x="85"/>
        <item x="561"/>
        <item x="275"/>
        <item x="383"/>
        <item x="216"/>
        <item x="485"/>
        <item x="285"/>
        <item x="51"/>
        <item x="545"/>
        <item x="106"/>
        <item x="190"/>
        <item x="402"/>
        <item x="86"/>
        <item x="16"/>
        <item x="618"/>
        <item x="15"/>
        <item x="606"/>
        <item x="198"/>
        <item x="531"/>
        <item x="358"/>
        <item x="510"/>
        <item x="269"/>
        <item x="317"/>
        <item x="155"/>
        <item x="311"/>
        <item x="340"/>
        <item x="401"/>
        <item x="235"/>
        <item x="59"/>
        <item x="10"/>
        <item x="580"/>
        <item x="234"/>
        <item x="612"/>
        <item x="566"/>
        <item x="512"/>
        <item x="530"/>
        <item x="462"/>
        <item x="215"/>
        <item x="4"/>
        <item x="393"/>
        <item x="351"/>
        <item x="381"/>
        <item x="364"/>
        <item x="142"/>
        <item x="227"/>
        <item x="248"/>
        <item x="369"/>
        <item x="184"/>
        <item x="526"/>
        <item x="400"/>
        <item x="170"/>
        <item x="504"/>
        <item x="365"/>
        <item x="554"/>
        <item x="162"/>
        <item x="84"/>
        <item x="426"/>
        <item x="189"/>
        <item x="375"/>
        <item x="319"/>
        <item x="447"/>
        <item x="136"/>
        <item x="208"/>
        <item x="236"/>
        <item x="576"/>
        <item x="63"/>
        <item x="564"/>
        <item x="257"/>
        <item x="520"/>
        <item x="395"/>
        <item x="30"/>
        <item x="536"/>
        <item x="610"/>
        <item x="417"/>
        <item x="435"/>
        <item x="382"/>
        <item x="438"/>
        <item x="406"/>
        <item x="185"/>
        <item x="591"/>
        <item x="619"/>
        <item x="99"/>
        <item x="75"/>
        <item x="307"/>
        <item x="195"/>
        <item x="151"/>
        <item x="264"/>
        <item x="380"/>
        <item x="49"/>
        <item x="314"/>
        <item x="246"/>
        <item x="272"/>
        <item x="44"/>
        <item x="343"/>
        <item x="282"/>
        <item x="387"/>
        <item x="392"/>
        <item x="249"/>
        <item x="575"/>
        <item x="350"/>
        <item x="428"/>
        <item x="399"/>
        <item x="6"/>
        <item x="623"/>
        <item x="306"/>
        <item x="479"/>
        <item x="528"/>
        <item x="270"/>
        <item x="548"/>
        <item x="221"/>
        <item x="488"/>
        <item x="325"/>
        <item x="377"/>
        <item x="168"/>
        <item x="553"/>
        <item x="419"/>
        <item x="294"/>
        <item x="39"/>
        <item x="371"/>
        <item x="242"/>
        <item x="516"/>
        <item x="154"/>
        <item x="284"/>
        <item x="587"/>
        <item x="441"/>
        <item x="463"/>
        <item x="602"/>
        <item x="578"/>
        <item x="50"/>
        <item x="218"/>
        <item x="484"/>
        <item x="513"/>
        <item x="549"/>
        <item x="243"/>
        <item x="70"/>
        <item x="511"/>
        <item x="460"/>
        <item x="522"/>
        <item x="211"/>
        <item x="194"/>
        <item x="31"/>
        <item x="527"/>
        <item x="206"/>
        <item x="420"/>
        <item x="241"/>
        <item x="64"/>
        <item x="439"/>
        <item x="203"/>
        <item x="615"/>
        <item x="483"/>
        <item x="38"/>
        <item x="506"/>
        <item x="461"/>
        <item x="7"/>
        <item x="494"/>
        <item x="138"/>
        <item x="573"/>
        <item x="169"/>
        <item x="174"/>
        <item x="297"/>
        <item x="186"/>
        <item x="113"/>
        <item x="143"/>
        <item x="140"/>
        <item x="608"/>
        <item x="273"/>
        <item x="271"/>
        <item x="571"/>
        <item x="620"/>
        <item x="228"/>
        <item x="421"/>
        <item x="147"/>
        <item x="161"/>
        <item x="409"/>
        <item x="291"/>
        <item x="370"/>
        <item x="542"/>
        <item x="239"/>
        <item x="89"/>
        <item x="262"/>
        <item x="45"/>
        <item x="598"/>
        <item x="353"/>
        <item x="583"/>
        <item x="316"/>
        <item x="172"/>
        <item x="327"/>
        <item x="302"/>
        <item x="410"/>
        <item x="60"/>
        <item x="318"/>
        <item x="133"/>
        <item x="596"/>
        <item x="468"/>
        <item x="240"/>
        <item x="25"/>
        <item x="469"/>
        <item x="256"/>
        <item x="599"/>
        <item x="467"/>
        <item x="79"/>
        <item x="124"/>
        <item x="562"/>
        <item x="232"/>
        <item x="41"/>
        <item x="352"/>
        <item x="119"/>
        <item x="292"/>
        <item x="552"/>
        <item x="78"/>
        <item x="160"/>
        <item x="9"/>
        <item x="91"/>
        <item x="459"/>
        <item x="209"/>
        <item x="276"/>
        <item x="584"/>
        <item x="40"/>
        <item x="412"/>
        <item x="26"/>
        <item x="111"/>
        <item x="547"/>
        <item x="22"/>
        <item x="12"/>
        <item x="585"/>
        <item x="339"/>
        <item x="188"/>
        <item x="518"/>
        <item x="83"/>
        <item x="251"/>
        <item x="524"/>
        <item x="503"/>
        <item x="418"/>
        <item x="360"/>
        <item x="97"/>
        <item x="515"/>
        <item x="357"/>
        <item x="296"/>
        <item x="308"/>
        <item x="300"/>
        <item x="283"/>
        <item x="42"/>
        <item x="197"/>
        <item x="61"/>
        <item x="183"/>
        <item x="465"/>
        <item x="453"/>
        <item x="165"/>
        <item x="341"/>
        <item x="148"/>
        <item x="92"/>
        <item x="144"/>
        <item x="331"/>
        <item x="582"/>
        <item x="312"/>
        <item x="525"/>
        <item x="455"/>
        <item x="126"/>
        <item x="456"/>
        <item x="376"/>
        <item x="164"/>
        <item x="328"/>
        <item x="46"/>
        <item x="486"/>
        <item x="614"/>
        <item x="67"/>
        <item x="424"/>
        <item x="489"/>
        <item x="464"/>
        <item x="567"/>
        <item x="332"/>
        <item x="448"/>
        <item x="558"/>
        <item x="80"/>
        <item x="32"/>
        <item x="202"/>
        <item x="62"/>
        <item x="490"/>
        <item x="473"/>
        <item x="386"/>
        <item x="173"/>
        <item x="337"/>
        <item x="237"/>
        <item x="247"/>
        <item x="355"/>
        <item x="281"/>
        <item x="214"/>
        <item x="301"/>
        <item x="233"/>
        <item x="199"/>
        <item x="559"/>
        <item x="118"/>
        <item x="260"/>
        <item x="405"/>
        <item x="359"/>
        <item x="159"/>
        <item x="90"/>
        <item x="175"/>
        <item x="57"/>
        <item x="48"/>
        <item x="508"/>
        <item x="437"/>
        <item x="625"/>
        <item x="267"/>
        <item x="107"/>
        <item x="226"/>
        <item x="258"/>
        <item x="535"/>
        <item x="374"/>
        <item x="261"/>
        <item x="278"/>
        <item x="77"/>
        <item x="309"/>
        <item x="104"/>
        <item x="533"/>
        <item x="280"/>
        <item x="474"/>
        <item x="313"/>
        <item x="219"/>
        <item x="628"/>
        <item x="315"/>
        <item x="556"/>
        <item x="475"/>
        <item x="157"/>
        <item x="335"/>
        <item x="611"/>
        <item x="17"/>
        <item x="600"/>
        <item x="539"/>
        <item x="141"/>
        <item x="348"/>
        <item x="149"/>
        <item x="345"/>
        <item x="546"/>
        <item x="181"/>
        <item x="429"/>
        <item x="210"/>
        <item x="310"/>
        <item x="509"/>
        <item x="329"/>
        <item x="577"/>
        <item x="176"/>
        <item x="534"/>
        <item x="266"/>
        <item x="444"/>
        <item x="217"/>
        <item x="422"/>
        <item x="425"/>
        <item x="103"/>
        <item x="572"/>
        <item x="579"/>
        <item x="128"/>
        <item x="213"/>
        <item x="288"/>
        <item x="110"/>
        <item x="346"/>
        <item x="222"/>
        <item x="279"/>
        <item x="21"/>
        <item x="466"/>
        <item x="5"/>
        <item x="482"/>
        <item x="537"/>
        <item x="450"/>
        <item x="250"/>
        <item x="624"/>
        <item x="366"/>
        <item x="274"/>
        <item x="347"/>
        <item x="8"/>
        <item x="454"/>
        <item x="433"/>
        <item x="495"/>
        <item x="29"/>
        <item x="517"/>
        <item x="487"/>
        <item x="394"/>
        <item x="550"/>
        <item x="326"/>
        <item x="586"/>
        <item x="507"/>
        <item x="440"/>
        <item x="163"/>
        <item x="478"/>
        <item x="604"/>
        <item x="413"/>
        <item x="245"/>
        <item x="499"/>
        <item x="135"/>
        <item x="0"/>
        <item x="551"/>
        <item x="389"/>
        <item x="500"/>
        <item x="445"/>
        <item x="372"/>
        <item x="76"/>
        <item x="446"/>
        <item x="589"/>
        <item x="592"/>
        <item x="191"/>
        <item x="430"/>
        <item x="121"/>
        <item x="277"/>
        <item x="630"/>
        <item x="496"/>
        <item x="472"/>
        <item x="37"/>
        <item x="18"/>
        <item x="23"/>
        <item x="336"/>
        <item x="568"/>
        <item x="481"/>
        <item x="253"/>
        <item x="621"/>
        <item x="153"/>
        <item x="225"/>
        <item x="436"/>
        <item x="43"/>
        <item x="182"/>
        <item x="588"/>
        <item x="396"/>
        <item x="470"/>
        <item x="398"/>
        <item x="565"/>
        <item x="205"/>
        <item x="502"/>
        <item x="71"/>
        <item x="334"/>
        <item x="594"/>
        <item x="108"/>
        <item x="69"/>
        <item x="471"/>
        <item x="570"/>
        <item x="354"/>
        <item x="356"/>
        <item x="569"/>
        <item x="290"/>
        <item x="117"/>
        <item x="19"/>
        <item x="415"/>
        <item x="145"/>
        <item x="603"/>
        <item x="33"/>
        <item x="627"/>
        <item x="88"/>
        <item x="493"/>
        <item x="443"/>
        <item x="349"/>
        <item x="480"/>
        <item x="28"/>
        <item x="115"/>
        <item x="458"/>
        <item x="597"/>
        <item x="82"/>
        <item x="220"/>
        <item x="287"/>
        <item x="523"/>
        <item x="403"/>
        <item x="204"/>
        <item x="629"/>
        <item x="330"/>
        <item x="442"/>
        <item x="362"/>
        <item x="231"/>
        <item x="171"/>
        <item x="563"/>
        <item x="93"/>
        <item x="557"/>
        <item x="207"/>
        <item x="34"/>
        <item x="514"/>
        <item x="158"/>
        <item x="498"/>
        <item x="304"/>
        <item x="120"/>
        <item x="295"/>
        <item x="505"/>
        <item x="368"/>
        <item x="344"/>
        <item x="129"/>
        <item x="521"/>
        <item x="555"/>
        <item x="322"/>
        <item x="378"/>
        <item x="24"/>
        <item x="544"/>
        <item x="452"/>
        <item x="156"/>
        <item x="391"/>
        <item x="595"/>
        <item x="379"/>
        <item x="367"/>
        <item x="607"/>
        <item x="95"/>
        <item x="178"/>
        <item x="541"/>
        <item x="538"/>
        <item x="13"/>
        <item x="491"/>
        <item x="451"/>
        <item x="342"/>
        <item x="102"/>
        <item x="254"/>
        <item x="320"/>
        <item x="20"/>
        <item x="414"/>
        <item x="616"/>
        <item x="431"/>
        <item x="130"/>
        <item x="223"/>
        <item x="56"/>
        <item x="324"/>
        <item x="293"/>
        <item x="305"/>
        <item x="581"/>
        <item x="613"/>
        <item x="529"/>
        <item x="255"/>
        <item x="100"/>
        <item x="47"/>
        <item t="default"/>
      </items>
    </pivotField>
    <pivotField compact="0" defaultSubtotal="0" showAll="0">
      <items count="5">
        <item x="0"/>
        <item x="4"/>
        <item x="1"/>
        <item x="2"/>
        <item x="3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GrossRevenue" fld="27" baseField="0" baseItem="0"/>
  </dataFields>
  <formats count="1">
    <format dxfId="449">
      <pivotArea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 chartFormat="4">
  <location ref="A3:C32" firstHeaderRow="1" firstDataRow="1" firstDataCol="2"/>
  <pivotFields count="34">
    <pivotField compact="0" showAll="0">
      <items count="632">
        <item x="605"/>
        <item x="449"/>
        <item x="7"/>
        <item x="518"/>
        <item x="573"/>
        <item x="46"/>
        <item x="367"/>
        <item x="201"/>
        <item x="551"/>
        <item x="324"/>
        <item x="438"/>
        <item x="166"/>
        <item x="80"/>
        <item x="361"/>
        <item x="328"/>
        <item x="300"/>
        <item x="453"/>
        <item x="577"/>
        <item x="193"/>
        <item x="122"/>
        <item x="332"/>
        <item x="439"/>
        <item x="457"/>
        <item x="148"/>
        <item x="224"/>
        <item x="190"/>
        <item x="347"/>
        <item x="278"/>
        <item x="350"/>
        <item x="535"/>
        <item x="54"/>
        <item x="65"/>
        <item x="163"/>
        <item x="470"/>
        <item x="580"/>
        <item x="625"/>
        <item x="106"/>
        <item x="269"/>
        <item x="256"/>
        <item x="89"/>
        <item x="339"/>
        <item x="24"/>
        <item x="220"/>
        <item x="281"/>
        <item x="250"/>
        <item x="376"/>
        <item x="540"/>
        <item x="172"/>
        <item x="225"/>
        <item x="78"/>
        <item x="49"/>
        <item x="603"/>
        <item x="226"/>
        <item x="168"/>
        <item x="45"/>
        <item x="144"/>
        <item x="183"/>
        <item x="574"/>
        <item x="81"/>
        <item x="512"/>
        <item x="562"/>
        <item x="315"/>
        <item x="391"/>
        <item x="288"/>
        <item x="272"/>
        <item x="2"/>
        <item x="92"/>
        <item x="292"/>
        <item x="434"/>
        <item x="585"/>
        <item x="199"/>
        <item x="74"/>
        <item x="363"/>
        <item x="204"/>
        <item x="185"/>
        <item x="497"/>
        <item x="52"/>
        <item x="99"/>
        <item x="118"/>
        <item x="132"/>
        <item x="215"/>
        <item x="495"/>
        <item x="171"/>
        <item x="613"/>
        <item x="543"/>
        <item x="629"/>
        <item x="520"/>
        <item x="547"/>
        <item x="255"/>
        <item x="351"/>
        <item x="64"/>
        <item x="546"/>
        <item x="151"/>
        <item x="223"/>
        <item x="615"/>
        <item x="239"/>
        <item x="260"/>
        <item x="129"/>
        <item x="532"/>
        <item x="326"/>
        <item x="459"/>
        <item x="371"/>
        <item x="66"/>
        <item x="626"/>
        <item x="604"/>
        <item x="624"/>
        <item x="31"/>
        <item x="515"/>
        <item x="477"/>
        <item x="344"/>
        <item x="499"/>
        <item x="197"/>
        <item x="121"/>
        <item x="445"/>
        <item x="455"/>
        <item x="202"/>
        <item x="474"/>
        <item x="301"/>
        <item x="382"/>
        <item x="152"/>
        <item x="485"/>
        <item x="296"/>
        <item x="124"/>
        <item x="229"/>
        <item x="478"/>
        <item x="284"/>
        <item x="137"/>
        <item x="216"/>
        <item x="387"/>
        <item x="591"/>
        <item x="316"/>
        <item x="537"/>
        <item x="419"/>
        <item x="261"/>
        <item x="266"/>
        <item x="259"/>
        <item x="528"/>
        <item x="39"/>
        <item x="213"/>
        <item x="431"/>
        <item x="337"/>
        <item x="176"/>
        <item x="609"/>
        <item x="291"/>
        <item x="408"/>
        <item x="384"/>
        <item x="596"/>
        <item x="526"/>
        <item x="198"/>
        <item x="460"/>
        <item x="221"/>
        <item x="576"/>
        <item x="279"/>
        <item x="75"/>
        <item x="5"/>
        <item x="589"/>
        <item x="466"/>
        <item x="412"/>
        <item x="349"/>
        <item x="501"/>
        <item x="243"/>
        <item x="68"/>
        <item x="436"/>
        <item x="619"/>
        <item x="340"/>
        <item x="444"/>
        <item x="450"/>
        <item x="476"/>
        <item x="437"/>
        <item x="69"/>
        <item x="539"/>
        <item x="369"/>
        <item x="4"/>
        <item x="338"/>
        <item x="145"/>
        <item x="187"/>
        <item x="318"/>
        <item x="388"/>
        <item x="85"/>
        <item x="154"/>
        <item x="441"/>
        <item x="160"/>
        <item x="404"/>
        <item x="370"/>
        <item x="581"/>
        <item x="35"/>
        <item x="507"/>
        <item x="483"/>
        <item x="135"/>
        <item x="21"/>
        <item x="570"/>
        <item x="95"/>
        <item x="115"/>
        <item x="456"/>
        <item x="125"/>
        <item x="308"/>
        <item x="165"/>
        <item x="623"/>
        <item x="258"/>
        <item x="321"/>
        <item x="311"/>
        <item x="28"/>
        <item x="346"/>
        <item x="140"/>
        <item x="142"/>
        <item x="509"/>
        <item x="205"/>
        <item x="627"/>
        <item x="192"/>
        <item x="393"/>
        <item x="469"/>
        <item x="411"/>
        <item x="15"/>
        <item x="331"/>
        <item x="233"/>
        <item x="228"/>
        <item x="555"/>
        <item x="542"/>
        <item x="628"/>
        <item x="237"/>
        <item x="267"/>
        <item x="538"/>
        <item x="114"/>
        <item x="414"/>
        <item x="178"/>
        <item x="396"/>
        <item x="479"/>
        <item x="336"/>
        <item x="164"/>
        <item x="155"/>
        <item x="549"/>
        <item x="325"/>
        <item x="105"/>
        <item x="134"/>
        <item x="309"/>
        <item x="109"/>
        <item x="34"/>
        <item x="401"/>
        <item x="30"/>
        <item x="79"/>
        <item x="214"/>
        <item x="153"/>
        <item x="458"/>
        <item x="548"/>
        <item x="16"/>
        <item x="322"/>
        <item x="523"/>
        <item x="297"/>
        <item x="564"/>
        <item x="480"/>
        <item x="10"/>
        <item x="147"/>
        <item x="191"/>
        <item x="25"/>
        <item x="162"/>
        <item x="251"/>
        <item x="111"/>
        <item x="353"/>
        <item x="139"/>
        <item x="181"/>
        <item x="586"/>
        <item x="489"/>
        <item x="63"/>
        <item x="560"/>
        <item x="392"/>
        <item x="454"/>
        <item x="51"/>
        <item x="607"/>
        <item x="0"/>
        <item x="287"/>
        <item x="234"/>
        <item x="107"/>
        <item x="70"/>
        <item x="57"/>
        <item x="41"/>
        <item x="252"/>
        <item x="390"/>
        <item x="504"/>
        <item x="247"/>
        <item x="167"/>
        <item x="561"/>
        <item x="610"/>
        <item x="334"/>
        <item x="341"/>
        <item x="6"/>
        <item x="612"/>
        <item x="362"/>
        <item x="67"/>
        <item x="253"/>
        <item x="536"/>
        <item x="572"/>
        <item x="461"/>
        <item x="161"/>
        <item x="1"/>
        <item x="524"/>
        <item x="283"/>
        <item x="486"/>
        <item x="410"/>
        <item x="429"/>
        <item x="484"/>
        <item x="143"/>
        <item x="44"/>
        <item x="405"/>
        <item x="383"/>
        <item x="517"/>
        <item x="310"/>
        <item x="545"/>
        <item x="231"/>
        <item x="313"/>
        <item x="494"/>
        <item x="568"/>
        <item x="149"/>
        <item x="594"/>
        <item x="194"/>
        <item x="440"/>
        <item x="76"/>
        <item x="77"/>
        <item x="413"/>
        <item x="50"/>
        <item x="521"/>
        <item x="423"/>
        <item x="117"/>
        <item x="103"/>
        <item x="578"/>
        <item x="274"/>
        <item x="23"/>
        <item x="265"/>
        <item x="323"/>
        <item x="188"/>
        <item x="464"/>
        <item x="443"/>
        <item x="356"/>
        <item x="424"/>
        <item x="492"/>
        <item x="386"/>
        <item x="529"/>
        <item x="554"/>
        <item x="409"/>
        <item x="245"/>
        <item x="47"/>
        <item x="600"/>
        <item x="157"/>
        <item x="558"/>
        <item x="448"/>
        <item x="500"/>
        <item x="232"/>
        <item x="335"/>
        <item x="587"/>
        <item x="493"/>
        <item x="277"/>
        <item x="433"/>
        <item x="126"/>
        <item x="598"/>
        <item x="123"/>
        <item x="8"/>
        <item x="582"/>
        <item x="86"/>
        <item x="38"/>
        <item x="88"/>
        <item x="128"/>
        <item x="170"/>
        <item x="400"/>
        <item x="541"/>
        <item x="33"/>
        <item x="40"/>
        <item x="97"/>
        <item x="184"/>
        <item x="475"/>
        <item x="342"/>
        <item x="472"/>
        <item x="430"/>
        <item x="415"/>
        <item x="249"/>
        <item x="195"/>
        <item x="402"/>
        <item x="209"/>
        <item x="557"/>
        <item x="207"/>
        <item x="583"/>
        <item x="373"/>
        <item x="36"/>
        <item x="359"/>
        <item x="527"/>
        <item x="320"/>
        <item x="217"/>
        <item x="496"/>
        <item x="506"/>
        <item x="611"/>
        <item x="442"/>
        <item x="271"/>
        <item x="418"/>
        <item x="618"/>
        <item x="189"/>
        <item x="156"/>
        <item x="567"/>
        <item x="104"/>
        <item x="508"/>
        <item x="218"/>
        <item x="138"/>
        <item x="465"/>
        <item x="26"/>
        <item x="295"/>
        <item x="490"/>
        <item x="108"/>
        <item x="20"/>
        <item x="73"/>
        <item x="235"/>
        <item x="427"/>
        <item x="621"/>
        <item x="365"/>
        <item x="319"/>
        <item x="522"/>
        <item x="273"/>
        <item x="136"/>
        <item x="432"/>
        <item x="608"/>
        <item x="101"/>
        <item x="451"/>
        <item x="244"/>
        <item x="27"/>
        <item x="254"/>
        <item x="286"/>
        <item x="242"/>
        <item x="374"/>
        <item x="559"/>
        <item x="303"/>
        <item x="268"/>
        <item x="447"/>
        <item x="13"/>
        <item x="358"/>
        <item x="519"/>
        <item x="343"/>
        <item x="238"/>
        <item x="345"/>
        <item x="141"/>
        <item x="60"/>
        <item x="599"/>
        <item x="110"/>
        <item x="352"/>
        <item x="112"/>
        <item x="354"/>
        <item x="312"/>
        <item x="616"/>
        <item x="72"/>
        <item x="169"/>
        <item x="592"/>
        <item x="275"/>
        <item x="177"/>
        <item x="510"/>
        <item x="357"/>
        <item x="511"/>
        <item x="48"/>
        <item x="196"/>
        <item x="174"/>
        <item x="435"/>
        <item x="398"/>
        <item x="487"/>
        <item x="565"/>
        <item x="211"/>
        <item x="426"/>
        <item x="93"/>
        <item x="42"/>
        <item x="200"/>
        <item x="82"/>
        <item x="364"/>
        <item x="236"/>
        <item x="513"/>
        <item x="304"/>
        <item x="206"/>
        <item x="534"/>
        <item x="617"/>
        <item x="579"/>
        <item x="3"/>
        <item x="569"/>
        <item x="571"/>
        <item x="120"/>
        <item x="257"/>
        <item x="375"/>
        <item x="601"/>
        <item x="299"/>
        <item x="379"/>
        <item x="417"/>
        <item x="314"/>
        <item x="17"/>
        <item x="146"/>
        <item x="150"/>
        <item x="584"/>
        <item x="248"/>
        <item x="482"/>
        <item x="488"/>
        <item x="606"/>
        <item x="96"/>
        <item x="372"/>
        <item x="420"/>
        <item x="302"/>
        <item x="588"/>
        <item x="575"/>
        <item x="227"/>
        <item x="462"/>
        <item x="368"/>
        <item x="533"/>
        <item x="333"/>
        <item x="100"/>
        <item x="84"/>
        <item x="502"/>
        <item x="553"/>
        <item x="552"/>
        <item x="133"/>
        <item x="306"/>
        <item x="294"/>
        <item x="416"/>
        <item x="307"/>
        <item x="481"/>
        <item x="452"/>
        <item x="159"/>
        <item x="550"/>
        <item x="263"/>
        <item x="525"/>
        <item x="446"/>
        <item x="505"/>
        <item x="32"/>
        <item x="348"/>
        <item x="270"/>
        <item x="389"/>
        <item x="394"/>
        <item x="293"/>
        <item x="12"/>
        <item x="83"/>
        <item x="463"/>
        <item x="131"/>
        <item x="240"/>
        <item x="407"/>
        <item x="11"/>
        <item x="62"/>
        <item x="91"/>
        <item x="614"/>
        <item x="127"/>
        <item x="285"/>
        <item x="98"/>
        <item x="186"/>
        <item x="29"/>
        <item x="212"/>
        <item x="53"/>
        <item x="22"/>
        <item x="210"/>
        <item x="397"/>
        <item x="360"/>
        <item x="399"/>
        <item x="366"/>
        <item x="90"/>
        <item x="208"/>
        <item x="514"/>
        <item x="377"/>
        <item x="58"/>
        <item x="71"/>
        <item x="241"/>
        <item x="113"/>
        <item x="622"/>
        <item x="130"/>
        <item x="421"/>
        <item x="179"/>
        <item x="329"/>
        <item x="563"/>
        <item x="102"/>
        <item x="180"/>
        <item x="428"/>
        <item x="395"/>
        <item x="276"/>
        <item x="222"/>
        <item x="503"/>
        <item x="473"/>
        <item x="597"/>
        <item x="280"/>
        <item x="116"/>
        <item x="173"/>
        <item x="491"/>
        <item x="595"/>
        <item x="37"/>
        <item x="94"/>
        <item x="630"/>
        <item x="330"/>
        <item x="19"/>
        <item x="602"/>
        <item x="290"/>
        <item x="230"/>
        <item x="219"/>
        <item x="59"/>
        <item x="55"/>
        <item x="158"/>
        <item x="531"/>
        <item x="327"/>
        <item x="61"/>
        <item x="471"/>
        <item x="381"/>
        <item x="467"/>
        <item x="425"/>
        <item x="43"/>
        <item x="380"/>
        <item x="498"/>
        <item x="516"/>
        <item x="422"/>
        <item x="14"/>
        <item x="18"/>
        <item x="175"/>
        <item x="593"/>
        <item x="317"/>
        <item x="87"/>
        <item x="385"/>
        <item x="556"/>
        <item x="406"/>
        <item x="264"/>
        <item x="182"/>
        <item x="620"/>
        <item x="262"/>
        <item x="403"/>
        <item x="378"/>
        <item x="289"/>
        <item x="530"/>
        <item x="566"/>
        <item x="56"/>
        <item x="298"/>
        <item x="305"/>
        <item x="246"/>
        <item x="468"/>
        <item x="355"/>
        <item x="119"/>
        <item x="544"/>
        <item x="203"/>
        <item x="282"/>
        <item x="590"/>
        <item x="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3">
        <item x="4"/>
        <item x="2"/>
        <item x="0"/>
        <item x="7"/>
        <item x="5"/>
        <item x="9"/>
        <item x="8"/>
        <item x="11"/>
        <item x="6"/>
        <item x="1"/>
        <item x="10"/>
        <item x="3"/>
        <item t="default"/>
      </items>
    </pivotField>
    <pivotField compact="0" showAll="0">
      <items count="469">
        <item x="5"/>
        <item x="455"/>
        <item x="271"/>
        <item x="415"/>
        <item x="181"/>
        <item x="7"/>
        <item x="371"/>
        <item x="184"/>
        <item x="119"/>
        <item x="424"/>
        <item x="122"/>
        <item x="171"/>
        <item x="180"/>
        <item x="312"/>
        <item x="23"/>
        <item x="77"/>
        <item x="426"/>
        <item x="62"/>
        <item x="152"/>
        <item x="147"/>
        <item x="361"/>
        <item x="29"/>
        <item x="159"/>
        <item x="452"/>
        <item x="2"/>
        <item x="107"/>
        <item x="432"/>
        <item x="226"/>
        <item x="336"/>
        <item x="206"/>
        <item x="315"/>
        <item x="211"/>
        <item x="342"/>
        <item x="64"/>
        <item x="278"/>
        <item x="150"/>
        <item x="33"/>
        <item x="50"/>
        <item x="451"/>
        <item x="163"/>
        <item x="89"/>
        <item x="458"/>
        <item x="125"/>
        <item x="290"/>
        <item x="27"/>
        <item x="387"/>
        <item x="153"/>
        <item x="43"/>
        <item x="67"/>
        <item x="460"/>
        <item x="15"/>
        <item x="441"/>
        <item x="410"/>
        <item x="129"/>
        <item x="449"/>
        <item x="177"/>
        <item x="275"/>
        <item x="239"/>
        <item x="406"/>
        <item x="20"/>
        <item x="382"/>
        <item x="362"/>
        <item x="72"/>
        <item x="207"/>
        <item x="373"/>
        <item x="234"/>
        <item x="328"/>
        <item x="408"/>
        <item x="446"/>
        <item x="308"/>
        <item x="109"/>
        <item x="280"/>
        <item x="367"/>
        <item x="75"/>
        <item x="251"/>
        <item x="37"/>
        <item x="264"/>
        <item x="169"/>
        <item x="44"/>
        <item x="87"/>
        <item x="85"/>
        <item x="306"/>
        <item x="186"/>
        <item x="140"/>
        <item x="133"/>
        <item x="422"/>
        <item x="425"/>
        <item x="376"/>
        <item x="47"/>
        <item x="289"/>
        <item x="386"/>
        <item x="256"/>
        <item x="172"/>
        <item x="370"/>
        <item x="245"/>
        <item x="288"/>
        <item x="131"/>
        <item x="203"/>
        <item x="443"/>
        <item x="242"/>
        <item x="235"/>
        <item x="174"/>
        <item x="389"/>
        <item x="115"/>
        <item x="183"/>
        <item x="419"/>
        <item x="66"/>
        <item x="114"/>
        <item x="260"/>
        <item x="417"/>
        <item x="343"/>
        <item x="200"/>
        <item x="161"/>
        <item x="345"/>
        <item x="52"/>
        <item x="429"/>
        <item x="137"/>
        <item x="459"/>
        <item x="73"/>
        <item x="216"/>
        <item x="364"/>
        <item x="158"/>
        <item x="199"/>
        <item x="323"/>
        <item x="204"/>
        <item x="231"/>
        <item x="155"/>
        <item x="327"/>
        <item x="233"/>
        <item x="348"/>
        <item x="176"/>
        <item x="358"/>
        <item x="259"/>
        <item x="282"/>
        <item x="391"/>
        <item x="324"/>
        <item x="250"/>
        <item x="143"/>
        <item x="193"/>
        <item x="276"/>
        <item x="285"/>
        <item x="112"/>
        <item x="106"/>
        <item x="214"/>
        <item x="134"/>
        <item x="294"/>
        <item x="297"/>
        <item x="63"/>
        <item x="374"/>
        <item x="4"/>
        <item x="141"/>
        <item x="340"/>
        <item x="380"/>
        <item x="202"/>
        <item x="195"/>
        <item x="295"/>
        <item x="81"/>
        <item x="240"/>
        <item x="311"/>
        <item x="423"/>
        <item x="113"/>
        <item x="360"/>
        <item x="300"/>
        <item x="279"/>
        <item x="435"/>
        <item x="241"/>
        <item x="39"/>
        <item x="182"/>
        <item x="94"/>
        <item x="347"/>
        <item x="303"/>
        <item x="13"/>
        <item x="84"/>
        <item x="436"/>
        <item x="247"/>
        <item x="10"/>
        <item x="145"/>
        <item x="162"/>
        <item x="383"/>
        <item x="437"/>
        <item x="179"/>
        <item x="128"/>
        <item x="221"/>
        <item x="292"/>
        <item x="142"/>
        <item x="351"/>
        <item x="439"/>
        <item x="354"/>
        <item x="352"/>
        <item x="194"/>
        <item x="397"/>
        <item x="263"/>
        <item x="314"/>
        <item x="428"/>
        <item x="220"/>
        <item x="34"/>
        <item x="307"/>
        <item x="58"/>
        <item x="0"/>
        <item x="450"/>
        <item x="227"/>
        <item x="246"/>
        <item x="68"/>
        <item x="363"/>
        <item x="265"/>
        <item x="248"/>
        <item x="215"/>
        <item x="244"/>
        <item x="149"/>
        <item x="136"/>
        <item x="403"/>
        <item x="82"/>
        <item x="286"/>
        <item x="70"/>
        <item x="413"/>
        <item x="31"/>
        <item x="36"/>
        <item x="395"/>
        <item x="412"/>
        <item x="400"/>
        <item x="230"/>
        <item x="372"/>
        <item x="8"/>
        <item x="375"/>
        <item x="322"/>
        <item x="385"/>
        <item x="393"/>
        <item x="45"/>
        <item x="313"/>
        <item x="22"/>
        <item x="173"/>
        <item x="42"/>
        <item x="98"/>
        <item x="65"/>
        <item x="154"/>
        <item x="398"/>
        <item x="91"/>
        <item x="118"/>
        <item x="101"/>
        <item x="368"/>
        <item x="151"/>
        <item x="416"/>
        <item x="344"/>
        <item x="116"/>
        <item x="274"/>
        <item x="102"/>
        <item x="103"/>
        <item x="369"/>
        <item x="132"/>
        <item x="249"/>
        <item x="269"/>
        <item x="304"/>
        <item x="463"/>
        <item x="104"/>
        <item x="24"/>
        <item x="411"/>
        <item x="287"/>
        <item x="293"/>
        <item x="157"/>
        <item x="320"/>
        <item x="26"/>
        <item x="334"/>
        <item x="19"/>
        <item x="465"/>
        <item x="228"/>
        <item x="453"/>
        <item x="447"/>
        <item x="399"/>
        <item x="144"/>
        <item x="298"/>
        <item x="326"/>
        <item x="175"/>
        <item x="99"/>
        <item x="421"/>
        <item x="456"/>
        <item x="353"/>
        <item x="396"/>
        <item x="365"/>
        <item x="32"/>
        <item x="38"/>
        <item x="74"/>
        <item x="341"/>
        <item x="434"/>
        <item x="225"/>
        <item x="209"/>
        <item x="210"/>
        <item x="331"/>
        <item x="255"/>
        <item x="191"/>
        <item x="187"/>
        <item x="212"/>
        <item x="97"/>
        <item x="197"/>
        <item x="178"/>
        <item x="138"/>
        <item x="366"/>
        <item x="189"/>
        <item x="166"/>
        <item x="88"/>
        <item x="238"/>
        <item x="156"/>
        <item x="407"/>
        <item x="196"/>
        <item x="464"/>
        <item x="46"/>
        <item x="100"/>
        <item x="49"/>
        <item x="462"/>
        <item x="168"/>
        <item x="1"/>
        <item x="404"/>
        <item x="40"/>
        <item x="229"/>
        <item x="291"/>
        <item x="148"/>
        <item x="356"/>
        <item x="61"/>
        <item x="273"/>
        <item x="333"/>
        <item x="48"/>
        <item x="299"/>
        <item x="223"/>
        <item x="444"/>
        <item x="405"/>
        <item x="392"/>
        <item x="127"/>
        <item x="76"/>
        <item x="379"/>
        <item x="302"/>
        <item x="461"/>
        <item x="25"/>
        <item x="219"/>
        <item x="96"/>
        <item x="430"/>
        <item x="390"/>
        <item x="16"/>
        <item x="330"/>
        <item x="126"/>
        <item x="71"/>
        <item x="55"/>
        <item x="337"/>
        <item x="124"/>
        <item x="130"/>
        <item x="359"/>
        <item x="6"/>
        <item x="357"/>
        <item x="272"/>
        <item x="11"/>
        <item x="409"/>
        <item x="316"/>
        <item x="123"/>
        <item x="420"/>
        <item x="283"/>
        <item x="170"/>
        <item x="105"/>
        <item x="335"/>
        <item x="51"/>
        <item x="266"/>
        <item x="93"/>
        <item x="192"/>
        <item x="318"/>
        <item x="167"/>
        <item x="185"/>
        <item x="317"/>
        <item x="414"/>
        <item x="54"/>
        <item x="120"/>
        <item x="146"/>
        <item x="433"/>
        <item x="454"/>
        <item x="243"/>
        <item x="338"/>
        <item x="349"/>
        <item x="467"/>
        <item x="121"/>
        <item x="12"/>
        <item x="339"/>
        <item x="402"/>
        <item x="418"/>
        <item x="252"/>
        <item x="310"/>
        <item x="309"/>
        <item x="381"/>
        <item x="401"/>
        <item x="80"/>
        <item x="3"/>
        <item x="258"/>
        <item x="95"/>
        <item x="277"/>
        <item x="254"/>
        <item x="53"/>
        <item x="28"/>
        <item x="69"/>
        <item x="377"/>
        <item x="261"/>
        <item x="332"/>
        <item x="440"/>
        <item x="160"/>
        <item x="139"/>
        <item x="448"/>
        <item x="222"/>
        <item x="79"/>
        <item x="208"/>
        <item x="60"/>
        <item x="86"/>
        <item x="57"/>
        <item x="355"/>
        <item x="267"/>
        <item x="321"/>
        <item x="78"/>
        <item x="394"/>
        <item x="217"/>
        <item x="253"/>
        <item x="270"/>
        <item x="281"/>
        <item x="9"/>
        <item x="329"/>
        <item x="41"/>
        <item x="262"/>
        <item x="108"/>
        <item x="346"/>
        <item x="56"/>
        <item x="21"/>
        <item x="325"/>
        <item x="296"/>
        <item x="111"/>
        <item x="236"/>
        <item x="268"/>
        <item x="35"/>
        <item x="305"/>
        <item x="438"/>
        <item x="232"/>
        <item x="350"/>
        <item x="110"/>
        <item x="445"/>
        <item x="190"/>
        <item x="201"/>
        <item x="213"/>
        <item x="466"/>
        <item x="18"/>
        <item x="188"/>
        <item x="92"/>
        <item x="319"/>
        <item x="30"/>
        <item x="378"/>
        <item x="90"/>
        <item x="218"/>
        <item x="442"/>
        <item x="117"/>
        <item x="431"/>
        <item x="83"/>
        <item x="205"/>
        <item x="457"/>
        <item x="384"/>
        <item x="301"/>
        <item x="427"/>
        <item x="164"/>
        <item x="198"/>
        <item x="257"/>
        <item x="388"/>
        <item x="14"/>
        <item x="237"/>
        <item x="17"/>
        <item x="59"/>
        <item x="135"/>
        <item x="224"/>
        <item x="284"/>
        <item x="165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numFmtId="181" showAll="0">
      <items count="470">
        <item x="5"/>
        <item x="7"/>
        <item x="185"/>
        <item x="199"/>
        <item x="411"/>
        <item x="270"/>
        <item x="125"/>
        <item x="128"/>
        <item x="187"/>
        <item x="441"/>
        <item x="78"/>
        <item x="24"/>
        <item x="419"/>
        <item x="183"/>
        <item x="62"/>
        <item x="279"/>
        <item x="174"/>
        <item x="152"/>
        <item x="111"/>
        <item x="422"/>
        <item x="297"/>
        <item x="162"/>
        <item x="157"/>
        <item x="384"/>
        <item x="96"/>
        <item x="223"/>
        <item x="2"/>
        <item x="155"/>
        <item x="214"/>
        <item x="211"/>
        <item x="314"/>
        <item x="50"/>
        <item x="339"/>
        <item x="310"/>
        <item x="64"/>
        <item x="290"/>
        <item x="132"/>
        <item x="277"/>
        <item x="166"/>
        <item x="130"/>
        <item x="357"/>
        <item x="400"/>
        <item x="15"/>
        <item x="453"/>
        <item x="450"/>
        <item x="437"/>
        <item x="92"/>
        <item x="189"/>
        <item x="43"/>
        <item x="430"/>
        <item x="235"/>
        <item x="206"/>
        <item x="67"/>
        <item x="184"/>
        <item x="28"/>
        <item x="295"/>
        <item x="72"/>
        <item x="370"/>
        <item x="426"/>
        <item x="379"/>
        <item x="383"/>
        <item x="180"/>
        <item x="408"/>
        <item x="21"/>
        <item x="281"/>
        <item x="435"/>
        <item x="359"/>
        <item x="103"/>
        <item x="403"/>
        <item x="212"/>
        <item x="374"/>
        <item x="76"/>
        <item x="282"/>
        <item x="114"/>
        <item x="326"/>
        <item x="367"/>
        <item x="271"/>
        <item x="90"/>
        <item x="37"/>
        <item x="305"/>
        <item x="440"/>
        <item x="87"/>
        <item x="44"/>
        <item x="393"/>
        <item x="260"/>
        <item x="420"/>
        <item x="416"/>
        <item x="438"/>
        <item x="418"/>
        <item x="138"/>
        <item x="467"/>
        <item x="373"/>
        <item x="172"/>
        <item x="264"/>
        <item x="145"/>
        <item x="175"/>
        <item x="47"/>
        <item x="464"/>
        <item x="208"/>
        <item x="254"/>
        <item x="241"/>
        <item x="238"/>
        <item x="386"/>
        <item x="289"/>
        <item x="177"/>
        <item x="170"/>
        <item x="230"/>
        <item x="136"/>
        <item x="466"/>
        <item x="52"/>
        <item x="286"/>
        <item x="120"/>
        <item x="121"/>
        <item x="66"/>
        <item x="204"/>
        <item x="165"/>
        <item x="79"/>
        <item x="340"/>
        <item x="460"/>
        <item x="142"/>
        <item x="380"/>
        <item x="413"/>
        <item x="258"/>
        <item x="360"/>
        <item x="203"/>
        <item x="322"/>
        <item x="227"/>
        <item x="73"/>
        <item x="308"/>
        <item x="161"/>
        <item x="456"/>
        <item x="229"/>
        <item x="355"/>
        <item x="353"/>
        <item x="159"/>
        <item x="325"/>
        <item x="395"/>
        <item x="209"/>
        <item x="406"/>
        <item x="263"/>
        <item x="147"/>
        <item x="323"/>
        <item x="257"/>
        <item x="179"/>
        <item x="247"/>
        <item x="284"/>
        <item x="388"/>
        <item x="196"/>
        <item x="139"/>
        <item x="275"/>
        <item x="110"/>
        <item x="287"/>
        <item x="217"/>
        <item x="371"/>
        <item x="369"/>
        <item x="117"/>
        <item x="298"/>
        <item x="293"/>
        <item x="336"/>
        <item x="207"/>
        <item x="83"/>
        <item x="63"/>
        <item x="4"/>
        <item x="236"/>
        <item x="436"/>
        <item x="309"/>
        <item x="296"/>
        <item x="358"/>
        <item x="429"/>
        <item x="362"/>
        <item x="198"/>
        <item x="385"/>
        <item x="465"/>
        <item x="118"/>
        <item x="98"/>
        <item x="237"/>
        <item x="86"/>
        <item x="243"/>
        <item x="186"/>
        <item x="253"/>
        <item x="454"/>
        <item x="39"/>
        <item x="303"/>
        <item x="431"/>
        <item x="250"/>
        <item x="414"/>
        <item x="10"/>
        <item x="344"/>
        <item x="13"/>
        <item x="134"/>
        <item x="176"/>
        <item x="433"/>
        <item x="149"/>
        <item x="381"/>
        <item x="391"/>
        <item x="182"/>
        <item x="146"/>
        <item x="348"/>
        <item x="351"/>
        <item x="280"/>
        <item x="259"/>
        <item x="312"/>
        <item x="68"/>
        <item x="447"/>
        <item x="402"/>
        <item x="34"/>
        <item x="221"/>
        <item x="427"/>
        <item x="197"/>
        <item x="375"/>
        <item x="261"/>
        <item x="0"/>
        <item x="154"/>
        <item x="58"/>
        <item x="244"/>
        <item x="242"/>
        <item x="240"/>
        <item x="288"/>
        <item x="301"/>
        <item x="141"/>
        <item x="84"/>
        <item x="410"/>
        <item x="36"/>
        <item x="70"/>
        <item x="32"/>
        <item x="409"/>
        <item x="321"/>
        <item x="365"/>
        <item x="372"/>
        <item x="226"/>
        <item x="338"/>
        <item x="428"/>
        <item x="23"/>
        <item x="390"/>
        <item x="94"/>
        <item x="102"/>
        <item x="45"/>
        <item x="8"/>
        <item x="42"/>
        <item x="163"/>
        <item x="65"/>
        <item x="105"/>
        <item x="421"/>
        <item x="107"/>
        <item x="124"/>
        <item x="158"/>
        <item x="307"/>
        <item x="156"/>
        <item x="392"/>
        <item x="278"/>
        <item x="266"/>
        <item x="443"/>
        <item x="412"/>
        <item x="273"/>
        <item x="304"/>
        <item x="122"/>
        <item x="75"/>
        <item x="455"/>
        <item x="246"/>
        <item x="137"/>
        <item x="106"/>
        <item x="364"/>
        <item x="292"/>
        <item x="25"/>
        <item x="160"/>
        <item x="27"/>
        <item x="446"/>
        <item x="20"/>
        <item x="108"/>
        <item x="224"/>
        <item x="294"/>
        <item x="423"/>
        <item x="319"/>
        <item x="332"/>
        <item x="442"/>
        <item x="331"/>
        <item x="148"/>
        <item x="299"/>
        <item x="33"/>
        <item x="462"/>
        <item x="417"/>
        <item x="448"/>
        <item x="178"/>
        <item x="104"/>
        <item x="337"/>
        <item x="252"/>
        <item x="213"/>
        <item x="350"/>
        <item x="394"/>
        <item x="150"/>
        <item x="38"/>
        <item x="74"/>
        <item x="425"/>
        <item x="181"/>
        <item x="215"/>
        <item x="361"/>
        <item x="330"/>
        <item x="101"/>
        <item x="191"/>
        <item x="234"/>
        <item x="168"/>
        <item x="201"/>
        <item x="143"/>
        <item x="1"/>
        <item x="193"/>
        <item x="459"/>
        <item x="399"/>
        <item x="171"/>
        <item x="91"/>
        <item x="291"/>
        <item x="272"/>
        <item x="49"/>
        <item x="432"/>
        <item x="46"/>
        <item x="200"/>
        <item x="352"/>
        <item x="40"/>
        <item x="61"/>
        <item x="225"/>
        <item x="401"/>
        <item x="48"/>
        <item x="153"/>
        <item x="300"/>
        <item x="389"/>
        <item x="119"/>
        <item x="302"/>
        <item x="387"/>
        <item x="341"/>
        <item x="220"/>
        <item x="133"/>
        <item x="55"/>
        <item x="354"/>
        <item x="71"/>
        <item x="77"/>
        <item x="452"/>
        <item x="129"/>
        <item x="100"/>
        <item x="368"/>
        <item x="26"/>
        <item x="113"/>
        <item x="404"/>
        <item x="16"/>
        <item x="135"/>
        <item x="131"/>
        <item x="356"/>
        <item x="6"/>
        <item x="30"/>
        <item x="457"/>
        <item x="315"/>
        <item x="262"/>
        <item x="11"/>
        <item x="109"/>
        <item x="333"/>
        <item x="269"/>
        <item x="195"/>
        <item x="173"/>
        <item x="190"/>
        <item x="97"/>
        <item x="51"/>
        <item x="316"/>
        <item x="188"/>
        <item x="444"/>
        <item x="126"/>
        <item x="54"/>
        <item x="169"/>
        <item x="239"/>
        <item x="468"/>
        <item x="335"/>
        <item x="345"/>
        <item x="334"/>
        <item x="127"/>
        <item x="397"/>
        <item x="268"/>
        <item x="398"/>
        <item x="248"/>
        <item x="12"/>
        <item x="3"/>
        <item x="99"/>
        <item x="256"/>
        <item x="343"/>
        <item x="306"/>
        <item x="311"/>
        <item x="29"/>
        <item x="267"/>
        <item x="251"/>
        <item x="434"/>
        <item x="82"/>
        <item x="376"/>
        <item x="81"/>
        <item x="232"/>
        <item x="276"/>
        <item x="363"/>
        <item x="53"/>
        <item x="222"/>
        <item x="461"/>
        <item x="164"/>
        <item x="69"/>
        <item x="415"/>
        <item x="57"/>
        <item x="88"/>
        <item x="144"/>
        <item x="283"/>
        <item x="449"/>
        <item x="19"/>
        <item x="80"/>
        <item x="60"/>
        <item x="320"/>
        <item x="218"/>
        <item x="249"/>
        <item x="407"/>
        <item x="378"/>
        <item x="274"/>
        <item x="327"/>
        <item x="9"/>
        <item x="112"/>
        <item x="342"/>
        <item x="56"/>
        <item x="41"/>
        <item x="451"/>
        <item x="366"/>
        <item x="89"/>
        <item x="231"/>
        <item x="22"/>
        <item x="324"/>
        <item x="228"/>
        <item x="346"/>
        <item x="265"/>
        <item x="35"/>
        <item x="313"/>
        <item x="116"/>
        <item x="245"/>
        <item x="458"/>
        <item x="205"/>
        <item x="115"/>
        <item x="216"/>
        <item x="463"/>
        <item x="439"/>
        <item x="194"/>
        <item x="18"/>
        <item x="31"/>
        <item x="192"/>
        <item x="219"/>
        <item x="123"/>
        <item x="377"/>
        <item x="93"/>
        <item x="318"/>
        <item x="95"/>
        <item x="85"/>
        <item x="151"/>
        <item x="424"/>
        <item x="255"/>
        <item x="405"/>
        <item x="210"/>
        <item x="382"/>
        <item x="349"/>
        <item x="317"/>
        <item x="233"/>
        <item x="59"/>
        <item x="328"/>
        <item x="17"/>
        <item x="167"/>
        <item x="445"/>
        <item x="329"/>
        <item x="202"/>
        <item x="347"/>
        <item x="285"/>
        <item x="140"/>
        <item x="14"/>
        <item x="396"/>
        <item t="default"/>
      </items>
    </pivotField>
    <pivotField compact="0" numFmtId="181" showAll="0">
      <items count="473">
        <item x="5"/>
        <item x="185"/>
        <item x="7"/>
        <item x="412"/>
        <item x="199"/>
        <item x="123"/>
        <item x="126"/>
        <item x="187"/>
        <item x="443"/>
        <item x="78"/>
        <item x="24"/>
        <item x="420"/>
        <item x="183"/>
        <item x="62"/>
        <item x="174"/>
        <item x="152"/>
        <item x="109"/>
        <item x="424"/>
        <item x="276"/>
        <item x="294"/>
        <item x="162"/>
        <item x="157"/>
        <item x="381"/>
        <item x="95"/>
        <item x="222"/>
        <item x="2"/>
        <item x="155"/>
        <item x="214"/>
        <item x="211"/>
        <item x="311"/>
        <item x="50"/>
        <item x="335"/>
        <item x="307"/>
        <item x="64"/>
        <item x="130"/>
        <item x="273"/>
        <item x="166"/>
        <item x="128"/>
        <item x="382"/>
        <item x="287"/>
        <item x="34"/>
        <item x="457"/>
        <item x="454"/>
        <item x="440"/>
        <item x="91"/>
        <item x="189"/>
        <item x="15"/>
        <item x="433"/>
        <item x="206"/>
        <item x="67"/>
        <item x="184"/>
        <item x="28"/>
        <item x="292"/>
        <item x="133"/>
        <item x="366"/>
        <item x="428"/>
        <item x="376"/>
        <item x="380"/>
        <item x="180"/>
        <item x="72"/>
        <item x="21"/>
        <item x="278"/>
        <item x="438"/>
        <item x="354"/>
        <item x="102"/>
        <item x="403"/>
        <item x="212"/>
        <item x="370"/>
        <item x="76"/>
        <item x="279"/>
        <item x="112"/>
        <item x="322"/>
        <item x="363"/>
        <item x="246"/>
        <item x="38"/>
        <item x="302"/>
        <item x="89"/>
        <item x="86"/>
        <item x="44"/>
        <item x="392"/>
        <item x="258"/>
        <item x="421"/>
        <item x="417"/>
        <item x="441"/>
        <item x="419"/>
        <item x="137"/>
        <item x="470"/>
        <item x="369"/>
        <item x="172"/>
        <item x="262"/>
        <item x="144"/>
        <item x="360"/>
        <item x="175"/>
        <item x="47"/>
        <item x="208"/>
        <item x="252"/>
        <item x="239"/>
        <item x="236"/>
        <item x="385"/>
        <item x="286"/>
        <item x="177"/>
        <item x="170"/>
        <item x="229"/>
        <item x="135"/>
        <item x="469"/>
        <item x="52"/>
        <item x="283"/>
        <item x="118"/>
        <item x="119"/>
        <item x="66"/>
        <item x="204"/>
        <item x="165"/>
        <item x="79"/>
        <item x="336"/>
        <item x="464"/>
        <item x="141"/>
        <item x="377"/>
        <item x="414"/>
        <item x="256"/>
        <item x="355"/>
        <item x="203"/>
        <item x="318"/>
        <item x="226"/>
        <item x="73"/>
        <item x="305"/>
        <item x="161"/>
        <item x="460"/>
        <item x="228"/>
        <item x="351"/>
        <item x="349"/>
        <item x="159"/>
        <item x="321"/>
        <item x="394"/>
        <item x="209"/>
        <item x="406"/>
        <item x="261"/>
        <item x="147"/>
        <item x="319"/>
        <item x="255"/>
        <item x="179"/>
        <item x="245"/>
        <item x="281"/>
        <item x="387"/>
        <item x="196"/>
        <item x="271"/>
        <item x="108"/>
        <item x="284"/>
        <item x="138"/>
        <item x="367"/>
        <item x="365"/>
        <item x="115"/>
        <item x="145"/>
        <item x="295"/>
        <item x="290"/>
        <item x="332"/>
        <item x="207"/>
        <item x="82"/>
        <item x="63"/>
        <item x="4"/>
        <item x="234"/>
        <item x="439"/>
        <item x="306"/>
        <item x="293"/>
        <item x="353"/>
        <item x="275"/>
        <item x="432"/>
        <item x="357"/>
        <item x="198"/>
        <item x="383"/>
        <item x="468"/>
        <item x="116"/>
        <item x="97"/>
        <item x="235"/>
        <item x="85"/>
        <item x="241"/>
        <item x="186"/>
        <item x="251"/>
        <item x="458"/>
        <item x="40"/>
        <item x="300"/>
        <item x="434"/>
        <item x="248"/>
        <item x="415"/>
        <item x="10"/>
        <item x="340"/>
        <item x="13"/>
        <item x="132"/>
        <item x="176"/>
        <item x="436"/>
        <item x="149"/>
        <item x="378"/>
        <item x="182"/>
        <item x="146"/>
        <item x="344"/>
        <item x="390"/>
        <item x="347"/>
        <item x="277"/>
        <item x="257"/>
        <item x="309"/>
        <item x="68"/>
        <item x="451"/>
        <item x="402"/>
        <item x="35"/>
        <item x="220"/>
        <item x="430"/>
        <item x="197"/>
        <item x="371"/>
        <item x="259"/>
        <item x="0"/>
        <item x="154"/>
        <item x="58"/>
        <item x="242"/>
        <item x="240"/>
        <item x="238"/>
        <item x="285"/>
        <item x="298"/>
        <item x="140"/>
        <item x="83"/>
        <item x="411"/>
        <item x="396"/>
        <item x="37"/>
        <item x="70"/>
        <item x="32"/>
        <item x="410"/>
        <item x="317"/>
        <item x="361"/>
        <item x="368"/>
        <item x="225"/>
        <item x="334"/>
        <item x="431"/>
        <item x="23"/>
        <item x="389"/>
        <item x="408"/>
        <item x="101"/>
        <item x="45"/>
        <item x="8"/>
        <item x="43"/>
        <item x="163"/>
        <item x="93"/>
        <item x="65"/>
        <item x="104"/>
        <item x="422"/>
        <item x="105"/>
        <item x="122"/>
        <item x="158"/>
        <item x="304"/>
        <item x="156"/>
        <item x="391"/>
        <item x="274"/>
        <item x="264"/>
        <item x="445"/>
        <item x="413"/>
        <item x="269"/>
        <item x="301"/>
        <item x="120"/>
        <item x="374"/>
        <item x="459"/>
        <item x="244"/>
        <item x="136"/>
        <item x="75"/>
        <item x="359"/>
        <item x="409"/>
        <item x="25"/>
        <item x="160"/>
        <item x="27"/>
        <item x="289"/>
        <item x="448"/>
        <item x="106"/>
        <item x="223"/>
        <item x="20"/>
        <item x="291"/>
        <item x="425"/>
        <item x="316"/>
        <item x="328"/>
        <item x="444"/>
        <item x="327"/>
        <item x="148"/>
        <item x="296"/>
        <item x="466"/>
        <item x="450"/>
        <item x="418"/>
        <item x="33"/>
        <item x="452"/>
        <item x="178"/>
        <item x="103"/>
        <item x="333"/>
        <item x="250"/>
        <item x="213"/>
        <item x="346"/>
        <item x="393"/>
        <item x="150"/>
        <item x="39"/>
        <item x="74"/>
        <item x="427"/>
        <item x="181"/>
        <item x="215"/>
        <item x="356"/>
        <item x="326"/>
        <item x="100"/>
        <item x="191"/>
        <item x="233"/>
        <item x="168"/>
        <item x="201"/>
        <item x="142"/>
        <item x="193"/>
        <item x="463"/>
        <item x="400"/>
        <item x="171"/>
        <item x="1"/>
        <item x="90"/>
        <item x="288"/>
        <item x="268"/>
        <item x="49"/>
        <item x="435"/>
        <item x="46"/>
        <item x="200"/>
        <item x="348"/>
        <item x="41"/>
        <item x="61"/>
        <item x="224"/>
        <item x="401"/>
        <item x="48"/>
        <item x="153"/>
        <item x="297"/>
        <item x="388"/>
        <item x="117"/>
        <item x="299"/>
        <item x="386"/>
        <item x="337"/>
        <item x="219"/>
        <item x="131"/>
        <item x="55"/>
        <item x="350"/>
        <item x="71"/>
        <item x="77"/>
        <item x="456"/>
        <item x="127"/>
        <item x="99"/>
        <item x="364"/>
        <item x="26"/>
        <item x="111"/>
        <item x="404"/>
        <item x="16"/>
        <item x="134"/>
        <item x="129"/>
        <item x="352"/>
        <item x="6"/>
        <item x="30"/>
        <item x="461"/>
        <item x="312"/>
        <item x="260"/>
        <item x="11"/>
        <item x="107"/>
        <item x="329"/>
        <item x="267"/>
        <item x="195"/>
        <item x="173"/>
        <item x="190"/>
        <item x="96"/>
        <item x="51"/>
        <item x="313"/>
        <item x="449"/>
        <item x="188"/>
        <item x="446"/>
        <item x="124"/>
        <item x="54"/>
        <item x="169"/>
        <item x="237"/>
        <item x="471"/>
        <item x="331"/>
        <item x="341"/>
        <item x="330"/>
        <item x="125"/>
        <item x="397"/>
        <item x="266"/>
        <item x="398"/>
        <item x="247"/>
        <item x="12"/>
        <item x="3"/>
        <item x="98"/>
        <item x="254"/>
        <item x="339"/>
        <item x="303"/>
        <item x="308"/>
        <item x="29"/>
        <item x="265"/>
        <item x="249"/>
        <item x="437"/>
        <item x="81"/>
        <item x="372"/>
        <item x="231"/>
        <item x="272"/>
        <item x="358"/>
        <item x="53"/>
        <item x="221"/>
        <item x="465"/>
        <item x="164"/>
        <item x="69"/>
        <item x="416"/>
        <item x="57"/>
        <item x="87"/>
        <item x="143"/>
        <item x="399"/>
        <item x="453"/>
        <item x="384"/>
        <item x="429"/>
        <item x="80"/>
        <item x="60"/>
        <item x="280"/>
        <item x="217"/>
        <item x="19"/>
        <item x="407"/>
        <item x="375"/>
        <item x="270"/>
        <item x="323"/>
        <item x="9"/>
        <item x="110"/>
        <item x="338"/>
        <item x="56"/>
        <item x="42"/>
        <item x="455"/>
        <item x="362"/>
        <item x="88"/>
        <item x="230"/>
        <item x="22"/>
        <item x="320"/>
        <item x="227"/>
        <item x="342"/>
        <item x="263"/>
        <item x="36"/>
        <item x="310"/>
        <item x="114"/>
        <item x="243"/>
        <item x="462"/>
        <item x="205"/>
        <item x="113"/>
        <item x="216"/>
        <item x="467"/>
        <item x="442"/>
        <item x="194"/>
        <item x="18"/>
        <item x="31"/>
        <item x="192"/>
        <item x="218"/>
        <item x="121"/>
        <item x="373"/>
        <item x="92"/>
        <item x="315"/>
        <item x="94"/>
        <item x="84"/>
        <item x="151"/>
        <item x="426"/>
        <item x="423"/>
        <item x="405"/>
        <item x="210"/>
        <item x="379"/>
        <item x="253"/>
        <item x="345"/>
        <item x="314"/>
        <item x="232"/>
        <item x="59"/>
        <item x="324"/>
        <item x="17"/>
        <item x="167"/>
        <item x="447"/>
        <item x="325"/>
        <item x="202"/>
        <item x="343"/>
        <item x="282"/>
        <item x="139"/>
        <item x="14"/>
        <item x="395"/>
        <item t="default"/>
      </items>
    </pivotField>
    <pivotField compact="0" numFmtId="1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compact="0" showAll="0">
      <items count="4">
        <item m="1" x="2"/>
        <item x="0"/>
        <item x="1"/>
        <item t="default"/>
      </items>
    </pivotField>
    <pivotField axis="axisRow" compact="0" showAll="0">
      <items count="5">
        <item x="0"/>
        <item x="2"/>
        <item x="1"/>
        <item x="3"/>
        <item t="default"/>
      </items>
    </pivotField>
    <pivotField compact="0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compact="0" showAll="0">
      <items count="41">
        <item x="7"/>
        <item x="36"/>
        <item x="38"/>
        <item x="6"/>
        <item x="9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4"/>
        <item x="28"/>
        <item x="1"/>
        <item x="30"/>
        <item x="24"/>
        <item x="8"/>
        <item x="23"/>
        <item x="14"/>
        <item x="27"/>
        <item x="5"/>
        <item x="35"/>
        <item x="26"/>
        <item t="default"/>
      </items>
    </pivotField>
    <pivotField compact="0" showAll="0">
      <items count="7">
        <item x="3"/>
        <item x="0"/>
        <item x="1"/>
        <item x="5"/>
        <item x="2"/>
        <item x="4"/>
        <item t="default"/>
      </items>
    </pivotField>
    <pivotField axis="axisRow" compact="0" showAll="0">
      <items count="7">
        <item x="4"/>
        <item x="3"/>
        <item x="2"/>
        <item x="5"/>
        <item x="1"/>
        <item x="0"/>
        <item t="default"/>
      </items>
    </pivotField>
    <pivotField compact="0" showAll="0">
      <items count="17">
        <item x="8"/>
        <item x="5"/>
        <item x="0"/>
        <item x="14"/>
        <item x="6"/>
        <item x="9"/>
        <item x="3"/>
        <item x="10"/>
        <item x="2"/>
        <item x="1"/>
        <item x="11"/>
        <item x="4"/>
        <item x="12"/>
        <item x="13"/>
        <item x="7"/>
        <item x="15"/>
        <item t="default"/>
      </items>
    </pivotField>
    <pivotField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showAll="0">
      <items count="631">
        <item x="139"/>
        <item x="621"/>
        <item x="333"/>
        <item x="415"/>
        <item x="340"/>
        <item x="394"/>
        <item x="441"/>
        <item x="293"/>
        <item x="491"/>
        <item x="587"/>
        <item x="207"/>
        <item x="14"/>
        <item x="478"/>
        <item x="58"/>
        <item x="261"/>
        <item x="59"/>
        <item x="325"/>
        <item x="103"/>
        <item x="170"/>
        <item x="70"/>
        <item x="497"/>
        <item x="416"/>
        <item x="312"/>
        <item x="319"/>
        <item x="489"/>
        <item x="332"/>
        <item x="355"/>
        <item x="516"/>
        <item x="185"/>
        <item x="545"/>
        <item x="221"/>
        <item x="259"/>
        <item x="450"/>
        <item x="521"/>
        <item x="576"/>
        <item x="270"/>
        <item x="22"/>
        <item x="158"/>
        <item x="131"/>
        <item x="154"/>
        <item x="290"/>
        <item x="76"/>
        <item x="113"/>
        <item x="569"/>
        <item x="187"/>
        <item x="618"/>
        <item x="588"/>
        <item x="227"/>
        <item x="552"/>
        <item x="551"/>
        <item x="97"/>
        <item x="460"/>
        <item x="214"/>
        <item x="352"/>
        <item x="299"/>
        <item x="57"/>
        <item x="288"/>
        <item x="50"/>
        <item x="147"/>
        <item x="437"/>
        <item x="346"/>
        <item x="180"/>
        <item x="358"/>
        <item x="142"/>
        <item x="493"/>
        <item x="557"/>
        <item x="465"/>
        <item x="604"/>
        <item x="360"/>
        <item x="592"/>
        <item x="10"/>
        <item x="277"/>
        <item x="18"/>
        <item x="338"/>
        <item x="541"/>
        <item x="292"/>
        <item x="454"/>
        <item x="25"/>
        <item x="209"/>
        <item x="93"/>
        <item x="66"/>
        <item x="77"/>
        <item x="554"/>
        <item x="536"/>
        <item x="306"/>
        <item x="182"/>
        <item x="408"/>
        <item x="109"/>
        <item x="75"/>
        <item x="169"/>
        <item x="513"/>
        <item x="471"/>
        <item x="579"/>
        <item x="607"/>
        <item x="624"/>
        <item x="34"/>
        <item x="172"/>
        <item x="627"/>
        <item x="401"/>
        <item x="126"/>
        <item x="391"/>
        <item x="124"/>
        <item x="484"/>
        <item x="523"/>
        <item x="377"/>
        <item x="24"/>
        <item x="87"/>
        <item x="82"/>
        <item x="324"/>
        <item x="510"/>
        <item x="367"/>
        <item x="458"/>
        <item x="12"/>
        <item x="136"/>
        <item x="9"/>
        <item x="294"/>
        <item x="157"/>
        <item x="464"/>
        <item x="210"/>
        <item x="315"/>
        <item x="467"/>
        <item x="85"/>
        <item x="161"/>
        <item x="260"/>
        <item x="348"/>
        <item x="256"/>
        <item x="573"/>
        <item x="220"/>
        <item x="617"/>
        <item x="594"/>
        <item x="326"/>
        <item x="74"/>
        <item x="171"/>
        <item x="589"/>
        <item x="490"/>
        <item x="518"/>
        <item x="463"/>
        <item x="78"/>
        <item x="519"/>
        <item x="564"/>
        <item x="44"/>
        <item x="127"/>
        <item x="125"/>
        <item x="110"/>
        <item x="568"/>
        <item x="504"/>
        <item x="459"/>
        <item x="451"/>
        <item x="397"/>
        <item x="30"/>
        <item x="230"/>
        <item x="61"/>
        <item x="365"/>
        <item x="222"/>
        <item x="206"/>
        <item x="69"/>
        <item x="250"/>
        <item x="36"/>
        <item x="60"/>
        <item x="105"/>
        <item x="511"/>
        <item x="101"/>
        <item x="86"/>
        <item x="234"/>
        <item x="0"/>
        <item x="37"/>
        <item x="393"/>
        <item x="436"/>
        <item x="403"/>
        <item x="289"/>
        <item x="476"/>
        <item x="237"/>
        <item x="585"/>
        <item x="177"/>
        <item x="300"/>
        <item x="267"/>
        <item x="559"/>
        <item x="323"/>
        <item x="475"/>
        <item x="477"/>
        <item x="533"/>
        <item x="166"/>
        <item x="145"/>
        <item x="295"/>
        <item x="15"/>
        <item x="527"/>
        <item x="445"/>
        <item x="582"/>
        <item x="539"/>
        <item x="349"/>
        <item x="119"/>
        <item x="279"/>
        <item x="246"/>
        <item x="384"/>
        <item x="239"/>
        <item x="370"/>
        <item x="629"/>
        <item x="481"/>
        <item x="146"/>
        <item x="19"/>
        <item x="64"/>
        <item x="264"/>
        <item x="507"/>
        <item x="571"/>
        <item x="345"/>
        <item x="99"/>
        <item x="53"/>
        <item x="362"/>
        <item x="514"/>
        <item x="581"/>
        <item x="71"/>
        <item x="309"/>
        <item x="304"/>
        <item x="542"/>
        <item x="242"/>
        <item x="457"/>
        <item x="603"/>
        <item x="23"/>
        <item x="255"/>
        <item x="508"/>
        <item x="104"/>
        <item x="190"/>
        <item x="563"/>
        <item x="387"/>
        <item x="251"/>
        <item x="151"/>
        <item x="520"/>
        <item x="593"/>
        <item x="368"/>
        <item x="56"/>
        <item x="409"/>
        <item x="275"/>
        <item x="173"/>
        <item x="102"/>
        <item x="388"/>
        <item x="534"/>
        <item x="565"/>
        <item x="425"/>
        <item x="52"/>
        <item x="192"/>
        <item x="407"/>
        <item x="117"/>
        <item x="396"/>
        <item x="424"/>
        <item x="72"/>
        <item x="5"/>
        <item x="598"/>
        <item x="430"/>
        <item x="421"/>
        <item x="283"/>
        <item x="329"/>
        <item x="386"/>
        <item x="111"/>
        <item x="224"/>
        <item x="132"/>
        <item x="20"/>
        <item x="402"/>
        <item x="284"/>
        <item x="33"/>
        <item x="339"/>
        <item x="566"/>
        <item x="314"/>
        <item x="271"/>
        <item x="591"/>
        <item x="216"/>
        <item x="186"/>
        <item x="205"/>
        <item x="96"/>
        <item x="404"/>
        <item x="167"/>
        <item x="140"/>
        <item x="68"/>
        <item x="472"/>
        <item x="509"/>
        <item x="217"/>
        <item x="115"/>
        <item x="247"/>
        <item x="597"/>
        <item x="89"/>
        <item x="328"/>
        <item x="249"/>
        <item x="135"/>
        <item x="273"/>
        <item x="427"/>
        <item x="83"/>
        <item x="398"/>
        <item x="121"/>
        <item x="625"/>
        <item x="418"/>
        <item x="615"/>
        <item x="189"/>
        <item x="351"/>
        <item x="549"/>
        <item x="297"/>
        <item x="51"/>
        <item x="252"/>
        <item x="372"/>
        <item x="432"/>
        <item x="499"/>
        <item x="55"/>
        <item x="204"/>
        <item x="456"/>
        <item x="130"/>
        <item x="63"/>
        <item x="233"/>
        <item x="178"/>
        <item x="305"/>
        <item x="447"/>
        <item x="280"/>
        <item x="298"/>
        <item x="183"/>
        <item x="363"/>
        <item x="389"/>
        <item x="561"/>
        <item x="572"/>
        <item x="522"/>
        <item x="547"/>
        <item x="310"/>
        <item x="195"/>
        <item x="165"/>
        <item x="67"/>
        <item x="453"/>
        <item x="8"/>
        <item x="175"/>
        <item x="556"/>
        <item x="446"/>
        <item x="580"/>
        <item x="191"/>
        <item x="168"/>
        <item x="383"/>
        <item x="258"/>
        <item x="211"/>
        <item x="188"/>
        <item x="79"/>
        <item x="610"/>
        <item x="544"/>
        <item x="6"/>
        <item x="272"/>
        <item x="540"/>
        <item x="431"/>
        <item x="184"/>
        <item x="494"/>
        <item x="254"/>
        <item x="88"/>
        <item x="118"/>
        <item x="531"/>
        <item x="163"/>
        <item x="498"/>
        <item x="318"/>
        <item x="395"/>
        <item x="266"/>
        <item x="160"/>
        <item x="40"/>
        <item x="496"/>
        <item x="311"/>
        <item x="495"/>
        <item x="590"/>
        <item x="380"/>
        <item x="41"/>
        <item x="223"/>
        <item x="226"/>
        <item x="302"/>
        <item x="98"/>
        <item x="341"/>
        <item x="73"/>
        <item x="479"/>
        <item x="90"/>
        <item x="45"/>
        <item x="47"/>
        <item x="144"/>
        <item x="257"/>
        <item x="623"/>
        <item x="438"/>
        <item x="562"/>
        <item x="248"/>
        <item x="483"/>
        <item x="577"/>
        <item x="114"/>
        <item x="21"/>
        <item x="399"/>
        <item x="198"/>
        <item x="376"/>
        <item x="575"/>
        <item x="506"/>
        <item x="307"/>
        <item x="574"/>
        <item x="382"/>
        <item x="357"/>
        <item x="317"/>
        <item x="129"/>
        <item x="517"/>
        <item x="112"/>
        <item x="548"/>
        <item x="321"/>
        <item x="620"/>
        <item x="622"/>
        <item x="80"/>
        <item x="322"/>
        <item x="543"/>
        <item x="48"/>
        <item x="462"/>
        <item x="612"/>
        <item x="379"/>
        <item x="276"/>
        <item x="194"/>
        <item x="611"/>
        <item x="466"/>
        <item x="203"/>
        <item x="600"/>
        <item x="503"/>
        <item x="120"/>
        <item x="108"/>
        <item x="535"/>
        <item x="413"/>
        <item x="84"/>
        <item x="550"/>
        <item x="215"/>
        <item x="378"/>
        <item x="155"/>
        <item x="32"/>
        <item x="433"/>
        <item x="502"/>
        <item x="281"/>
        <item x="123"/>
        <item x="619"/>
        <item x="156"/>
        <item x="538"/>
        <item x="614"/>
        <item x="353"/>
        <item x="331"/>
        <item x="262"/>
        <item x="567"/>
        <item x="529"/>
        <item x="344"/>
        <item x="2"/>
        <item x="29"/>
        <item x="435"/>
        <item x="287"/>
        <item x="54"/>
        <item x="420"/>
        <item x="17"/>
        <item x="282"/>
        <item x="347"/>
        <item x="213"/>
        <item x="343"/>
        <item x="28"/>
        <item x="560"/>
        <item x="512"/>
        <item x="202"/>
        <item x="371"/>
        <item x="327"/>
        <item x="107"/>
        <item x="448"/>
        <item x="238"/>
        <item x="482"/>
        <item x="231"/>
        <item x="422"/>
        <item x="133"/>
        <item x="530"/>
        <item x="268"/>
        <item x="426"/>
        <item x="200"/>
        <item x="392"/>
        <item x="91"/>
        <item x="241"/>
        <item x="286"/>
        <item x="263"/>
        <item x="334"/>
        <item x="412"/>
        <item x="440"/>
        <item x="128"/>
        <item x="570"/>
        <item x="3"/>
        <item x="583"/>
        <item x="149"/>
        <item x="65"/>
        <item x="626"/>
        <item x="245"/>
        <item x="31"/>
        <item x="375"/>
        <item x="197"/>
        <item x="303"/>
        <item x="584"/>
        <item x="361"/>
        <item x="162"/>
        <item x="452"/>
        <item x="428"/>
        <item x="406"/>
        <item x="485"/>
        <item x="553"/>
        <item x="316"/>
        <item x="330"/>
        <item x="488"/>
        <item x="455"/>
        <item x="285"/>
        <item x="278"/>
        <item x="27"/>
        <item x="366"/>
        <item x="94"/>
        <item x="11"/>
        <item x="244"/>
        <item x="225"/>
        <item x="605"/>
        <item x="181"/>
        <item x="578"/>
        <item x="336"/>
        <item x="492"/>
        <item x="122"/>
        <item x="374"/>
        <item x="137"/>
        <item x="141"/>
        <item x="532"/>
        <item x="62"/>
        <item x="100"/>
        <item x="419"/>
        <item x="411"/>
        <item x="505"/>
        <item x="236"/>
        <item x="434"/>
        <item x="106"/>
        <item x="500"/>
        <item x="628"/>
        <item x="159"/>
        <item x="320"/>
        <item x="473"/>
        <item x="586"/>
        <item x="196"/>
        <item x="501"/>
        <item x="335"/>
        <item x="232"/>
        <item x="390"/>
        <item x="474"/>
        <item x="265"/>
        <item x="486"/>
        <item x="49"/>
        <item x="526"/>
        <item x="537"/>
        <item x="410"/>
        <item x="515"/>
        <item x="525"/>
        <item x="439"/>
        <item x="228"/>
        <item x="313"/>
        <item x="449"/>
        <item x="555"/>
        <item x="429"/>
        <item x="46"/>
        <item x="524"/>
        <item x="219"/>
        <item x="253"/>
        <item x="308"/>
        <item x="212"/>
        <item x="42"/>
        <item x="468"/>
        <item x="364"/>
        <item x="369"/>
        <item x="174"/>
        <item x="480"/>
        <item x="164"/>
        <item x="26"/>
        <item x="148"/>
        <item x="143"/>
        <item x="35"/>
        <item x="528"/>
        <item x="595"/>
        <item x="134"/>
        <item x="442"/>
        <item x="342"/>
        <item x="609"/>
        <item x="138"/>
        <item x="193"/>
        <item x="240"/>
        <item x="602"/>
        <item x="176"/>
        <item x="613"/>
        <item x="337"/>
        <item x="243"/>
        <item x="606"/>
        <item x="400"/>
        <item x="218"/>
        <item x="616"/>
        <item x="487"/>
        <item x="417"/>
        <item x="381"/>
        <item x="208"/>
        <item x="601"/>
        <item x="150"/>
        <item x="7"/>
        <item x="423"/>
        <item x="116"/>
        <item x="92"/>
        <item x="301"/>
        <item x="39"/>
        <item x="558"/>
        <item x="359"/>
        <item x="269"/>
        <item x="16"/>
        <item x="461"/>
        <item x="199"/>
        <item x="229"/>
        <item x="470"/>
        <item x="153"/>
        <item x="38"/>
        <item x="350"/>
        <item x="235"/>
        <item x="296"/>
        <item x="444"/>
        <item x="4"/>
        <item x="179"/>
        <item x="152"/>
        <item x="13"/>
        <item x="201"/>
        <item x="373"/>
        <item x="274"/>
        <item x="291"/>
        <item x="385"/>
        <item x="95"/>
        <item x="608"/>
        <item x="1"/>
        <item x="405"/>
        <item x="469"/>
        <item x="356"/>
        <item x="443"/>
        <item x="546"/>
        <item x="81"/>
        <item x="43"/>
        <item x="599"/>
        <item x="596"/>
        <item x="354"/>
        <item x="414"/>
        <item t="default"/>
      </items>
    </pivotField>
    <pivotField compact="0" numFmtId="44" showAll="0">
      <items count="633">
        <item x="493"/>
        <item x="112"/>
        <item x="180"/>
        <item x="298"/>
        <item x="172"/>
        <item x="286"/>
        <item x="106"/>
        <item x="247"/>
        <item x="389"/>
        <item x="83"/>
        <item x="572"/>
        <item x="96"/>
        <item x="7"/>
        <item x="341"/>
        <item x="177"/>
        <item x="461"/>
        <item x="127"/>
        <item x="582"/>
        <item x="481"/>
        <item x="54"/>
        <item x="311"/>
        <item x="631"/>
        <item x="230"/>
        <item x="354"/>
        <item x="89"/>
        <item x="119"/>
        <item x="532"/>
        <item x="586"/>
        <item x="245"/>
        <item x="139"/>
        <item x="517"/>
        <item x="291"/>
        <item x="243"/>
        <item x="51"/>
        <item x="116"/>
        <item x="347"/>
        <item x="323"/>
        <item x="418"/>
        <item x="575"/>
        <item x="108"/>
        <item x="551"/>
        <item x="305"/>
        <item x="443"/>
        <item x="211"/>
        <item x="526"/>
        <item x="282"/>
        <item x="263"/>
        <item x="330"/>
        <item x="344"/>
        <item x="103"/>
        <item x="609"/>
        <item x="488"/>
        <item x="463"/>
        <item x="531"/>
        <item x="26"/>
        <item x="308"/>
        <item x="436"/>
        <item x="163"/>
        <item x="206"/>
        <item x="570"/>
        <item x="460"/>
        <item x="113"/>
        <item x="608"/>
        <item x="221"/>
        <item x="217"/>
        <item x="318"/>
        <item x="128"/>
        <item x="239"/>
        <item x="579"/>
        <item x="599"/>
        <item x="621"/>
        <item x="82"/>
        <item x="458"/>
        <item x="577"/>
        <item x="124"/>
        <item x="35"/>
        <item x="174"/>
        <item x="434"/>
        <item x="490"/>
        <item x="447"/>
        <item x="233"/>
        <item x="232"/>
        <item x="53"/>
        <item x="28"/>
        <item x="293"/>
        <item x="476"/>
        <item x="178"/>
        <item x="511"/>
        <item x="627"/>
        <item x="508"/>
        <item x="391"/>
        <item x="215"/>
        <item x="304"/>
        <item x="270"/>
        <item x="222"/>
        <item x="466"/>
        <item x="445"/>
        <item x="296"/>
        <item x="194"/>
        <item x="620"/>
        <item x="369"/>
        <item x="485"/>
        <item x="3"/>
        <item x="71"/>
        <item x="464"/>
        <item x="145"/>
        <item x="0"/>
        <item x="274"/>
        <item x="486"/>
        <item x="373"/>
        <item x="316"/>
        <item x="109"/>
        <item x="491"/>
        <item x="597"/>
        <item x="160"/>
        <item x="137"/>
        <item x="133"/>
        <item x="350"/>
        <item x="456"/>
        <item x="326"/>
        <item x="101"/>
        <item x="39"/>
        <item x="258"/>
        <item x="5"/>
        <item x="254"/>
        <item x="594"/>
        <item x="386"/>
        <item x="428"/>
        <item x="271"/>
        <item x="519"/>
        <item x="166"/>
        <item x="12"/>
        <item x="297"/>
        <item x="46"/>
        <item x="118"/>
        <item x="169"/>
        <item x="57"/>
        <item x="483"/>
        <item x="439"/>
        <item x="179"/>
        <item x="495"/>
        <item x="114"/>
        <item x="78"/>
        <item x="148"/>
        <item x="380"/>
        <item x="315"/>
        <item x="441"/>
        <item x="307"/>
        <item x="328"/>
        <item x="432"/>
        <item x="277"/>
        <item x="240"/>
        <item x="219"/>
        <item x="214"/>
        <item x="580"/>
        <item x="616"/>
        <item x="218"/>
        <item x="231"/>
        <item x="505"/>
        <item x="453"/>
        <item x="525"/>
        <item x="309"/>
        <item x="321"/>
        <item x="604"/>
        <item x="93"/>
        <item x="129"/>
        <item x="130"/>
        <item x="602"/>
        <item x="331"/>
        <item x="470"/>
        <item x="378"/>
        <item x="155"/>
        <item x="546"/>
        <item x="573"/>
        <item x="561"/>
        <item x="191"/>
        <item x="544"/>
        <item x="250"/>
        <item x="494"/>
        <item x="410"/>
        <item x="312"/>
        <item x="477"/>
        <item x="500"/>
        <item x="408"/>
        <item x="536"/>
        <item x="334"/>
        <item x="251"/>
        <item x="43"/>
        <item x="433"/>
        <item x="540"/>
        <item x="370"/>
        <item x="201"/>
        <item x="68"/>
        <item x="30"/>
        <item x="64"/>
        <item x="403"/>
        <item x="141"/>
        <item x="419"/>
        <item x="338"/>
        <item x="498"/>
        <item x="523"/>
        <item x="197"/>
        <item x="257"/>
        <item x="290"/>
        <item x="88"/>
        <item x="565"/>
        <item x="268"/>
        <item x="91"/>
        <item x="52"/>
        <item x="361"/>
        <item x="98"/>
        <item x="110"/>
        <item x="479"/>
        <item x="285"/>
        <item x="131"/>
        <item x="444"/>
        <item x="144"/>
        <item x="262"/>
        <item x="6"/>
        <item x="564"/>
        <item x="220"/>
        <item x="202"/>
        <item x="299"/>
        <item x="186"/>
        <item x="314"/>
        <item x="430"/>
        <item x="87"/>
        <item x="62"/>
        <item x="474"/>
        <item x="364"/>
        <item x="437"/>
        <item x="538"/>
        <item x="417"/>
        <item x="623"/>
        <item x="339"/>
        <item x="510"/>
        <item x="283"/>
        <item x="337"/>
        <item x="446"/>
        <item x="515"/>
        <item x="584"/>
        <item x="13"/>
        <item x="10"/>
        <item x="33"/>
        <item x="336"/>
        <item x="472"/>
        <item x="252"/>
        <item x="516"/>
        <item x="301"/>
        <item x="395"/>
        <item x="325"/>
        <item x="156"/>
        <item x="355"/>
        <item x="499"/>
        <item x="340"/>
        <item x="4"/>
        <item x="469"/>
        <item x="411"/>
        <item x="591"/>
        <item x="359"/>
        <item x="255"/>
        <item x="571"/>
        <item x="563"/>
        <item x="67"/>
        <item x="44"/>
        <item x="533"/>
        <item x="147"/>
        <item x="605"/>
        <item x="475"/>
        <item x="90"/>
        <item x="412"/>
        <item x="576"/>
        <item x="238"/>
        <item x="134"/>
        <item x="549"/>
        <item x="558"/>
        <item x="36"/>
        <item x="457"/>
        <item x="611"/>
        <item x="259"/>
        <item x="73"/>
        <item x="585"/>
        <item x="269"/>
        <item x="372"/>
        <item x="617"/>
        <item x="535"/>
        <item x="553"/>
        <item x="22"/>
        <item x="185"/>
        <item x="462"/>
        <item x="568"/>
        <item x="522"/>
        <item x="578"/>
        <item x="595"/>
        <item x="29"/>
        <item x="15"/>
        <item x="37"/>
        <item x="150"/>
        <item x="182"/>
        <item x="358"/>
        <item x="502"/>
        <item x="435"/>
        <item x="14"/>
        <item x="598"/>
        <item x="471"/>
        <item x="294"/>
        <item x="590"/>
        <item x="183"/>
        <item x="192"/>
        <item x="288"/>
        <item x="253"/>
        <item x="120"/>
        <item x="170"/>
        <item x="560"/>
        <item x="248"/>
        <item x="92"/>
        <item x="513"/>
        <item x="342"/>
        <item x="628"/>
        <item x="630"/>
        <item x="161"/>
        <item x="454"/>
        <item x="158"/>
        <item x="619"/>
        <item x="143"/>
        <item x="75"/>
        <item x="45"/>
        <item x="200"/>
        <item x="381"/>
        <item x="362"/>
        <item x="473"/>
        <item x="379"/>
        <item x="313"/>
        <item x="171"/>
        <item x="401"/>
        <item x="416"/>
        <item x="55"/>
        <item x="574"/>
        <item x="27"/>
        <item x="559"/>
        <item x="48"/>
        <item x="581"/>
        <item x="438"/>
        <item x="102"/>
        <item x="300"/>
        <item x="38"/>
        <item x="154"/>
        <item x="451"/>
        <item x="319"/>
        <item x="351"/>
        <item x="548"/>
        <item x="69"/>
        <item x="557"/>
        <item x="203"/>
        <item x="16"/>
        <item x="146"/>
        <item x="303"/>
        <item x="327"/>
        <item x="449"/>
        <item x="492"/>
        <item x="157"/>
        <item x="452"/>
        <item x="509"/>
        <item x="168"/>
        <item x="11"/>
        <item x="70"/>
        <item x="74"/>
        <item x="241"/>
        <item x="164"/>
        <item x="153"/>
        <item x="618"/>
        <item x="518"/>
        <item x="506"/>
        <item x="348"/>
        <item x="228"/>
        <item x="367"/>
        <item x="429"/>
        <item x="530"/>
        <item x="132"/>
        <item x="384"/>
        <item x="612"/>
        <item x="176"/>
        <item x="543"/>
        <item x="450"/>
        <item x="24"/>
        <item x="125"/>
        <item x="360"/>
        <item x="279"/>
        <item x="352"/>
        <item x="404"/>
        <item x="440"/>
        <item x="349"/>
        <item x="600"/>
        <item x="193"/>
        <item x="346"/>
        <item x="320"/>
        <item x="375"/>
        <item x="190"/>
        <item x="504"/>
        <item x="151"/>
        <item x="487"/>
        <item x="94"/>
        <item x="324"/>
        <item x="244"/>
        <item x="19"/>
        <item x="592"/>
        <item x="204"/>
        <item x="317"/>
        <item x="284"/>
        <item x="388"/>
        <item x="402"/>
        <item x="624"/>
        <item x="184"/>
        <item x="162"/>
        <item x="40"/>
        <item x="229"/>
        <item x="272"/>
        <item x="589"/>
        <item x="363"/>
        <item x="207"/>
        <item x="425"/>
        <item x="550"/>
        <item x="478"/>
        <item x="365"/>
        <item x="59"/>
        <item x="524"/>
        <item x="520"/>
        <item x="126"/>
        <item x="287"/>
        <item x="18"/>
        <item x="629"/>
        <item x="189"/>
        <item x="225"/>
        <item x="66"/>
        <item x="332"/>
        <item x="273"/>
        <item x="527"/>
        <item x="1"/>
        <item x="95"/>
        <item x="216"/>
        <item x="135"/>
        <item x="224"/>
        <item x="210"/>
        <item x="280"/>
        <item x="152"/>
        <item x="610"/>
        <item x="420"/>
        <item x="281"/>
        <item x="266"/>
        <item x="77"/>
        <item x="377"/>
        <item x="400"/>
        <item x="260"/>
        <item x="79"/>
        <item x="405"/>
        <item x="392"/>
        <item x="181"/>
        <item x="503"/>
        <item x="497"/>
        <item x="596"/>
        <item x="393"/>
        <item x="107"/>
        <item x="539"/>
        <item x="382"/>
        <item x="292"/>
        <item x="198"/>
        <item x="603"/>
        <item x="383"/>
        <item x="455"/>
        <item x="534"/>
        <item x="427"/>
        <item x="56"/>
        <item x="105"/>
        <item x="385"/>
        <item x="554"/>
        <item x="387"/>
        <item x="212"/>
        <item x="567"/>
        <item x="552"/>
        <item x="468"/>
        <item x="278"/>
        <item x="399"/>
        <item x="60"/>
        <item x="357"/>
        <item x="205"/>
        <item x="81"/>
        <item x="333"/>
        <item x="85"/>
        <item x="111"/>
        <item x="555"/>
        <item x="562"/>
        <item x="413"/>
        <item x="223"/>
        <item x="99"/>
        <item x="431"/>
        <item x="397"/>
        <item x="356"/>
        <item x="138"/>
        <item x="209"/>
        <item x="421"/>
        <item x="448"/>
        <item x="41"/>
        <item x="265"/>
        <item x="528"/>
        <item x="606"/>
        <item x="249"/>
        <item x="371"/>
        <item x="480"/>
        <item x="159"/>
        <item x="58"/>
        <item x="17"/>
        <item x="242"/>
        <item x="97"/>
        <item x="376"/>
        <item x="343"/>
        <item x="501"/>
        <item x="587"/>
        <item x="353"/>
        <item x="566"/>
        <item x="63"/>
        <item x="165"/>
        <item x="235"/>
        <item x="227"/>
        <item x="31"/>
        <item x="208"/>
        <item x="593"/>
        <item x="100"/>
        <item x="414"/>
        <item x="541"/>
        <item x="142"/>
        <item x="187"/>
        <item x="173"/>
        <item x="459"/>
        <item x="302"/>
        <item x="267"/>
        <item x="426"/>
        <item x="289"/>
        <item x="23"/>
        <item x="368"/>
        <item x="521"/>
        <item x="482"/>
        <item x="415"/>
        <item x="335"/>
        <item x="537"/>
        <item x="496"/>
        <item x="366"/>
        <item x="8"/>
        <item x="394"/>
        <item x="149"/>
        <item x="121"/>
        <item x="547"/>
        <item x="322"/>
        <item x="65"/>
        <item x="49"/>
        <item x="545"/>
        <item x="484"/>
        <item x="234"/>
        <item x="398"/>
        <item x="422"/>
        <item x="615"/>
        <item x="199"/>
        <item x="613"/>
        <item x="21"/>
        <item x="9"/>
        <item x="507"/>
        <item x="188"/>
        <item x="465"/>
        <item x="601"/>
        <item x="276"/>
        <item x="236"/>
        <item x="622"/>
        <item x="626"/>
        <item x="625"/>
        <item x="246"/>
        <item x="226"/>
        <item x="406"/>
        <item x="442"/>
        <item x="295"/>
        <item x="123"/>
        <item x="237"/>
        <item x="86"/>
        <item x="588"/>
        <item x="583"/>
        <item x="542"/>
        <item x="329"/>
        <item x="72"/>
        <item x="195"/>
        <item x="512"/>
        <item x="117"/>
        <item x="76"/>
        <item x="122"/>
        <item x="42"/>
        <item x="396"/>
        <item x="529"/>
        <item x="310"/>
        <item x="104"/>
        <item x="196"/>
        <item x="569"/>
        <item x="467"/>
        <item x="80"/>
        <item x="275"/>
        <item x="136"/>
        <item x="175"/>
        <item x="409"/>
        <item x="614"/>
        <item x="47"/>
        <item x="84"/>
        <item x="514"/>
        <item x="34"/>
        <item x="407"/>
        <item x="556"/>
        <item x="213"/>
        <item x="306"/>
        <item x="50"/>
        <item x="264"/>
        <item x="2"/>
        <item x="32"/>
        <item x="140"/>
        <item x="607"/>
        <item x="489"/>
        <item x="61"/>
        <item x="256"/>
        <item x="261"/>
        <item x="115"/>
        <item x="424"/>
        <item x="167"/>
        <item x="374"/>
        <item x="390"/>
        <item x="423"/>
        <item x="25"/>
        <item x="20"/>
        <item x="345"/>
        <item t="default"/>
      </items>
    </pivotField>
    <pivotField compact="0" numFmtId="44" showAll="0">
      <items count="631">
        <item x="615"/>
        <item x="2"/>
        <item x="58"/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numFmtId="44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numFmtId="184" showAll="0">
      <items count="229">
        <item x="5"/>
        <item x="140"/>
        <item x="10"/>
        <item x="20"/>
        <item x="99"/>
        <item x="19"/>
        <item x="84"/>
        <item x="170"/>
        <item x="212"/>
        <item x="108"/>
        <item x="205"/>
        <item x="113"/>
        <item x="106"/>
        <item x="118"/>
        <item x="109"/>
        <item x="179"/>
        <item x="134"/>
        <item x="71"/>
        <item x="8"/>
        <item x="195"/>
        <item x="76"/>
        <item x="42"/>
        <item x="32"/>
        <item x="16"/>
        <item x="188"/>
        <item x="208"/>
        <item x="174"/>
        <item x="89"/>
        <item x="221"/>
        <item x="107"/>
        <item x="215"/>
        <item x="58"/>
        <item x="216"/>
        <item x="54"/>
        <item x="130"/>
        <item x="114"/>
        <item x="223"/>
        <item x="133"/>
        <item x="121"/>
        <item x="92"/>
        <item x="193"/>
        <item x="163"/>
        <item x="227"/>
        <item x="96"/>
        <item x="201"/>
        <item x="176"/>
        <item x="72"/>
        <item x="143"/>
        <item x="55"/>
        <item x="90"/>
        <item x="68"/>
        <item x="88"/>
        <item x="3"/>
        <item x="93"/>
        <item x="13"/>
        <item x="43"/>
        <item x="171"/>
        <item x="202"/>
        <item x="117"/>
        <item x="164"/>
        <item x="226"/>
        <item x="104"/>
        <item x="200"/>
        <item x="26"/>
        <item x="147"/>
        <item x="24"/>
        <item x="167"/>
        <item x="25"/>
        <item x="168"/>
        <item x="119"/>
        <item x="77"/>
        <item x="142"/>
        <item x="12"/>
        <item x="148"/>
        <item x="73"/>
        <item x="224"/>
        <item x="199"/>
        <item x="74"/>
        <item x="165"/>
        <item x="27"/>
        <item x="4"/>
        <item x="172"/>
        <item x="67"/>
        <item x="52"/>
        <item x="192"/>
        <item x="105"/>
        <item x="86"/>
        <item x="14"/>
        <item x="46"/>
        <item x="95"/>
        <item x="0"/>
        <item x="139"/>
        <item x="60"/>
        <item x="158"/>
        <item x="144"/>
        <item x="85"/>
        <item x="45"/>
        <item x="18"/>
        <item x="173"/>
        <item x="153"/>
        <item x="82"/>
        <item x="213"/>
        <item x="22"/>
        <item x="38"/>
        <item x="110"/>
        <item x="137"/>
        <item x="31"/>
        <item x="49"/>
        <item x="2"/>
        <item x="191"/>
        <item x="112"/>
        <item x="61"/>
        <item x="157"/>
        <item x="29"/>
        <item x="81"/>
        <item x="159"/>
        <item x="23"/>
        <item x="78"/>
        <item x="169"/>
        <item x="56"/>
        <item x="17"/>
        <item x="41"/>
        <item x="180"/>
        <item x="34"/>
        <item x="6"/>
        <item x="135"/>
        <item x="9"/>
        <item x="209"/>
        <item x="102"/>
        <item x="136"/>
        <item x="125"/>
        <item x="69"/>
        <item x="131"/>
        <item x="161"/>
        <item x="87"/>
        <item x="181"/>
        <item x="129"/>
        <item x="75"/>
        <item x="64"/>
        <item x="196"/>
        <item x="156"/>
        <item x="211"/>
        <item x="150"/>
        <item x="21"/>
        <item x="36"/>
        <item x="189"/>
        <item x="225"/>
        <item x="145"/>
        <item x="122"/>
        <item x="155"/>
        <item x="30"/>
        <item x="166"/>
        <item x="120"/>
        <item x="94"/>
        <item x="79"/>
        <item x="111"/>
        <item x="35"/>
        <item x="15"/>
        <item x="50"/>
        <item x="57"/>
        <item x="63"/>
        <item x="37"/>
        <item x="70"/>
        <item x="51"/>
        <item x="197"/>
        <item x="98"/>
        <item x="7"/>
        <item x="124"/>
        <item x="115"/>
        <item x="47"/>
        <item x="138"/>
        <item x="91"/>
        <item x="53"/>
        <item x="44"/>
        <item x="162"/>
        <item x="222"/>
        <item x="219"/>
        <item x="182"/>
        <item x="126"/>
        <item x="123"/>
        <item x="207"/>
        <item x="66"/>
        <item x="154"/>
        <item x="203"/>
        <item x="218"/>
        <item x="97"/>
        <item x="217"/>
        <item x="152"/>
        <item x="204"/>
        <item x="83"/>
        <item x="214"/>
        <item x="127"/>
        <item x="146"/>
        <item x="128"/>
        <item x="1"/>
        <item x="149"/>
        <item x="177"/>
        <item x="183"/>
        <item x="65"/>
        <item x="28"/>
        <item x="103"/>
        <item x="220"/>
        <item x="11"/>
        <item x="116"/>
        <item x="48"/>
        <item x="194"/>
        <item x="62"/>
        <item x="132"/>
        <item x="101"/>
        <item x="187"/>
        <item x="151"/>
        <item x="100"/>
        <item x="141"/>
        <item x="178"/>
        <item x="190"/>
        <item x="80"/>
        <item x="186"/>
        <item x="39"/>
        <item x="210"/>
        <item x="40"/>
        <item x="184"/>
        <item x="206"/>
        <item x="160"/>
        <item x="33"/>
        <item x="59"/>
        <item x="175"/>
        <item x="198"/>
        <item x="18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04">
        <item x="5"/>
        <item x="130"/>
        <item x="10"/>
        <item x="20"/>
        <item x="93"/>
        <item x="19"/>
        <item x="78"/>
        <item x="157"/>
        <item x="188"/>
        <item x="100"/>
        <item x="183"/>
        <item x="105"/>
        <item x="98"/>
        <item x="109"/>
        <item x="101"/>
        <item x="164"/>
        <item x="124"/>
        <item x="66"/>
        <item x="8"/>
        <item x="174"/>
        <item x="71"/>
        <item x="40"/>
        <item x="32"/>
        <item x="16"/>
        <item x="169"/>
        <item x="185"/>
        <item x="161"/>
        <item x="83"/>
        <item x="196"/>
        <item x="99"/>
        <item x="190"/>
        <item x="55"/>
        <item x="191"/>
        <item x="51"/>
        <item x="121"/>
        <item x="106"/>
        <item x="198"/>
        <item x="123"/>
        <item x="112"/>
        <item x="86"/>
        <item x="173"/>
        <item x="150"/>
        <item x="202"/>
        <item x="90"/>
        <item x="179"/>
        <item x="162"/>
        <item x="67"/>
        <item x="132"/>
        <item x="52"/>
        <item x="84"/>
        <item x="63"/>
        <item x="82"/>
        <item x="3"/>
        <item x="87"/>
        <item x="13"/>
        <item x="41"/>
        <item x="158"/>
        <item x="180"/>
        <item x="108"/>
        <item x="151"/>
        <item x="201"/>
        <item x="96"/>
        <item x="178"/>
        <item x="26"/>
        <item x="136"/>
        <item x="24"/>
        <item x="154"/>
        <item x="25"/>
        <item x="155"/>
        <item x="110"/>
        <item x="72"/>
        <item x="131"/>
        <item x="12"/>
        <item x="137"/>
        <item x="68"/>
        <item x="199"/>
        <item x="177"/>
        <item x="69"/>
        <item x="152"/>
        <item x="27"/>
        <item x="4"/>
        <item x="159"/>
        <item x="62"/>
        <item x="49"/>
        <item x="172"/>
        <item x="97"/>
        <item x="80"/>
        <item x="14"/>
        <item x="44"/>
        <item x="89"/>
        <item x="0"/>
        <item x="129"/>
        <item x="56"/>
        <item x="146"/>
        <item x="133"/>
        <item x="79"/>
        <item x="43"/>
        <item x="18"/>
        <item x="160"/>
        <item x="141"/>
        <item x="76"/>
        <item x="189"/>
        <item x="22"/>
        <item x="38"/>
        <item x="102"/>
        <item x="127"/>
        <item x="31"/>
        <item x="46"/>
        <item x="2"/>
        <item x="171"/>
        <item x="104"/>
        <item x="57"/>
        <item x="145"/>
        <item x="29"/>
        <item x="75"/>
        <item x="147"/>
        <item x="23"/>
        <item x="73"/>
        <item x="156"/>
        <item x="53"/>
        <item x="17"/>
        <item x="39"/>
        <item x="165"/>
        <item x="34"/>
        <item x="6"/>
        <item x="125"/>
        <item x="9"/>
        <item x="186"/>
        <item x="94"/>
        <item x="126"/>
        <item x="116"/>
        <item x="64"/>
        <item x="122"/>
        <item x="148"/>
        <item x="81"/>
        <item x="166"/>
        <item x="120"/>
        <item x="70"/>
        <item x="59"/>
        <item x="175"/>
        <item x="144"/>
        <item x="187"/>
        <item x="139"/>
        <item x="21"/>
        <item x="36"/>
        <item x="170"/>
        <item x="200"/>
        <item x="134"/>
        <item x="113"/>
        <item x="143"/>
        <item x="30"/>
        <item x="153"/>
        <item x="111"/>
        <item x="88"/>
        <item x="74"/>
        <item x="103"/>
        <item x="35"/>
        <item x="15"/>
        <item x="47"/>
        <item x="54"/>
        <item x="58"/>
        <item x="37"/>
        <item x="65"/>
        <item x="48"/>
        <item x="176"/>
        <item x="92"/>
        <item x="7"/>
        <item x="115"/>
        <item x="107"/>
        <item x="45"/>
        <item x="128"/>
        <item x="85"/>
        <item x="50"/>
        <item x="42"/>
        <item x="149"/>
        <item x="197"/>
        <item x="194"/>
        <item x="167"/>
        <item x="117"/>
        <item x="114"/>
        <item x="184"/>
        <item x="61"/>
        <item x="142"/>
        <item x="181"/>
        <item x="193"/>
        <item x="91"/>
        <item x="192"/>
        <item x="140"/>
        <item x="182"/>
        <item x="77"/>
        <item x="33"/>
        <item x="118"/>
        <item x="135"/>
        <item x="119"/>
        <item x="1"/>
        <item x="138"/>
        <item x="163"/>
        <item x="168"/>
        <item x="60"/>
        <item x="28"/>
        <item x="95"/>
        <item x="195"/>
        <item x="11"/>
        <item t="default"/>
      </items>
    </pivotField>
    <pivotField compact="0" numFmtId="183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51"/>
        <item x="247"/>
        <item x="531"/>
        <item x="89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41"/>
        <item x="354"/>
        <item x="139"/>
        <item x="114"/>
        <item x="490"/>
        <item x="305"/>
        <item x="87"/>
        <item x="108"/>
        <item x="460"/>
        <item x="26"/>
        <item x="211"/>
        <item x="582"/>
        <item x="464"/>
        <item x="551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137"/>
        <item x="258"/>
        <item x="193"/>
        <item x="598"/>
        <item x="131"/>
        <item x="179"/>
        <item x="74"/>
        <item x="240"/>
        <item x="222"/>
        <item x="369"/>
        <item x="59"/>
        <item x="571"/>
        <item x="201"/>
        <item x="408"/>
        <item x="495"/>
        <item x="543"/>
        <item x="481"/>
        <item x="57"/>
        <item x="361"/>
        <item x="546"/>
        <item x="186"/>
        <item x="334"/>
        <item x="0"/>
        <item x="79"/>
        <item x="12"/>
        <item x="314"/>
        <item x="627"/>
        <item x="483"/>
        <item x="486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447"/>
        <item x="333"/>
        <item x="161"/>
        <item x="593"/>
        <item x="118"/>
        <item x="52"/>
        <item x="231"/>
        <item x="304"/>
        <item x="443"/>
        <item x="103"/>
        <item x="599"/>
        <item x="485"/>
        <item x="277"/>
        <item x="581"/>
        <item x="328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332"/>
        <item x="271"/>
        <item x="46"/>
        <item x="580"/>
        <item x="156"/>
        <item x="270"/>
        <item x="363"/>
        <item x="437"/>
        <item x="293"/>
        <item x="520"/>
        <item x="501"/>
        <item x="229"/>
        <item x="601"/>
        <item x="321"/>
        <item x="492"/>
        <item x="259"/>
        <item x="14"/>
        <item x="458"/>
        <item x="269"/>
        <item x="182"/>
        <item x="130"/>
        <item x="216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343"/>
        <item x="590"/>
        <item x="316"/>
        <item x="510"/>
        <item x="612"/>
        <item x="530"/>
        <item x="73"/>
        <item x="419"/>
        <item x="386"/>
        <item x="489"/>
        <item x="32"/>
        <item x="241"/>
        <item x="136"/>
        <item x="446"/>
        <item x="246"/>
        <item x="30"/>
        <item x="518"/>
        <item x="325"/>
        <item x="309"/>
        <item x="301"/>
        <item x="143"/>
        <item x="421"/>
        <item x="92"/>
        <item x="564"/>
        <item x="504"/>
        <item x="610"/>
        <item x="11"/>
        <item x="158"/>
        <item x="185"/>
        <item x="470"/>
        <item x="78"/>
        <item x="289"/>
        <item x="615"/>
        <item x="558"/>
        <item x="41"/>
        <item x="70"/>
        <item x="43"/>
        <item x="623"/>
        <item x="616"/>
        <item x="545"/>
        <item x="123"/>
        <item x="515"/>
        <item x="502"/>
        <item x="416"/>
        <item x="22"/>
        <item x="549"/>
        <item x="62"/>
        <item x="4"/>
        <item x="154"/>
        <item x="312"/>
        <item x="393"/>
        <item x="197"/>
        <item x="380"/>
        <item x="527"/>
        <item x="274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105"/>
        <item x="576"/>
        <item x="65"/>
        <item x="250"/>
        <item x="163"/>
        <item x="349"/>
        <item x="244"/>
        <item x="449"/>
        <item x="104"/>
        <item x="167"/>
        <item x="450"/>
        <item x="265"/>
        <item x="441"/>
        <item x="299"/>
        <item x="364"/>
        <item x="630"/>
        <item x="381"/>
        <item x="145"/>
        <item x="430"/>
        <item x="433"/>
        <item x="399"/>
        <item x="281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170"/>
        <item x="8"/>
        <item x="455"/>
        <item x="359"/>
        <item x="148"/>
        <item x="50"/>
        <item x="595"/>
        <item x="200"/>
        <item x="38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335"/>
        <item x="469"/>
        <item x="317"/>
        <item x="351"/>
        <item x="499"/>
        <item x="228"/>
        <item x="371"/>
        <item x="402"/>
        <item x="340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427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99"/>
        <item x="204"/>
        <item x="300"/>
        <item x="144"/>
        <item x="16"/>
        <item x="324"/>
        <item x="339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329"/>
        <item x="188"/>
        <item x="219"/>
        <item x="336"/>
        <item x="207"/>
        <item x="487"/>
        <item x="607"/>
        <item x="159"/>
        <item x="273"/>
        <item x="423"/>
        <item x="153"/>
        <item x="56"/>
        <item x="550"/>
        <item x="111"/>
        <item x="622"/>
        <item x="426"/>
        <item x="226"/>
        <item x="42"/>
        <item x="542"/>
        <item x="496"/>
        <item x="310"/>
        <item x="374"/>
        <item x="195"/>
        <item x="442"/>
        <item x="414"/>
        <item x="173"/>
        <item x="55"/>
        <item x="548"/>
        <item x="142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92"/>
        <item x="357"/>
        <item x="624"/>
        <item x="512"/>
        <item x="557"/>
        <item x="537"/>
        <item x="592"/>
        <item x="100"/>
        <item x="319"/>
        <item x="199"/>
        <item x="396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247"/>
        <item x="531"/>
        <item x="89"/>
        <item x="51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54"/>
        <item x="341"/>
        <item x="114"/>
        <item x="139"/>
        <item x="490"/>
        <item x="305"/>
        <item x="87"/>
        <item x="108"/>
        <item x="460"/>
        <item x="26"/>
        <item x="211"/>
        <item x="582"/>
        <item x="551"/>
        <item x="464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258"/>
        <item x="193"/>
        <item x="598"/>
        <item x="131"/>
        <item x="179"/>
        <item x="240"/>
        <item x="222"/>
        <item x="137"/>
        <item x="369"/>
        <item x="59"/>
        <item x="571"/>
        <item x="408"/>
        <item x="495"/>
        <item x="543"/>
        <item x="481"/>
        <item x="57"/>
        <item x="361"/>
        <item x="201"/>
        <item x="546"/>
        <item x="186"/>
        <item x="334"/>
        <item x="0"/>
        <item x="79"/>
        <item x="12"/>
        <item x="314"/>
        <item x="627"/>
        <item x="483"/>
        <item x="486"/>
        <item x="74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333"/>
        <item x="161"/>
        <item x="593"/>
        <item x="118"/>
        <item x="52"/>
        <item x="231"/>
        <item x="304"/>
        <item x="443"/>
        <item x="103"/>
        <item x="599"/>
        <item x="447"/>
        <item x="485"/>
        <item x="277"/>
        <item x="581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271"/>
        <item x="46"/>
        <item x="580"/>
        <item x="156"/>
        <item x="270"/>
        <item x="328"/>
        <item x="437"/>
        <item x="293"/>
        <item x="520"/>
        <item x="501"/>
        <item x="229"/>
        <item x="601"/>
        <item x="321"/>
        <item x="332"/>
        <item x="492"/>
        <item x="259"/>
        <item x="14"/>
        <item x="458"/>
        <item x="269"/>
        <item x="182"/>
        <item x="130"/>
        <item x="216"/>
        <item x="363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590"/>
        <item x="316"/>
        <item x="510"/>
        <item x="612"/>
        <item x="530"/>
        <item x="343"/>
        <item x="73"/>
        <item x="419"/>
        <item x="386"/>
        <item x="489"/>
        <item x="32"/>
        <item x="241"/>
        <item x="136"/>
        <item x="446"/>
        <item x="30"/>
        <item x="518"/>
        <item x="325"/>
        <item x="309"/>
        <item x="301"/>
        <item x="143"/>
        <item x="421"/>
        <item x="92"/>
        <item x="564"/>
        <item x="504"/>
        <item x="246"/>
        <item x="610"/>
        <item x="11"/>
        <item x="158"/>
        <item x="185"/>
        <item x="470"/>
        <item x="289"/>
        <item x="615"/>
        <item x="558"/>
        <item x="41"/>
        <item x="70"/>
        <item x="43"/>
        <item x="623"/>
        <item x="616"/>
        <item x="545"/>
        <item x="123"/>
        <item x="78"/>
        <item x="515"/>
        <item x="502"/>
        <item x="416"/>
        <item x="22"/>
        <item x="549"/>
        <item x="62"/>
        <item x="4"/>
        <item x="154"/>
        <item x="312"/>
        <item x="197"/>
        <item x="380"/>
        <item x="527"/>
        <item x="274"/>
        <item x="393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576"/>
        <item x="65"/>
        <item x="250"/>
        <item x="163"/>
        <item x="349"/>
        <item x="244"/>
        <item x="449"/>
        <item x="104"/>
        <item x="450"/>
        <item x="265"/>
        <item x="441"/>
        <item x="299"/>
        <item x="364"/>
        <item x="630"/>
        <item x="167"/>
        <item x="381"/>
        <item x="105"/>
        <item x="145"/>
        <item x="430"/>
        <item x="433"/>
        <item x="399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281"/>
        <item x="8"/>
        <item x="455"/>
        <item x="359"/>
        <item x="148"/>
        <item x="595"/>
        <item x="200"/>
        <item x="38"/>
        <item x="170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50"/>
        <item x="335"/>
        <item x="469"/>
        <item x="317"/>
        <item x="351"/>
        <item x="499"/>
        <item x="228"/>
        <item x="371"/>
        <item x="402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427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204"/>
        <item x="300"/>
        <item x="144"/>
        <item x="16"/>
        <item x="324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99"/>
        <item x="329"/>
        <item x="188"/>
        <item x="336"/>
        <item x="207"/>
        <item x="339"/>
        <item x="487"/>
        <item x="607"/>
        <item x="159"/>
        <item x="273"/>
        <item x="219"/>
        <item x="423"/>
        <item x="153"/>
        <item x="56"/>
        <item x="550"/>
        <item x="111"/>
        <item x="340"/>
        <item x="622"/>
        <item x="426"/>
        <item x="226"/>
        <item x="542"/>
        <item x="496"/>
        <item x="310"/>
        <item x="195"/>
        <item x="442"/>
        <item x="414"/>
        <item x="173"/>
        <item x="55"/>
        <item x="548"/>
        <item x="142"/>
        <item x="374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42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57"/>
        <item x="624"/>
        <item x="512"/>
        <item x="557"/>
        <item x="537"/>
        <item x="592"/>
        <item x="100"/>
        <item x="319"/>
        <item x="199"/>
        <item x="396"/>
        <item x="392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493"/>
        <item x="172"/>
        <item x="286"/>
        <item x="298"/>
        <item x="96"/>
        <item x="586"/>
        <item x="389"/>
        <item x="54"/>
        <item x="83"/>
        <item x="247"/>
        <item x="631"/>
        <item x="119"/>
        <item x="575"/>
        <item x="89"/>
        <item x="572"/>
        <item x="418"/>
        <item x="106"/>
        <item x="177"/>
        <item x="7"/>
        <item x="517"/>
        <item x="532"/>
        <item x="282"/>
        <item x="354"/>
        <item x="263"/>
        <item x="243"/>
        <item x="51"/>
        <item x="531"/>
        <item x="109"/>
        <item x="305"/>
        <item x="461"/>
        <item x="341"/>
        <item x="221"/>
        <item x="620"/>
        <item x="291"/>
        <item x="311"/>
        <item x="108"/>
        <item x="602"/>
        <item x="230"/>
        <item x="490"/>
        <item x="551"/>
        <item x="127"/>
        <item x="519"/>
        <item x="445"/>
        <item x="323"/>
        <item x="476"/>
        <item x="464"/>
        <item x="582"/>
        <item x="391"/>
        <item x="347"/>
        <item x="26"/>
        <item x="621"/>
        <item x="217"/>
        <item x="330"/>
        <item x="326"/>
        <item x="460"/>
        <item x="116"/>
        <item x="211"/>
        <item x="412"/>
        <item x="128"/>
        <item x="124"/>
        <item x="174"/>
        <item x="466"/>
        <item x="344"/>
        <item x="463"/>
        <item x="597"/>
        <item x="245"/>
        <item x="139"/>
        <item x="113"/>
        <item x="570"/>
        <item x="169"/>
        <item x="87"/>
        <item x="28"/>
        <item x="526"/>
        <item x="232"/>
        <item x="608"/>
        <item x="318"/>
        <item x="257"/>
        <item x="609"/>
        <item x="565"/>
        <item x="439"/>
        <item x="114"/>
        <item x="5"/>
        <item x="508"/>
        <item x="579"/>
        <item x="6"/>
        <item x="297"/>
        <item x="434"/>
        <item x="481"/>
        <item x="334"/>
        <item x="222"/>
        <item x="133"/>
        <item x="495"/>
        <item x="627"/>
        <item x="403"/>
        <item x="0"/>
        <item x="258"/>
        <item x="82"/>
        <item x="584"/>
        <item x="581"/>
        <item x="546"/>
        <item x="53"/>
        <item x="327"/>
        <item x="511"/>
        <item x="296"/>
        <item x="239"/>
        <item x="231"/>
        <item x="57"/>
        <item x="436"/>
        <item x="304"/>
        <item x="39"/>
        <item x="604"/>
        <item x="254"/>
        <item x="443"/>
        <item x="370"/>
        <item x="491"/>
        <item x="194"/>
        <item x="378"/>
        <item x="307"/>
        <item x="277"/>
        <item x="240"/>
        <item x="233"/>
        <item x="598"/>
        <item x="293"/>
        <item x="486"/>
        <item x="71"/>
        <item x="178"/>
        <item x="103"/>
        <item x="248"/>
        <item x="488"/>
        <item x="156"/>
        <item x="12"/>
        <item x="130"/>
        <item x="571"/>
        <item x="79"/>
        <item x="350"/>
        <item x="118"/>
        <item x="308"/>
        <item x="186"/>
        <item x="458"/>
        <item x="462"/>
        <item x="410"/>
        <item x="182"/>
        <item x="328"/>
        <item x="432"/>
        <item x="358"/>
        <item x="483"/>
        <item x="285"/>
        <item x="513"/>
        <item x="563"/>
        <item x="161"/>
        <item x="498"/>
        <item x="369"/>
        <item x="599"/>
        <item x="594"/>
        <item x="314"/>
        <item x="171"/>
        <item x="59"/>
        <item x="524"/>
        <item x="437"/>
        <item x="332"/>
        <item x="46"/>
        <item x="69"/>
        <item x="191"/>
        <item x="141"/>
        <item x="509"/>
        <item x="338"/>
        <item x="137"/>
        <item x="179"/>
        <item x="74"/>
        <item x="214"/>
        <item x="616"/>
        <item x="279"/>
        <item x="90"/>
        <item x="447"/>
        <item x="158"/>
        <item x="540"/>
        <item x="373"/>
        <item x="315"/>
        <item x="201"/>
        <item x="227"/>
        <item x="446"/>
        <item x="473"/>
        <item x="206"/>
        <item x="218"/>
        <item x="27"/>
        <item x="470"/>
        <item x="271"/>
        <item x="525"/>
        <item x="408"/>
        <item x="578"/>
        <item x="43"/>
        <item x="146"/>
        <item x="502"/>
        <item x="168"/>
        <item x="331"/>
        <item x="183"/>
        <item x="309"/>
        <item x="503"/>
        <item x="596"/>
        <item x="543"/>
        <item x="3"/>
        <item x="88"/>
        <item x="386"/>
        <item x="75"/>
        <item x="270"/>
        <item x="262"/>
        <item x="301"/>
        <item x="32"/>
        <item x="489"/>
        <item x="349"/>
        <item x="193"/>
        <item x="485"/>
        <item x="333"/>
        <item x="25"/>
        <item x="102"/>
        <item x="274"/>
        <item x="94"/>
        <item x="37"/>
        <item x="131"/>
        <item x="589"/>
        <item x="593"/>
        <item x="145"/>
        <item x="163"/>
        <item x="520"/>
        <item x="368"/>
        <item x="558"/>
        <item x="316"/>
        <item x="92"/>
        <item x="544"/>
        <item x="33"/>
        <item x="630"/>
        <item x="220"/>
        <item x="250"/>
        <item x="518"/>
        <item x="398"/>
        <item x="152"/>
        <item x="430"/>
        <item x="35"/>
        <item x="477"/>
        <item x="580"/>
        <item x="450"/>
        <item x="62"/>
        <item x="561"/>
        <item x="536"/>
        <item x="533"/>
        <item x="595"/>
        <item x="417"/>
        <item x="15"/>
        <item x="433"/>
        <item x="101"/>
        <item x="238"/>
        <item x="212"/>
        <item x="515"/>
        <item x="104"/>
        <item x="312"/>
        <item x="294"/>
        <item x="361"/>
        <item x="78"/>
        <item x="162"/>
        <item x="269"/>
        <item x="421"/>
        <item x="197"/>
        <item x="41"/>
        <item x="411"/>
        <item x="22"/>
        <item x="241"/>
        <item x="164"/>
        <item x="143"/>
        <item x="268"/>
        <item x="343"/>
        <item x="129"/>
        <item x="345"/>
        <item x="283"/>
        <item x="189"/>
        <item x="577"/>
        <item x="419"/>
        <item x="216"/>
        <item x="453"/>
        <item x="98"/>
        <item x="523"/>
        <item x="559"/>
        <item x="281"/>
        <item x="472"/>
        <item x="8"/>
        <item x="325"/>
        <item x="405"/>
        <item x="615"/>
        <item x="507"/>
        <item x="52"/>
        <item x="198"/>
        <item x="246"/>
        <item x="70"/>
        <item x="425"/>
        <item x="155"/>
        <item x="413"/>
        <item x="367"/>
        <item x="30"/>
        <item x="530"/>
        <item x="549"/>
        <item x="275"/>
        <item x="136"/>
        <item x="612"/>
        <item x="176"/>
        <item x="457"/>
        <item x="499"/>
        <item x="359"/>
        <item x="527"/>
        <item x="623"/>
        <item x="154"/>
        <item x="535"/>
        <item x="510"/>
        <item x="451"/>
        <item x="67"/>
        <item x="564"/>
        <item x="610"/>
        <item x="541"/>
        <item x="185"/>
        <item x="494"/>
        <item x="342"/>
        <item x="68"/>
        <item x="321"/>
        <item x="303"/>
        <item x="605"/>
        <item x="504"/>
        <item x="415"/>
        <item x="335"/>
        <item x="455"/>
        <item x="538"/>
        <item x="363"/>
        <item x="601"/>
        <item x="14"/>
        <item x="290"/>
        <item x="148"/>
        <item x="380"/>
        <item x="93"/>
        <item x="295"/>
        <item x="147"/>
        <item x="287"/>
        <item x="13"/>
        <item x="249"/>
        <item x="404"/>
        <item x="492"/>
        <item x="467"/>
        <item x="210"/>
        <item x="320"/>
        <item x="280"/>
        <item x="441"/>
        <item x="4"/>
        <item x="591"/>
        <item x="611"/>
        <item x="255"/>
        <item x="267"/>
        <item x="23"/>
        <item x="393"/>
        <item x="229"/>
        <item x="261"/>
        <item x="366"/>
        <item x="394"/>
        <item x="547"/>
        <item x="545"/>
        <item x="500"/>
        <item x="20"/>
        <item x="576"/>
        <item x="29"/>
        <item x="399"/>
        <item x="21"/>
        <item x="440"/>
        <item x="225"/>
        <item x="452"/>
        <item x="474"/>
        <item x="123"/>
        <item x="428"/>
        <item x="420"/>
        <item x="324"/>
        <item x="38"/>
        <item x="469"/>
        <item x="614"/>
        <item x="24"/>
        <item x="259"/>
        <item x="364"/>
        <item x="251"/>
        <item x="50"/>
        <item x="381"/>
        <item x="121"/>
        <item x="444"/>
        <item x="115"/>
        <item x="590"/>
        <item x="209"/>
        <item x="228"/>
        <item x="204"/>
        <item x="454"/>
        <item x="150"/>
        <item x="284"/>
        <item x="377"/>
        <item x="501"/>
        <item x="395"/>
        <item x="568"/>
        <item x="56"/>
        <item x="253"/>
        <item x="170"/>
        <item x="552"/>
        <item x="34"/>
        <item x="456"/>
        <item x="73"/>
        <item x="205"/>
        <item x="213"/>
        <item x="299"/>
        <item x="85"/>
        <item x="234"/>
        <item x="91"/>
        <item x="607"/>
        <item x="256"/>
        <item x="606"/>
        <item x="125"/>
        <item x="167"/>
        <item x="371"/>
        <item x="207"/>
        <item x="449"/>
        <item x="260"/>
        <item x="157"/>
        <item x="416"/>
        <item x="86"/>
        <item x="107"/>
        <item x="208"/>
        <item x="414"/>
        <item x="355"/>
        <item x="215"/>
        <item x="105"/>
        <item x="554"/>
        <item x="529"/>
        <item x="135"/>
        <item x="573"/>
        <item x="336"/>
        <item x="288"/>
        <item x="574"/>
        <item x="10"/>
        <item x="110"/>
        <item x="153"/>
        <item x="44"/>
        <item x="348"/>
        <item x="351"/>
        <item x="442"/>
        <item x="160"/>
        <item x="200"/>
        <item x="505"/>
        <item x="132"/>
        <item x="379"/>
        <item x="329"/>
        <item x="585"/>
        <item x="487"/>
        <item x="166"/>
        <item x="475"/>
        <item x="317"/>
        <item x="202"/>
        <item x="555"/>
        <item x="496"/>
        <item x="550"/>
        <item x="400"/>
        <item x="514"/>
        <item x="219"/>
        <item x="340"/>
        <item x="292"/>
        <item x="566"/>
        <item x="553"/>
        <item x="235"/>
        <item x="401"/>
        <item x="144"/>
        <item x="244"/>
        <item x="387"/>
        <item x="402"/>
        <item x="224"/>
        <item x="390"/>
        <item x="300"/>
        <item x="459"/>
        <item x="289"/>
        <item x="372"/>
        <item x="122"/>
        <item x="310"/>
        <item x="569"/>
        <item x="65"/>
        <item x="384"/>
        <item x="409"/>
        <item x="484"/>
        <item x="159"/>
        <item x="522"/>
        <item x="66"/>
        <item x="388"/>
        <item x="339"/>
        <item x="516"/>
        <item x="2"/>
        <item x="468"/>
        <item x="226"/>
        <item x="61"/>
        <item x="374"/>
        <item x="151"/>
        <item x="471"/>
        <item x="76"/>
        <item x="252"/>
        <item x="352"/>
        <item x="11"/>
        <item x="134"/>
        <item x="322"/>
        <item x="479"/>
        <item x="120"/>
        <item x="84"/>
        <item x="628"/>
        <item x="188"/>
        <item x="600"/>
        <item x="190"/>
        <item x="625"/>
        <item x="77"/>
        <item x="81"/>
        <item x="173"/>
        <item x="365"/>
        <item x="406"/>
        <item x="18"/>
        <item x="36"/>
        <item x="19"/>
        <item x="629"/>
        <item x="482"/>
        <item x="603"/>
        <item x="480"/>
        <item x="95"/>
        <item x="42"/>
        <item x="17"/>
        <item x="587"/>
        <item x="31"/>
        <item x="64"/>
        <item x="278"/>
        <item x="560"/>
        <item x="111"/>
        <item x="617"/>
        <item x="397"/>
        <item x="265"/>
        <item x="48"/>
        <item x="438"/>
        <item x="427"/>
        <item x="266"/>
        <item x="100"/>
        <item x="99"/>
        <item x="273"/>
        <item x="356"/>
        <item x="478"/>
        <item x="542"/>
        <item x="97"/>
        <item x="429"/>
        <item x="181"/>
        <item x="313"/>
        <item x="562"/>
        <item x="360"/>
        <item x="626"/>
        <item x="534"/>
        <item x="337"/>
        <item x="45"/>
        <item x="435"/>
        <item x="149"/>
        <item x="72"/>
        <item x="184"/>
        <item x="60"/>
        <item x="557"/>
        <item x="196"/>
        <item x="618"/>
        <item x="353"/>
        <item x="16"/>
        <item x="431"/>
        <item x="548"/>
        <item x="407"/>
        <item x="556"/>
        <item x="506"/>
        <item x="195"/>
        <item x="592"/>
        <item x="138"/>
        <item x="624"/>
        <item x="426"/>
        <item x="567"/>
        <item x="242"/>
        <item x="376"/>
        <item x="537"/>
        <item x="40"/>
        <item x="448"/>
        <item x="302"/>
        <item x="396"/>
        <item x="49"/>
        <item x="272"/>
        <item x="192"/>
        <item x="583"/>
        <item x="223"/>
        <item x="142"/>
        <item x="521"/>
        <item x="497"/>
        <item x="187"/>
        <item x="357"/>
        <item x="382"/>
        <item x="117"/>
        <item x="236"/>
        <item x="622"/>
        <item x="55"/>
        <item x="199"/>
        <item x="264"/>
        <item x="1"/>
        <item x="375"/>
        <item x="588"/>
        <item x="613"/>
        <item x="306"/>
        <item x="619"/>
        <item x="424"/>
        <item x="423"/>
        <item x="385"/>
        <item x="203"/>
        <item x="539"/>
        <item x="80"/>
        <item x="362"/>
        <item x="392"/>
        <item x="126"/>
        <item x="9"/>
        <item x="346"/>
        <item x="47"/>
        <item x="512"/>
        <item x="319"/>
        <item x="383"/>
        <item x="528"/>
        <item x="465"/>
        <item x="276"/>
        <item x="175"/>
        <item x="165"/>
        <item x="422"/>
        <item x="63"/>
        <item x="140"/>
        <item x="58"/>
        <item x="237"/>
        <item t="default"/>
      </items>
    </pivotField>
    <pivotField dataField="1" compact="0" numFmtId="44" showAll="0">
      <items count="633">
        <item x="1"/>
        <item x="385"/>
        <item x="626"/>
        <item x="265"/>
        <item x="11"/>
        <item x="560"/>
        <item x="132"/>
        <item x="134"/>
        <item x="423"/>
        <item x="289"/>
        <item x="497"/>
        <item x="58"/>
        <item x="501"/>
        <item x="187"/>
        <item x="65"/>
        <item x="125"/>
        <item x="192"/>
        <item x="407"/>
        <item x="150"/>
        <item x="244"/>
        <item x="259"/>
        <item x="73"/>
        <item x="72"/>
        <item x="388"/>
        <item x="590"/>
        <item x="229"/>
        <item x="416"/>
        <item x="152"/>
        <item x="477"/>
        <item x="492"/>
        <item x="98"/>
        <item x="361"/>
        <item x="2"/>
        <item x="196"/>
        <item x="52"/>
        <item x="617"/>
        <item x="363"/>
        <item x="622"/>
        <item x="404"/>
        <item x="601"/>
        <item x="605"/>
        <item x="105"/>
        <item x="397"/>
        <item x="14"/>
        <item x="146"/>
        <item x="131"/>
        <item x="384"/>
        <item x="540"/>
        <item x="338"/>
        <item x="193"/>
        <item x="321"/>
        <item x="66"/>
        <item x="432"/>
        <item x="27"/>
        <item x="449"/>
        <item x="427"/>
        <item x="543"/>
        <item x="167"/>
        <item x="224"/>
        <item x="55"/>
        <item x="303"/>
        <item x="373"/>
        <item x="457"/>
        <item x="166"/>
        <item x="81"/>
        <item x="122"/>
        <item x="114"/>
        <item x="101"/>
        <item x="94"/>
        <item x="408"/>
        <item x="593"/>
        <item x="116"/>
        <item x="3"/>
        <item x="252"/>
        <item x="268"/>
        <item x="434"/>
        <item x="411"/>
        <item x="323"/>
        <item x="299"/>
        <item x="333"/>
        <item x="238"/>
        <item x="201"/>
        <item x="36"/>
        <item x="68"/>
        <item x="137"/>
        <item x="390"/>
        <item x="230"/>
        <item x="177"/>
        <item x="179"/>
        <item x="74"/>
        <item x="87"/>
        <item x="53"/>
        <item x="519"/>
        <item x="127"/>
        <item x="631"/>
        <item x="123"/>
        <item x="574"/>
        <item x="139"/>
        <item x="54"/>
        <item x="476"/>
        <item x="200"/>
        <item x="109"/>
        <item x="298"/>
        <item x="286"/>
        <item x="112"/>
        <item x="212"/>
        <item x="609"/>
        <item x="180"/>
        <item x="263"/>
        <item x="532"/>
        <item x="96"/>
        <item x="51"/>
        <item x="106"/>
        <item x="35"/>
        <item x="172"/>
        <item x="531"/>
        <item x="493"/>
        <item x="311"/>
        <item x="561"/>
        <item x="575"/>
        <item x="285"/>
        <item x="85"/>
        <item x="275"/>
        <item x="282"/>
        <item x="216"/>
        <item x="485"/>
        <item x="243"/>
        <item x="7"/>
        <item x="83"/>
        <item x="586"/>
        <item x="89"/>
        <item x="221"/>
        <item x="119"/>
        <item x="389"/>
        <item x="358"/>
        <item x="602"/>
        <item x="461"/>
        <item x="526"/>
        <item x="247"/>
        <item x="418"/>
        <item x="620"/>
        <item x="15"/>
        <item x="291"/>
        <item x="257"/>
        <item x="59"/>
        <item x="198"/>
        <item x="545"/>
        <item x="462"/>
        <item x="248"/>
        <item x="572"/>
        <item x="460"/>
        <item x="463"/>
        <item x="341"/>
        <item x="211"/>
        <item x="269"/>
        <item x="517"/>
        <item x="369"/>
        <item x="174"/>
        <item x="510"/>
        <item x="86"/>
        <item x="6"/>
        <item x="580"/>
        <item x="113"/>
        <item x="606"/>
        <item x="354"/>
        <item x="227"/>
        <item x="26"/>
        <item x="307"/>
        <item x="169"/>
        <item x="490"/>
        <item x="155"/>
        <item x="402"/>
        <item x="124"/>
        <item x="190"/>
        <item x="582"/>
        <item x="412"/>
        <item x="439"/>
        <item x="447"/>
        <item x="464"/>
        <item x="383"/>
        <item x="608"/>
        <item x="39"/>
        <item x="350"/>
        <item x="612"/>
        <item x="488"/>
        <item x="511"/>
        <item x="530"/>
        <item x="297"/>
        <item x="108"/>
        <item x="314"/>
        <item x="318"/>
        <item x="551"/>
        <item x="232"/>
        <item x="194"/>
        <item x="445"/>
        <item x="305"/>
        <item x="162"/>
        <item x="618"/>
        <item x="16"/>
        <item x="4"/>
        <item x="217"/>
        <item x="520"/>
        <item x="317"/>
        <item x="347"/>
        <item x="393"/>
        <item x="133"/>
        <item x="189"/>
        <item x="239"/>
        <item x="75"/>
        <item x="536"/>
        <item x="327"/>
        <item x="326"/>
        <item x="417"/>
        <item x="513"/>
        <item x="234"/>
        <item x="621"/>
        <item x="370"/>
        <item x="10"/>
        <item x="340"/>
        <item x="364"/>
        <item x="381"/>
        <item x="504"/>
        <item x="128"/>
        <item x="136"/>
        <item x="571"/>
        <item x="584"/>
        <item x="186"/>
        <item x="401"/>
        <item x="466"/>
        <item x="483"/>
        <item x="235"/>
        <item x="598"/>
        <item x="330"/>
        <item x="240"/>
        <item x="564"/>
        <item x="391"/>
        <item x="30"/>
        <item x="168"/>
        <item x="215"/>
        <item x="245"/>
        <item x="270"/>
        <item x="218"/>
        <item x="610"/>
        <item x="578"/>
        <item x="566"/>
        <item x="79"/>
        <item x="296"/>
        <item x="351"/>
        <item x="343"/>
        <item x="185"/>
        <item x="410"/>
        <item x="161"/>
        <item x="576"/>
        <item x="206"/>
        <item x="597"/>
        <item x="508"/>
        <item x="12"/>
        <item x="246"/>
        <item x="344"/>
        <item x="570"/>
        <item x="170"/>
        <item x="591"/>
        <item x="294"/>
        <item x="599"/>
        <item x="258"/>
        <item x="380"/>
        <item x="554"/>
        <item x="271"/>
        <item x="308"/>
        <item x="5"/>
        <item x="419"/>
        <item x="579"/>
        <item x="325"/>
        <item x="486"/>
        <item x="395"/>
        <item x="57"/>
        <item x="623"/>
        <item x="28"/>
        <item x="400"/>
        <item x="222"/>
        <item x="208"/>
        <item x="249"/>
        <item x="565"/>
        <item x="233"/>
        <item x="546"/>
        <item x="524"/>
        <item x="495"/>
        <item x="154"/>
        <item x="241"/>
        <item x="0"/>
        <item x="262"/>
        <item x="481"/>
        <item x="118"/>
        <item x="328"/>
        <item x="399"/>
        <item x="334"/>
        <item x="70"/>
        <item x="596"/>
        <item x="428"/>
        <item x="549"/>
        <item x="615"/>
        <item x="365"/>
        <item x="84"/>
        <item x="627"/>
        <item x="143"/>
        <item x="604"/>
        <item x="25"/>
        <item x="316"/>
        <item x="441"/>
        <item x="527"/>
        <item x="403"/>
        <item x="46"/>
        <item x="103"/>
        <item x="421"/>
        <item x="436"/>
        <item x="82"/>
        <item x="332"/>
        <item x="184"/>
        <item x="503"/>
        <item x="277"/>
        <item x="494"/>
        <item x="231"/>
        <item x="44"/>
        <item x="142"/>
        <item x="443"/>
        <item x="437"/>
        <item x="377"/>
        <item x="525"/>
        <item x="304"/>
        <item x="183"/>
        <item x="214"/>
        <item x="71"/>
        <item x="331"/>
        <item x="50"/>
        <item x="284"/>
        <item x="518"/>
        <item x="78"/>
        <item x="473"/>
        <item x="41"/>
        <item x="406"/>
        <item x="387"/>
        <item x="90"/>
        <item x="420"/>
        <item x="371"/>
        <item x="151"/>
        <item x="378"/>
        <item x="581"/>
        <item x="438"/>
        <item x="254"/>
        <item x="22"/>
        <item x="491"/>
        <item x="141"/>
        <item x="38"/>
        <item x="92"/>
        <item x="426"/>
        <item x="489"/>
        <item x="147"/>
        <item x="509"/>
        <item x="32"/>
        <item x="386"/>
        <item x="515"/>
        <item x="315"/>
        <item x="182"/>
        <item x="99"/>
        <item x="178"/>
        <item x="156"/>
        <item x="458"/>
        <item x="301"/>
        <item x="435"/>
        <item x="197"/>
        <item x="553"/>
        <item x="558"/>
        <item x="279"/>
        <item x="312"/>
        <item x="283"/>
        <item x="594"/>
        <item x="309"/>
        <item x="293"/>
        <item x="191"/>
        <item x="62"/>
        <item x="479"/>
        <item x="453"/>
        <item x="130"/>
        <item x="467"/>
        <item x="512"/>
        <item x="228"/>
        <item x="563"/>
        <item x="164"/>
        <item x="69"/>
        <item x="498"/>
        <item x="516"/>
        <item x="171"/>
        <item x="446"/>
        <item x="375"/>
        <item x="236"/>
        <item x="484"/>
        <item x="573"/>
        <item x="469"/>
        <item x="195"/>
        <item x="547"/>
        <item x="533"/>
        <item x="470"/>
        <item x="281"/>
        <item x="104"/>
        <item x="522"/>
        <item x="43"/>
        <item x="274"/>
        <item x="559"/>
        <item x="587"/>
        <item x="148"/>
        <item x="502"/>
        <item x="158"/>
        <item x="67"/>
        <item x="405"/>
        <item x="455"/>
        <item x="382"/>
        <item x="250"/>
        <item x="49"/>
        <item x="209"/>
        <item x="450"/>
        <item x="256"/>
        <item x="163"/>
        <item x="589"/>
        <item x="251"/>
        <item x="272"/>
        <item x="37"/>
        <item x="552"/>
        <item x="88"/>
        <item x="616"/>
        <item x="433"/>
        <item x="359"/>
        <item x="345"/>
        <item x="31"/>
        <item x="619"/>
        <item x="548"/>
        <item x="630"/>
        <item x="91"/>
        <item x="349"/>
        <item x="577"/>
        <item x="430"/>
        <item x="64"/>
        <item x="535"/>
        <item x="145"/>
        <item x="264"/>
        <item x="398"/>
        <item x="319"/>
        <item x="409"/>
        <item x="33"/>
        <item x="8"/>
        <item x="220"/>
        <item x="160"/>
        <item x="425"/>
        <item x="242"/>
        <item x="614"/>
        <item x="176"/>
        <item x="335"/>
        <item x="507"/>
        <item x="292"/>
        <item x="368"/>
        <item x="267"/>
        <item x="280"/>
        <item x="585"/>
        <item x="472"/>
        <item x="102"/>
        <item x="261"/>
        <item x="544"/>
        <item x="468"/>
        <item x="413"/>
        <item x="456"/>
        <item x="459"/>
        <item x="273"/>
        <item x="499"/>
        <item x="611"/>
        <item x="595"/>
        <item x="210"/>
        <item x="306"/>
        <item x="474"/>
        <item x="352"/>
        <item x="523"/>
        <item x="392"/>
        <item x="129"/>
        <item x="506"/>
        <item x="339"/>
        <item x="542"/>
        <item x="138"/>
        <item x="300"/>
        <item x="366"/>
        <item x="21"/>
        <item x="45"/>
        <item x="188"/>
        <item x="355"/>
        <item x="415"/>
        <item x="394"/>
        <item x="260"/>
        <item x="144"/>
        <item x="29"/>
        <item x="290"/>
        <item x="63"/>
        <item x="500"/>
        <item x="440"/>
        <item x="444"/>
        <item x="202"/>
        <item x="111"/>
        <item x="107"/>
        <item x="23"/>
        <item x="61"/>
        <item x="367"/>
        <item x="353"/>
        <item x="60"/>
        <item x="562"/>
        <item x="287"/>
        <item x="93"/>
        <item x="157"/>
        <item x="225"/>
        <item x="541"/>
        <item x="451"/>
        <item x="295"/>
        <item x="454"/>
        <item x="42"/>
        <item x="342"/>
        <item x="213"/>
        <item x="538"/>
        <item x="121"/>
        <item x="528"/>
        <item x="203"/>
        <item x="302"/>
        <item x="583"/>
        <item x="13"/>
        <item x="475"/>
        <item x="97"/>
        <item x="159"/>
        <item x="348"/>
        <item x="360"/>
        <item x="219"/>
        <item x="288"/>
        <item x="568"/>
        <item x="320"/>
        <item x="173"/>
        <item x="329"/>
        <item x="253"/>
        <item x="115"/>
        <item x="110"/>
        <item x="452"/>
        <item x="226"/>
        <item x="205"/>
        <item x="374"/>
        <item x="135"/>
        <item x="20"/>
        <item x="204"/>
        <item x="40"/>
        <item x="24"/>
        <item x="487"/>
        <item x="625"/>
        <item x="310"/>
        <item x="336"/>
        <item x="255"/>
        <item x="77"/>
        <item x="550"/>
        <item x="34"/>
        <item x="628"/>
        <item x="153"/>
        <item x="278"/>
        <item x="324"/>
        <item x="207"/>
        <item x="48"/>
        <item x="496"/>
        <item x="600"/>
        <item x="337"/>
        <item x="372"/>
        <item x="17"/>
        <item x="607"/>
        <item x="442"/>
        <item x="376"/>
        <item x="482"/>
        <item x="56"/>
        <item x="567"/>
        <item x="76"/>
        <item x="505"/>
        <item x="569"/>
        <item x="357"/>
        <item x="514"/>
        <item x="313"/>
        <item x="414"/>
        <item x="266"/>
        <item x="448"/>
        <item x="555"/>
        <item x="379"/>
        <item x="471"/>
        <item x="429"/>
        <item x="181"/>
        <item x="18"/>
        <item x="149"/>
        <item x="534"/>
        <item x="529"/>
        <item x="9"/>
        <item x="19"/>
        <item x="478"/>
        <item x="603"/>
        <item x="556"/>
        <item x="480"/>
        <item x="120"/>
        <item x="629"/>
        <item x="322"/>
        <item x="356"/>
        <item x="424"/>
        <item x="199"/>
        <item x="140"/>
        <item x="624"/>
        <item x="80"/>
        <item x="95"/>
        <item x="537"/>
        <item x="126"/>
        <item x="592"/>
        <item x="276"/>
        <item x="557"/>
        <item x="396"/>
        <item x="539"/>
        <item x="465"/>
        <item x="165"/>
        <item x="100"/>
        <item x="431"/>
        <item x="117"/>
        <item x="588"/>
        <item x="521"/>
        <item x="346"/>
        <item x="223"/>
        <item x="175"/>
        <item x="362"/>
        <item x="422"/>
        <item x="613"/>
        <item x="237"/>
        <item x="47"/>
        <item t="default"/>
      </items>
    </pivotField>
    <pivotField compact="0" numFmtId="44" showAll="0">
      <items count="633">
        <item x="1"/>
        <item x="385"/>
        <item x="11"/>
        <item x="626"/>
        <item x="132"/>
        <item x="265"/>
        <item x="289"/>
        <item x="501"/>
        <item x="560"/>
        <item x="134"/>
        <item x="150"/>
        <item x="125"/>
        <item x="259"/>
        <item x="152"/>
        <item x="477"/>
        <item x="361"/>
        <item x="65"/>
        <item x="146"/>
        <item x="98"/>
        <item x="338"/>
        <item x="540"/>
        <item x="73"/>
        <item x="432"/>
        <item x="116"/>
        <item x="229"/>
        <item x="52"/>
        <item x="131"/>
        <item x="114"/>
        <item x="323"/>
        <item x="177"/>
        <item x="298"/>
        <item x="631"/>
        <item x="193"/>
        <item x="112"/>
        <item x="180"/>
        <item x="286"/>
        <item x="54"/>
        <item x="230"/>
        <item x="96"/>
        <item x="172"/>
        <item x="493"/>
        <item x="109"/>
        <item x="519"/>
        <item x="532"/>
        <item x="127"/>
        <item x="263"/>
        <item x="106"/>
        <item x="27"/>
        <item x="492"/>
        <item x="244"/>
        <item x="531"/>
        <item x="434"/>
        <item x="575"/>
        <item x="590"/>
        <item x="51"/>
        <item x="476"/>
        <item x="586"/>
        <item x="282"/>
        <item x="83"/>
        <item x="389"/>
        <item x="311"/>
        <item x="119"/>
        <item x="89"/>
        <item x="7"/>
        <item x="87"/>
        <item x="243"/>
        <item x="247"/>
        <item x="221"/>
        <item x="139"/>
        <item x="418"/>
        <item x="605"/>
        <item x="461"/>
        <item x="602"/>
        <item x="373"/>
        <item x="620"/>
        <item x="601"/>
        <item x="572"/>
        <item x="291"/>
        <item x="543"/>
        <item x="609"/>
        <item x="53"/>
        <item x="404"/>
        <item x="14"/>
        <item x="517"/>
        <item x="341"/>
        <item x="354"/>
        <item x="460"/>
        <item x="526"/>
        <item x="416"/>
        <item x="211"/>
        <item x="408"/>
        <item x="463"/>
        <item x="490"/>
        <item x="257"/>
        <item x="363"/>
        <item x="321"/>
        <item x="174"/>
        <item x="26"/>
        <item x="113"/>
        <item x="582"/>
        <item x="3"/>
        <item x="94"/>
        <item x="179"/>
        <item x="124"/>
        <item x="412"/>
        <item x="169"/>
        <item x="108"/>
        <item x="464"/>
        <item x="593"/>
        <item x="285"/>
        <item x="305"/>
        <item x="551"/>
        <item x="201"/>
        <item x="6"/>
        <item x="137"/>
        <item x="445"/>
        <item x="101"/>
        <item x="248"/>
        <item x="333"/>
        <item x="358"/>
        <item x="388"/>
        <item x="439"/>
        <item x="608"/>
        <item x="462"/>
        <item x="217"/>
        <item x="347"/>
        <item x="307"/>
        <item x="318"/>
        <item x="232"/>
        <item x="59"/>
        <item x="297"/>
        <item x="303"/>
        <item x="326"/>
        <item x="39"/>
        <item x="268"/>
        <item x="411"/>
        <item x="621"/>
        <item x="457"/>
        <item x="238"/>
        <item x="511"/>
        <item x="369"/>
        <item x="128"/>
        <item x="350"/>
        <item x="488"/>
        <item x="466"/>
        <item x="330"/>
        <item x="485"/>
        <item x="391"/>
        <item x="133"/>
        <item x="194"/>
        <item x="35"/>
        <item x="74"/>
        <item x="212"/>
        <item x="561"/>
        <item x="245"/>
        <item x="239"/>
        <item x="327"/>
        <item x="227"/>
        <item x="584"/>
        <item x="314"/>
        <item x="370"/>
        <item x="597"/>
        <item x="15"/>
        <item x="68"/>
        <item x="598"/>
        <item x="344"/>
        <item x="216"/>
        <item x="571"/>
        <item x="570"/>
        <item x="240"/>
        <item x="186"/>
        <item x="2"/>
        <item x="513"/>
        <item x="296"/>
        <item x="508"/>
        <item x="580"/>
        <item x="483"/>
        <item x="275"/>
        <item x="407"/>
        <item x="449"/>
        <item x="269"/>
        <item x="79"/>
        <item x="198"/>
        <item x="447"/>
        <item x="497"/>
        <item x="5"/>
        <item x="258"/>
        <item x="12"/>
        <item x="28"/>
        <item x="105"/>
        <item x="410"/>
        <item x="579"/>
        <item x="75"/>
        <item x="161"/>
        <item x="384"/>
        <item x="520"/>
        <item x="565"/>
        <item x="123"/>
        <item x="222"/>
        <item x="57"/>
        <item x="155"/>
        <item x="510"/>
        <item x="218"/>
        <item x="72"/>
        <item x="168"/>
        <item x="308"/>
        <item x="486"/>
        <item x="578"/>
        <item x="162"/>
        <item x="536"/>
        <item x="495"/>
        <item x="546"/>
        <item x="599"/>
        <item x="167"/>
        <item x="417"/>
        <item x="270"/>
        <item x="206"/>
        <item x="612"/>
        <item x="233"/>
        <item x="481"/>
        <item x="530"/>
        <item x="189"/>
        <item x="0"/>
        <item x="192"/>
        <item x="299"/>
        <item x="545"/>
        <item x="423"/>
        <item x="334"/>
        <item x="617"/>
        <item x="66"/>
        <item x="166"/>
        <item x="271"/>
        <item x="118"/>
        <item x="627"/>
        <item x="524"/>
        <item x="187"/>
        <item x="224"/>
        <item x="604"/>
        <item x="403"/>
        <item x="136"/>
        <item x="82"/>
        <item x="397"/>
        <item x="85"/>
        <item x="436"/>
        <item x="504"/>
        <item x="30"/>
        <item x="4"/>
        <item x="103"/>
        <item x="122"/>
        <item x="564"/>
        <item x="574"/>
        <item x="294"/>
        <item x="610"/>
        <item x="231"/>
        <item x="277"/>
        <item x="200"/>
        <item x="343"/>
        <item x="443"/>
        <item x="185"/>
        <item x="262"/>
        <item x="304"/>
        <item x="46"/>
        <item x="419"/>
        <item x="196"/>
        <item x="596"/>
        <item x="606"/>
        <item x="390"/>
        <item x="325"/>
        <item x="86"/>
        <item x="393"/>
        <item x="71"/>
        <item x="364"/>
        <item x="25"/>
        <item x="81"/>
        <item x="252"/>
        <item x="437"/>
        <item x="246"/>
        <item x="381"/>
        <item x="581"/>
        <item x="241"/>
        <item x="623"/>
        <item x="332"/>
        <item x="576"/>
        <item x="316"/>
        <item x="380"/>
        <item x="378"/>
        <item x="591"/>
        <item x="254"/>
        <item x="214"/>
        <item x="503"/>
        <item x="525"/>
        <item x="491"/>
        <item x="328"/>
        <item x="143"/>
        <item x="234"/>
        <item x="70"/>
        <item x="154"/>
        <item x="183"/>
        <item x="615"/>
        <item x="249"/>
        <item x="473"/>
        <item x="421"/>
        <item x="36"/>
        <item x="331"/>
        <item x="549"/>
        <item x="178"/>
        <item x="90"/>
        <item x="156"/>
        <item x="402"/>
        <item x="182"/>
        <item x="141"/>
        <item x="458"/>
        <item x="215"/>
        <item x="509"/>
        <item x="317"/>
        <item x="527"/>
        <item x="518"/>
        <item x="10"/>
        <item x="293"/>
        <item x="399"/>
        <item x="315"/>
        <item x="41"/>
        <item x="395"/>
        <item x="130"/>
        <item x="489"/>
        <item x="441"/>
        <item x="594"/>
        <item x="494"/>
        <item x="32"/>
        <item x="428"/>
        <item x="386"/>
        <item x="279"/>
        <item x="351"/>
        <item x="92"/>
        <item x="235"/>
        <item x="401"/>
        <item x="191"/>
        <item x="170"/>
        <item x="554"/>
        <item x="190"/>
        <item x="22"/>
        <item x="301"/>
        <item x="78"/>
        <item x="563"/>
        <item x="208"/>
        <item x="566"/>
        <item x="498"/>
        <item x="515"/>
        <item x="69"/>
        <item x="309"/>
        <item x="558"/>
        <item x="171"/>
        <item x="197"/>
        <item x="62"/>
        <item x="312"/>
        <item x="446"/>
        <item x="400"/>
        <item x="283"/>
        <item x="147"/>
        <item x="377"/>
        <item x="622"/>
        <item x="453"/>
        <item x="420"/>
        <item x="164"/>
        <item x="284"/>
        <item x="470"/>
        <item x="427"/>
        <item x="38"/>
        <item x="43"/>
        <item x="158"/>
        <item x="502"/>
        <item x="44"/>
        <item x="533"/>
        <item x="274"/>
        <item x="467"/>
        <item x="371"/>
        <item x="104"/>
        <item x="618"/>
        <item x="616"/>
        <item x="84"/>
        <item x="250"/>
        <item x="559"/>
        <item x="16"/>
        <item x="365"/>
        <item x="589"/>
        <item x="163"/>
        <item x="55"/>
        <item x="37"/>
        <item x="450"/>
        <item x="50"/>
        <item x="88"/>
        <item x="405"/>
        <item x="228"/>
        <item x="387"/>
        <item x="67"/>
        <item x="547"/>
        <item x="349"/>
        <item x="469"/>
        <item x="148"/>
        <item x="433"/>
        <item x="455"/>
        <item x="630"/>
        <item x="430"/>
        <item x="345"/>
        <item x="151"/>
        <item x="553"/>
        <item x="145"/>
        <item x="577"/>
        <item x="406"/>
        <item x="398"/>
        <item x="359"/>
        <item x="33"/>
        <item x="573"/>
        <item x="535"/>
        <item x="220"/>
        <item x="251"/>
        <item x="209"/>
        <item x="184"/>
        <item x="438"/>
        <item x="281"/>
        <item x="8"/>
        <item x="368"/>
        <item x="479"/>
        <item x="516"/>
        <item x="102"/>
        <item x="425"/>
        <item x="256"/>
        <item x="552"/>
        <item x="484"/>
        <item x="544"/>
        <item x="176"/>
        <item x="507"/>
        <item x="335"/>
        <item x="472"/>
        <item x="91"/>
        <item x="522"/>
        <item x="595"/>
        <item x="413"/>
        <item x="435"/>
        <item x="267"/>
        <item x="614"/>
        <item x="280"/>
        <item x="499"/>
        <item x="261"/>
        <item x="523"/>
        <item x="587"/>
        <item x="142"/>
        <item x="129"/>
        <item x="611"/>
        <item x="426"/>
        <item x="210"/>
        <item x="160"/>
        <item x="409"/>
        <item x="474"/>
        <item x="456"/>
        <item x="31"/>
        <item x="585"/>
        <item x="64"/>
        <item x="292"/>
        <item x="99"/>
        <item x="195"/>
        <item x="415"/>
        <item x="366"/>
        <item x="21"/>
        <item x="290"/>
        <item x="394"/>
        <item x="459"/>
        <item x="468"/>
        <item x="29"/>
        <item x="367"/>
        <item x="58"/>
        <item x="500"/>
        <item x="23"/>
        <item x="440"/>
        <item x="383"/>
        <item x="548"/>
        <item x="260"/>
        <item x="287"/>
        <item x="355"/>
        <item x="444"/>
        <item x="541"/>
        <item x="93"/>
        <item x="352"/>
        <item x="49"/>
        <item x="236"/>
        <item x="451"/>
        <item x="272"/>
        <item x="295"/>
        <item x="300"/>
        <item x="375"/>
        <item x="273"/>
        <item x="342"/>
        <item x="107"/>
        <item x="225"/>
        <item x="538"/>
        <item x="144"/>
        <item x="382"/>
        <item x="202"/>
        <item x="242"/>
        <item x="454"/>
        <item x="157"/>
        <item x="188"/>
        <item x="121"/>
        <item x="542"/>
        <item x="13"/>
        <item x="213"/>
        <item x="61"/>
        <item x="320"/>
        <item x="111"/>
        <item x="264"/>
        <item x="45"/>
        <item x="619"/>
        <item x="506"/>
        <item x="452"/>
        <item x="568"/>
        <item x="339"/>
        <item x="115"/>
        <item x="138"/>
        <item x="475"/>
        <item x="253"/>
        <item x="20"/>
        <item x="348"/>
        <item x="288"/>
        <item x="562"/>
        <item x="60"/>
        <item x="512"/>
        <item x="24"/>
        <item x="353"/>
        <item x="204"/>
        <item x="205"/>
        <item x="329"/>
        <item x="159"/>
        <item x="110"/>
        <item x="255"/>
        <item x="135"/>
        <item x="306"/>
        <item x="226"/>
        <item x="173"/>
        <item x="487"/>
        <item x="336"/>
        <item x="97"/>
        <item x="34"/>
        <item x="324"/>
        <item x="219"/>
        <item x="550"/>
        <item x="360"/>
        <item x="310"/>
        <item x="340"/>
        <item x="207"/>
        <item x="319"/>
        <item x="153"/>
        <item x="625"/>
        <item x="374"/>
        <item x="302"/>
        <item x="77"/>
        <item x="496"/>
        <item x="583"/>
        <item x="628"/>
        <item x="607"/>
        <item x="372"/>
        <item x="278"/>
        <item x="42"/>
        <item x="600"/>
        <item x="56"/>
        <item x="48"/>
        <item x="442"/>
        <item x="40"/>
        <item x="17"/>
        <item x="203"/>
        <item x="505"/>
        <item x="414"/>
        <item x="337"/>
        <item x="514"/>
        <item x="569"/>
        <item x="482"/>
        <item x="76"/>
        <item x="379"/>
        <item x="555"/>
        <item x="529"/>
        <item x="471"/>
        <item x="266"/>
        <item x="313"/>
        <item x="528"/>
        <item x="376"/>
        <item x="18"/>
        <item x="567"/>
        <item x="429"/>
        <item x="181"/>
        <item x="19"/>
        <item x="448"/>
        <item x="149"/>
        <item x="534"/>
        <item x="603"/>
        <item x="478"/>
        <item x="357"/>
        <item x="120"/>
        <item x="480"/>
        <item x="322"/>
        <item x="629"/>
        <item x="556"/>
        <item x="356"/>
        <item x="392"/>
        <item x="63"/>
        <item x="95"/>
        <item x="9"/>
        <item x="624"/>
        <item x="537"/>
        <item x="199"/>
        <item x="424"/>
        <item x="592"/>
        <item x="557"/>
        <item x="80"/>
        <item x="126"/>
        <item x="396"/>
        <item x="100"/>
        <item x="539"/>
        <item x="431"/>
        <item x="140"/>
        <item x="276"/>
        <item x="117"/>
        <item x="521"/>
        <item x="588"/>
        <item x="465"/>
        <item x="165"/>
        <item x="223"/>
        <item x="346"/>
        <item x="362"/>
        <item x="175"/>
        <item x="613"/>
        <item x="422"/>
        <item x="47"/>
        <item x="237"/>
        <item t="default"/>
      </items>
    </pivotField>
    <pivotField compact="0" showAll="0">
      <items count="633">
        <item x="1"/>
        <item x="132"/>
        <item x="11"/>
        <item x="116"/>
        <item x="501"/>
        <item x="626"/>
        <item x="385"/>
        <item x="265"/>
        <item x="152"/>
        <item x="177"/>
        <item x="289"/>
        <item x="477"/>
        <item x="150"/>
        <item x="298"/>
        <item x="560"/>
        <item x="259"/>
        <item x="134"/>
        <item x="338"/>
        <item x="146"/>
        <item x="125"/>
        <item x="323"/>
        <item x="361"/>
        <item x="540"/>
        <item x="432"/>
        <item x="98"/>
        <item x="114"/>
        <item x="65"/>
        <item x="112"/>
        <item x="131"/>
        <item x="52"/>
        <item x="73"/>
        <item x="229"/>
        <item x="631"/>
        <item x="193"/>
        <item x="244"/>
        <item x="590"/>
        <item x="492"/>
        <item x="230"/>
        <item x="27"/>
        <item x="286"/>
        <item x="605"/>
        <item x="363"/>
        <item x="601"/>
        <item x="416"/>
        <item x="404"/>
        <item x="54"/>
        <item x="14"/>
        <item x="388"/>
        <item x="497"/>
        <item x="434"/>
        <item x="423"/>
        <item x="407"/>
        <item x="373"/>
        <item x="543"/>
        <item x="321"/>
        <item x="187"/>
        <item x="180"/>
        <item x="192"/>
        <item x="72"/>
        <item x="2"/>
        <item x="105"/>
        <item x="519"/>
        <item x="127"/>
        <item x="408"/>
        <item x="617"/>
        <item x="384"/>
        <item x="94"/>
        <item x="303"/>
        <item x="196"/>
        <item x="397"/>
        <item x="3"/>
        <item x="593"/>
        <item x="449"/>
        <item x="457"/>
        <item x="101"/>
        <item x="87"/>
        <item x="66"/>
        <item x="58"/>
        <item x="167"/>
        <item x="109"/>
        <item x="201"/>
        <item x="622"/>
        <item x="268"/>
        <item x="411"/>
        <item x="427"/>
        <item x="333"/>
        <item x="224"/>
        <item x="53"/>
        <item x="137"/>
        <item x="139"/>
        <item x="166"/>
        <item x="238"/>
        <item x="476"/>
        <item x="122"/>
        <item x="81"/>
        <item x="179"/>
        <item x="74"/>
        <item x="252"/>
        <item x="68"/>
        <item x="55"/>
        <item x="299"/>
        <item x="36"/>
        <item x="390"/>
        <item x="123"/>
        <item x="574"/>
        <item x="263"/>
        <item x="609"/>
        <item x="200"/>
        <item x="532"/>
        <item x="212"/>
        <item x="96"/>
        <item x="35"/>
        <item x="85"/>
        <item x="561"/>
        <item x="275"/>
        <item x="383"/>
        <item x="216"/>
        <item x="485"/>
        <item x="285"/>
        <item x="51"/>
        <item x="545"/>
        <item x="106"/>
        <item x="190"/>
        <item x="402"/>
        <item x="86"/>
        <item x="16"/>
        <item x="618"/>
        <item x="15"/>
        <item x="606"/>
        <item x="198"/>
        <item x="531"/>
        <item x="358"/>
        <item x="510"/>
        <item x="269"/>
        <item x="317"/>
        <item x="155"/>
        <item x="311"/>
        <item x="340"/>
        <item x="401"/>
        <item x="235"/>
        <item x="59"/>
        <item x="10"/>
        <item x="580"/>
        <item x="234"/>
        <item x="612"/>
        <item x="566"/>
        <item x="512"/>
        <item x="530"/>
        <item x="462"/>
        <item x="215"/>
        <item x="4"/>
        <item x="393"/>
        <item x="351"/>
        <item x="381"/>
        <item x="364"/>
        <item x="142"/>
        <item x="227"/>
        <item x="248"/>
        <item x="369"/>
        <item x="184"/>
        <item x="526"/>
        <item x="400"/>
        <item x="170"/>
        <item x="504"/>
        <item x="365"/>
        <item x="554"/>
        <item x="162"/>
        <item x="84"/>
        <item x="426"/>
        <item x="189"/>
        <item x="375"/>
        <item x="319"/>
        <item x="447"/>
        <item x="136"/>
        <item x="208"/>
        <item x="236"/>
        <item x="576"/>
        <item x="63"/>
        <item x="564"/>
        <item x="257"/>
        <item x="520"/>
        <item x="395"/>
        <item x="30"/>
        <item x="536"/>
        <item x="610"/>
        <item x="417"/>
        <item x="435"/>
        <item x="382"/>
        <item x="438"/>
        <item x="406"/>
        <item x="185"/>
        <item x="591"/>
        <item x="619"/>
        <item x="99"/>
        <item x="75"/>
        <item x="307"/>
        <item x="195"/>
        <item x="151"/>
        <item x="264"/>
        <item x="380"/>
        <item x="49"/>
        <item x="314"/>
        <item x="246"/>
        <item x="272"/>
        <item x="44"/>
        <item x="343"/>
        <item x="282"/>
        <item x="387"/>
        <item x="392"/>
        <item x="249"/>
        <item x="575"/>
        <item x="350"/>
        <item x="428"/>
        <item x="399"/>
        <item x="6"/>
        <item x="623"/>
        <item x="306"/>
        <item x="479"/>
        <item x="528"/>
        <item x="270"/>
        <item x="548"/>
        <item x="221"/>
        <item x="488"/>
        <item x="325"/>
        <item x="377"/>
        <item x="168"/>
        <item x="553"/>
        <item x="419"/>
        <item x="294"/>
        <item x="39"/>
        <item x="371"/>
        <item x="242"/>
        <item x="516"/>
        <item x="154"/>
        <item x="284"/>
        <item x="587"/>
        <item x="441"/>
        <item x="463"/>
        <item x="602"/>
        <item x="578"/>
        <item x="50"/>
        <item x="218"/>
        <item x="484"/>
        <item x="513"/>
        <item x="549"/>
        <item x="243"/>
        <item x="70"/>
        <item x="511"/>
        <item x="460"/>
        <item x="522"/>
        <item x="211"/>
        <item x="194"/>
        <item x="31"/>
        <item x="527"/>
        <item x="206"/>
        <item x="420"/>
        <item x="241"/>
        <item x="64"/>
        <item x="439"/>
        <item x="203"/>
        <item x="615"/>
        <item x="483"/>
        <item x="38"/>
        <item x="506"/>
        <item x="461"/>
        <item x="7"/>
        <item x="494"/>
        <item x="138"/>
        <item x="573"/>
        <item x="169"/>
        <item x="174"/>
        <item x="297"/>
        <item x="186"/>
        <item x="113"/>
        <item x="143"/>
        <item x="140"/>
        <item x="608"/>
        <item x="273"/>
        <item x="271"/>
        <item x="571"/>
        <item x="620"/>
        <item x="228"/>
        <item x="421"/>
        <item x="147"/>
        <item x="161"/>
        <item x="409"/>
        <item x="291"/>
        <item x="370"/>
        <item x="542"/>
        <item x="239"/>
        <item x="89"/>
        <item x="262"/>
        <item x="45"/>
        <item x="598"/>
        <item x="353"/>
        <item x="583"/>
        <item x="316"/>
        <item x="172"/>
        <item x="327"/>
        <item x="302"/>
        <item x="410"/>
        <item x="60"/>
        <item x="318"/>
        <item x="133"/>
        <item x="596"/>
        <item x="468"/>
        <item x="240"/>
        <item x="25"/>
        <item x="469"/>
        <item x="256"/>
        <item x="599"/>
        <item x="467"/>
        <item x="79"/>
        <item x="124"/>
        <item x="562"/>
        <item x="232"/>
        <item x="41"/>
        <item x="352"/>
        <item x="119"/>
        <item x="292"/>
        <item x="552"/>
        <item x="78"/>
        <item x="160"/>
        <item x="9"/>
        <item x="91"/>
        <item x="459"/>
        <item x="209"/>
        <item x="276"/>
        <item x="584"/>
        <item x="40"/>
        <item x="412"/>
        <item x="26"/>
        <item x="111"/>
        <item x="547"/>
        <item x="22"/>
        <item x="12"/>
        <item x="585"/>
        <item x="339"/>
        <item x="188"/>
        <item x="518"/>
        <item x="83"/>
        <item x="251"/>
        <item x="524"/>
        <item x="503"/>
        <item x="418"/>
        <item x="360"/>
        <item x="97"/>
        <item x="515"/>
        <item x="357"/>
        <item x="296"/>
        <item x="308"/>
        <item x="300"/>
        <item x="283"/>
        <item x="42"/>
        <item x="197"/>
        <item x="61"/>
        <item x="183"/>
        <item x="465"/>
        <item x="453"/>
        <item x="165"/>
        <item x="341"/>
        <item x="148"/>
        <item x="92"/>
        <item x="144"/>
        <item x="331"/>
        <item x="582"/>
        <item x="312"/>
        <item x="525"/>
        <item x="455"/>
        <item x="126"/>
        <item x="456"/>
        <item x="376"/>
        <item x="164"/>
        <item x="328"/>
        <item x="46"/>
        <item x="486"/>
        <item x="614"/>
        <item x="67"/>
        <item x="424"/>
        <item x="489"/>
        <item x="464"/>
        <item x="567"/>
        <item x="332"/>
        <item x="448"/>
        <item x="558"/>
        <item x="80"/>
        <item x="32"/>
        <item x="202"/>
        <item x="62"/>
        <item x="490"/>
        <item x="473"/>
        <item x="386"/>
        <item x="173"/>
        <item x="337"/>
        <item x="237"/>
        <item x="247"/>
        <item x="355"/>
        <item x="281"/>
        <item x="214"/>
        <item x="301"/>
        <item x="233"/>
        <item x="199"/>
        <item x="559"/>
        <item x="118"/>
        <item x="260"/>
        <item x="405"/>
        <item x="359"/>
        <item x="159"/>
        <item x="90"/>
        <item x="175"/>
        <item x="57"/>
        <item x="48"/>
        <item x="508"/>
        <item x="437"/>
        <item x="625"/>
        <item x="267"/>
        <item x="107"/>
        <item x="226"/>
        <item x="258"/>
        <item x="535"/>
        <item x="374"/>
        <item x="261"/>
        <item x="278"/>
        <item x="77"/>
        <item x="309"/>
        <item x="104"/>
        <item x="533"/>
        <item x="280"/>
        <item x="474"/>
        <item x="313"/>
        <item x="219"/>
        <item x="628"/>
        <item x="315"/>
        <item x="556"/>
        <item x="475"/>
        <item x="157"/>
        <item x="335"/>
        <item x="611"/>
        <item x="17"/>
        <item x="600"/>
        <item x="539"/>
        <item x="141"/>
        <item x="348"/>
        <item x="149"/>
        <item x="345"/>
        <item x="546"/>
        <item x="181"/>
        <item x="429"/>
        <item x="210"/>
        <item x="310"/>
        <item x="509"/>
        <item x="329"/>
        <item x="577"/>
        <item x="176"/>
        <item x="534"/>
        <item x="266"/>
        <item x="444"/>
        <item x="217"/>
        <item x="422"/>
        <item x="425"/>
        <item x="103"/>
        <item x="572"/>
        <item x="579"/>
        <item x="128"/>
        <item x="213"/>
        <item x="288"/>
        <item x="110"/>
        <item x="346"/>
        <item x="222"/>
        <item x="279"/>
        <item x="21"/>
        <item x="466"/>
        <item x="5"/>
        <item x="482"/>
        <item x="537"/>
        <item x="450"/>
        <item x="250"/>
        <item x="624"/>
        <item x="366"/>
        <item x="274"/>
        <item x="347"/>
        <item x="8"/>
        <item x="454"/>
        <item x="433"/>
        <item x="495"/>
        <item x="29"/>
        <item x="517"/>
        <item x="487"/>
        <item x="394"/>
        <item x="550"/>
        <item x="326"/>
        <item x="586"/>
        <item x="507"/>
        <item x="440"/>
        <item x="163"/>
        <item x="478"/>
        <item x="604"/>
        <item x="413"/>
        <item x="245"/>
        <item x="499"/>
        <item x="135"/>
        <item x="0"/>
        <item x="551"/>
        <item x="389"/>
        <item x="500"/>
        <item x="445"/>
        <item x="372"/>
        <item x="76"/>
        <item x="446"/>
        <item x="589"/>
        <item x="592"/>
        <item x="191"/>
        <item x="430"/>
        <item x="121"/>
        <item x="277"/>
        <item x="630"/>
        <item x="496"/>
        <item x="472"/>
        <item x="37"/>
        <item x="18"/>
        <item x="23"/>
        <item x="336"/>
        <item x="568"/>
        <item x="481"/>
        <item x="253"/>
        <item x="621"/>
        <item x="153"/>
        <item x="225"/>
        <item x="436"/>
        <item x="43"/>
        <item x="182"/>
        <item x="588"/>
        <item x="396"/>
        <item x="470"/>
        <item x="398"/>
        <item x="565"/>
        <item x="205"/>
        <item x="502"/>
        <item x="71"/>
        <item x="334"/>
        <item x="594"/>
        <item x="108"/>
        <item x="69"/>
        <item x="471"/>
        <item x="570"/>
        <item x="354"/>
        <item x="356"/>
        <item x="569"/>
        <item x="290"/>
        <item x="117"/>
        <item x="19"/>
        <item x="415"/>
        <item x="145"/>
        <item x="603"/>
        <item x="33"/>
        <item x="627"/>
        <item x="88"/>
        <item x="493"/>
        <item x="443"/>
        <item x="349"/>
        <item x="480"/>
        <item x="28"/>
        <item x="115"/>
        <item x="458"/>
        <item x="597"/>
        <item x="82"/>
        <item x="220"/>
        <item x="287"/>
        <item x="523"/>
        <item x="403"/>
        <item x="204"/>
        <item x="629"/>
        <item x="330"/>
        <item x="442"/>
        <item x="362"/>
        <item x="231"/>
        <item x="171"/>
        <item x="563"/>
        <item x="93"/>
        <item x="557"/>
        <item x="207"/>
        <item x="34"/>
        <item x="514"/>
        <item x="158"/>
        <item x="498"/>
        <item x="304"/>
        <item x="120"/>
        <item x="295"/>
        <item x="505"/>
        <item x="368"/>
        <item x="344"/>
        <item x="129"/>
        <item x="521"/>
        <item x="555"/>
        <item x="322"/>
        <item x="378"/>
        <item x="24"/>
        <item x="544"/>
        <item x="452"/>
        <item x="156"/>
        <item x="391"/>
        <item x="595"/>
        <item x="379"/>
        <item x="367"/>
        <item x="607"/>
        <item x="95"/>
        <item x="178"/>
        <item x="541"/>
        <item x="538"/>
        <item x="13"/>
        <item x="491"/>
        <item x="451"/>
        <item x="342"/>
        <item x="102"/>
        <item x="254"/>
        <item x="320"/>
        <item x="20"/>
        <item x="414"/>
        <item x="616"/>
        <item x="431"/>
        <item x="130"/>
        <item x="223"/>
        <item x="56"/>
        <item x="324"/>
        <item x="293"/>
        <item x="305"/>
        <item x="581"/>
        <item x="613"/>
        <item x="529"/>
        <item x="255"/>
        <item x="100"/>
        <item x="47"/>
        <item t="default"/>
      </items>
    </pivotField>
    <pivotField compact="0" defaultSubtotal="0" showAll="0">
      <items count="5">
        <item x="0"/>
        <item x="4"/>
        <item x="1"/>
        <item x="2"/>
        <item x="3"/>
      </items>
    </pivotField>
  </pivotFields>
  <rowFields count="2">
    <field x="9"/>
    <field x="13"/>
  </rowFields>
  <rowItems count="29">
    <i>
      <x/>
    </i>
    <i r="1">
      <x/>
    </i>
    <i r="1">
      <x v="1"/>
    </i>
    <i r="1">
      <x v="2"/>
    </i>
    <i r="1">
      <x v="3"/>
    </i>
    <i r="1">
      <x v="4"/>
    </i>
    <i r="1">
      <x v="5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Gross Profit" fld="30" baseField="0" baseItem="0"/>
  </dataFields>
  <formats count="3">
    <format dxfId="450">
      <pivotArea collapsedLevelsAreSubtotals="1" fieldPosition="0"/>
    </format>
    <format dxfId="451">
      <pivotArea collapsedLevelsAreSubtotals="1" fieldPosition="0"/>
    </format>
    <format dxfId="452">
      <pivotArea grandRow="1" collapsedLevelsAreSubtotals="1" fieldPosition="0"/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1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 chartFormat="6">
  <location ref="A3:B14" firstHeaderRow="1" firstDataRow="1" firstDataCol="1"/>
  <pivotFields count="34">
    <pivotField compact="0" showAll="0">
      <items count="632">
        <item x="605"/>
        <item x="449"/>
        <item x="7"/>
        <item x="518"/>
        <item x="573"/>
        <item x="46"/>
        <item x="367"/>
        <item x="201"/>
        <item x="551"/>
        <item x="324"/>
        <item x="438"/>
        <item x="166"/>
        <item x="80"/>
        <item x="361"/>
        <item x="328"/>
        <item x="300"/>
        <item x="453"/>
        <item x="577"/>
        <item x="193"/>
        <item x="122"/>
        <item x="332"/>
        <item x="439"/>
        <item x="457"/>
        <item x="148"/>
        <item x="224"/>
        <item x="190"/>
        <item x="347"/>
        <item x="278"/>
        <item x="350"/>
        <item x="535"/>
        <item x="54"/>
        <item x="65"/>
        <item x="163"/>
        <item x="470"/>
        <item x="580"/>
        <item x="625"/>
        <item x="106"/>
        <item x="269"/>
        <item x="256"/>
        <item x="89"/>
        <item x="339"/>
        <item x="24"/>
        <item x="220"/>
        <item x="281"/>
        <item x="250"/>
        <item x="376"/>
        <item x="540"/>
        <item x="172"/>
        <item x="225"/>
        <item x="78"/>
        <item x="49"/>
        <item x="603"/>
        <item x="226"/>
        <item x="168"/>
        <item x="45"/>
        <item x="144"/>
        <item x="183"/>
        <item x="574"/>
        <item x="81"/>
        <item x="512"/>
        <item x="562"/>
        <item x="315"/>
        <item x="391"/>
        <item x="288"/>
        <item x="272"/>
        <item x="2"/>
        <item x="92"/>
        <item x="292"/>
        <item x="434"/>
        <item x="585"/>
        <item x="199"/>
        <item x="74"/>
        <item x="363"/>
        <item x="204"/>
        <item x="185"/>
        <item x="497"/>
        <item x="52"/>
        <item x="99"/>
        <item x="118"/>
        <item x="132"/>
        <item x="215"/>
        <item x="495"/>
        <item x="171"/>
        <item x="613"/>
        <item x="543"/>
        <item x="629"/>
        <item x="520"/>
        <item x="547"/>
        <item x="255"/>
        <item x="351"/>
        <item x="64"/>
        <item x="546"/>
        <item x="151"/>
        <item x="223"/>
        <item x="615"/>
        <item x="239"/>
        <item x="260"/>
        <item x="129"/>
        <item x="532"/>
        <item x="326"/>
        <item x="459"/>
        <item x="371"/>
        <item x="66"/>
        <item x="626"/>
        <item x="604"/>
        <item x="624"/>
        <item x="31"/>
        <item x="515"/>
        <item x="477"/>
        <item x="344"/>
        <item x="499"/>
        <item x="197"/>
        <item x="121"/>
        <item x="445"/>
        <item x="455"/>
        <item x="202"/>
        <item x="474"/>
        <item x="301"/>
        <item x="382"/>
        <item x="152"/>
        <item x="485"/>
        <item x="296"/>
        <item x="124"/>
        <item x="229"/>
        <item x="478"/>
        <item x="284"/>
        <item x="137"/>
        <item x="216"/>
        <item x="387"/>
        <item x="591"/>
        <item x="316"/>
        <item x="537"/>
        <item x="419"/>
        <item x="261"/>
        <item x="266"/>
        <item x="259"/>
        <item x="528"/>
        <item x="39"/>
        <item x="213"/>
        <item x="431"/>
        <item x="337"/>
        <item x="176"/>
        <item x="609"/>
        <item x="291"/>
        <item x="408"/>
        <item x="384"/>
        <item x="596"/>
        <item x="526"/>
        <item x="198"/>
        <item x="460"/>
        <item x="221"/>
        <item x="576"/>
        <item x="279"/>
        <item x="75"/>
        <item x="5"/>
        <item x="589"/>
        <item x="466"/>
        <item x="412"/>
        <item x="349"/>
        <item x="501"/>
        <item x="243"/>
        <item x="68"/>
        <item x="436"/>
        <item x="619"/>
        <item x="340"/>
        <item x="444"/>
        <item x="450"/>
        <item x="476"/>
        <item x="437"/>
        <item x="69"/>
        <item x="539"/>
        <item x="369"/>
        <item x="4"/>
        <item x="338"/>
        <item x="145"/>
        <item x="187"/>
        <item x="318"/>
        <item x="388"/>
        <item x="85"/>
        <item x="154"/>
        <item x="441"/>
        <item x="160"/>
        <item x="404"/>
        <item x="370"/>
        <item x="581"/>
        <item x="35"/>
        <item x="507"/>
        <item x="483"/>
        <item x="135"/>
        <item x="21"/>
        <item x="570"/>
        <item x="95"/>
        <item x="115"/>
        <item x="456"/>
        <item x="125"/>
        <item x="308"/>
        <item x="165"/>
        <item x="623"/>
        <item x="258"/>
        <item x="321"/>
        <item x="311"/>
        <item x="28"/>
        <item x="346"/>
        <item x="140"/>
        <item x="142"/>
        <item x="509"/>
        <item x="205"/>
        <item x="627"/>
        <item x="192"/>
        <item x="393"/>
        <item x="469"/>
        <item x="411"/>
        <item x="15"/>
        <item x="331"/>
        <item x="233"/>
        <item x="228"/>
        <item x="555"/>
        <item x="542"/>
        <item x="628"/>
        <item x="237"/>
        <item x="267"/>
        <item x="538"/>
        <item x="114"/>
        <item x="414"/>
        <item x="178"/>
        <item x="396"/>
        <item x="479"/>
        <item x="336"/>
        <item x="164"/>
        <item x="155"/>
        <item x="549"/>
        <item x="325"/>
        <item x="105"/>
        <item x="134"/>
        <item x="309"/>
        <item x="109"/>
        <item x="34"/>
        <item x="401"/>
        <item x="30"/>
        <item x="79"/>
        <item x="214"/>
        <item x="153"/>
        <item x="458"/>
        <item x="548"/>
        <item x="16"/>
        <item x="322"/>
        <item x="523"/>
        <item x="297"/>
        <item x="564"/>
        <item x="480"/>
        <item x="10"/>
        <item x="147"/>
        <item x="191"/>
        <item x="25"/>
        <item x="162"/>
        <item x="251"/>
        <item x="111"/>
        <item x="353"/>
        <item x="139"/>
        <item x="181"/>
        <item x="586"/>
        <item x="489"/>
        <item x="63"/>
        <item x="560"/>
        <item x="392"/>
        <item x="454"/>
        <item x="51"/>
        <item x="607"/>
        <item x="0"/>
        <item x="287"/>
        <item x="234"/>
        <item x="107"/>
        <item x="70"/>
        <item x="57"/>
        <item x="41"/>
        <item x="252"/>
        <item x="390"/>
        <item x="504"/>
        <item x="247"/>
        <item x="167"/>
        <item x="561"/>
        <item x="610"/>
        <item x="334"/>
        <item x="341"/>
        <item x="6"/>
        <item x="612"/>
        <item x="362"/>
        <item x="67"/>
        <item x="253"/>
        <item x="536"/>
        <item x="572"/>
        <item x="461"/>
        <item x="161"/>
        <item x="1"/>
        <item x="524"/>
        <item x="283"/>
        <item x="486"/>
        <item x="410"/>
        <item x="429"/>
        <item x="484"/>
        <item x="143"/>
        <item x="44"/>
        <item x="405"/>
        <item x="383"/>
        <item x="517"/>
        <item x="310"/>
        <item x="545"/>
        <item x="231"/>
        <item x="313"/>
        <item x="494"/>
        <item x="568"/>
        <item x="149"/>
        <item x="594"/>
        <item x="194"/>
        <item x="440"/>
        <item x="76"/>
        <item x="77"/>
        <item x="413"/>
        <item x="50"/>
        <item x="521"/>
        <item x="423"/>
        <item x="117"/>
        <item x="103"/>
        <item x="578"/>
        <item x="274"/>
        <item x="23"/>
        <item x="265"/>
        <item x="323"/>
        <item x="188"/>
        <item x="464"/>
        <item x="443"/>
        <item x="356"/>
        <item x="424"/>
        <item x="492"/>
        <item x="386"/>
        <item x="529"/>
        <item x="554"/>
        <item x="409"/>
        <item x="245"/>
        <item x="47"/>
        <item x="600"/>
        <item x="157"/>
        <item x="558"/>
        <item x="448"/>
        <item x="500"/>
        <item x="232"/>
        <item x="335"/>
        <item x="587"/>
        <item x="493"/>
        <item x="277"/>
        <item x="433"/>
        <item x="126"/>
        <item x="598"/>
        <item x="123"/>
        <item x="8"/>
        <item x="582"/>
        <item x="86"/>
        <item x="38"/>
        <item x="88"/>
        <item x="128"/>
        <item x="170"/>
        <item x="400"/>
        <item x="541"/>
        <item x="33"/>
        <item x="40"/>
        <item x="97"/>
        <item x="184"/>
        <item x="475"/>
        <item x="342"/>
        <item x="472"/>
        <item x="430"/>
        <item x="415"/>
        <item x="249"/>
        <item x="195"/>
        <item x="402"/>
        <item x="209"/>
        <item x="557"/>
        <item x="207"/>
        <item x="583"/>
        <item x="373"/>
        <item x="36"/>
        <item x="359"/>
        <item x="527"/>
        <item x="320"/>
        <item x="217"/>
        <item x="496"/>
        <item x="506"/>
        <item x="611"/>
        <item x="442"/>
        <item x="271"/>
        <item x="418"/>
        <item x="618"/>
        <item x="189"/>
        <item x="156"/>
        <item x="567"/>
        <item x="104"/>
        <item x="508"/>
        <item x="218"/>
        <item x="138"/>
        <item x="465"/>
        <item x="26"/>
        <item x="295"/>
        <item x="490"/>
        <item x="108"/>
        <item x="20"/>
        <item x="73"/>
        <item x="235"/>
        <item x="427"/>
        <item x="621"/>
        <item x="365"/>
        <item x="319"/>
        <item x="522"/>
        <item x="273"/>
        <item x="136"/>
        <item x="432"/>
        <item x="608"/>
        <item x="101"/>
        <item x="451"/>
        <item x="244"/>
        <item x="27"/>
        <item x="254"/>
        <item x="286"/>
        <item x="242"/>
        <item x="374"/>
        <item x="559"/>
        <item x="303"/>
        <item x="268"/>
        <item x="447"/>
        <item x="13"/>
        <item x="358"/>
        <item x="519"/>
        <item x="343"/>
        <item x="238"/>
        <item x="345"/>
        <item x="141"/>
        <item x="60"/>
        <item x="599"/>
        <item x="110"/>
        <item x="352"/>
        <item x="112"/>
        <item x="354"/>
        <item x="312"/>
        <item x="616"/>
        <item x="72"/>
        <item x="169"/>
        <item x="592"/>
        <item x="275"/>
        <item x="177"/>
        <item x="510"/>
        <item x="357"/>
        <item x="511"/>
        <item x="48"/>
        <item x="196"/>
        <item x="174"/>
        <item x="435"/>
        <item x="398"/>
        <item x="487"/>
        <item x="565"/>
        <item x="211"/>
        <item x="426"/>
        <item x="93"/>
        <item x="42"/>
        <item x="200"/>
        <item x="82"/>
        <item x="364"/>
        <item x="236"/>
        <item x="513"/>
        <item x="304"/>
        <item x="206"/>
        <item x="534"/>
        <item x="617"/>
        <item x="579"/>
        <item x="3"/>
        <item x="569"/>
        <item x="571"/>
        <item x="120"/>
        <item x="257"/>
        <item x="375"/>
        <item x="601"/>
        <item x="299"/>
        <item x="379"/>
        <item x="417"/>
        <item x="314"/>
        <item x="17"/>
        <item x="146"/>
        <item x="150"/>
        <item x="584"/>
        <item x="248"/>
        <item x="482"/>
        <item x="488"/>
        <item x="606"/>
        <item x="96"/>
        <item x="372"/>
        <item x="420"/>
        <item x="302"/>
        <item x="588"/>
        <item x="575"/>
        <item x="227"/>
        <item x="462"/>
        <item x="368"/>
        <item x="533"/>
        <item x="333"/>
        <item x="100"/>
        <item x="84"/>
        <item x="502"/>
        <item x="553"/>
        <item x="552"/>
        <item x="133"/>
        <item x="306"/>
        <item x="294"/>
        <item x="416"/>
        <item x="307"/>
        <item x="481"/>
        <item x="452"/>
        <item x="159"/>
        <item x="550"/>
        <item x="263"/>
        <item x="525"/>
        <item x="446"/>
        <item x="505"/>
        <item x="32"/>
        <item x="348"/>
        <item x="270"/>
        <item x="389"/>
        <item x="394"/>
        <item x="293"/>
        <item x="12"/>
        <item x="83"/>
        <item x="463"/>
        <item x="131"/>
        <item x="240"/>
        <item x="407"/>
        <item x="11"/>
        <item x="62"/>
        <item x="91"/>
        <item x="614"/>
        <item x="127"/>
        <item x="285"/>
        <item x="98"/>
        <item x="186"/>
        <item x="29"/>
        <item x="212"/>
        <item x="53"/>
        <item x="22"/>
        <item x="210"/>
        <item x="397"/>
        <item x="360"/>
        <item x="399"/>
        <item x="366"/>
        <item x="90"/>
        <item x="208"/>
        <item x="514"/>
        <item x="377"/>
        <item x="58"/>
        <item x="71"/>
        <item x="241"/>
        <item x="113"/>
        <item x="622"/>
        <item x="130"/>
        <item x="421"/>
        <item x="179"/>
        <item x="329"/>
        <item x="563"/>
        <item x="102"/>
        <item x="180"/>
        <item x="428"/>
        <item x="395"/>
        <item x="276"/>
        <item x="222"/>
        <item x="503"/>
        <item x="473"/>
        <item x="597"/>
        <item x="280"/>
        <item x="116"/>
        <item x="173"/>
        <item x="491"/>
        <item x="595"/>
        <item x="37"/>
        <item x="94"/>
        <item x="630"/>
        <item x="330"/>
        <item x="19"/>
        <item x="602"/>
        <item x="290"/>
        <item x="230"/>
        <item x="219"/>
        <item x="59"/>
        <item x="55"/>
        <item x="158"/>
        <item x="531"/>
        <item x="327"/>
        <item x="61"/>
        <item x="471"/>
        <item x="381"/>
        <item x="467"/>
        <item x="425"/>
        <item x="43"/>
        <item x="380"/>
        <item x="498"/>
        <item x="516"/>
        <item x="422"/>
        <item x="14"/>
        <item x="18"/>
        <item x="175"/>
        <item x="593"/>
        <item x="317"/>
        <item x="87"/>
        <item x="385"/>
        <item x="556"/>
        <item x="406"/>
        <item x="264"/>
        <item x="182"/>
        <item x="620"/>
        <item x="262"/>
        <item x="403"/>
        <item x="378"/>
        <item x="289"/>
        <item x="530"/>
        <item x="566"/>
        <item x="56"/>
        <item x="298"/>
        <item x="305"/>
        <item x="246"/>
        <item x="468"/>
        <item x="355"/>
        <item x="119"/>
        <item x="544"/>
        <item x="203"/>
        <item x="282"/>
        <item x="590"/>
        <item x="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3">
        <item x="4"/>
        <item x="2"/>
        <item x="0"/>
        <item x="7"/>
        <item x="5"/>
        <item x="9"/>
        <item x="8"/>
        <item x="11"/>
        <item x="6"/>
        <item x="1"/>
        <item x="10"/>
        <item x="3"/>
        <item t="default"/>
      </items>
    </pivotField>
    <pivotField compact="0" showAll="0">
      <items count="469">
        <item x="5"/>
        <item x="455"/>
        <item x="271"/>
        <item x="415"/>
        <item x="181"/>
        <item x="7"/>
        <item x="371"/>
        <item x="184"/>
        <item x="119"/>
        <item x="424"/>
        <item x="122"/>
        <item x="171"/>
        <item x="180"/>
        <item x="312"/>
        <item x="23"/>
        <item x="77"/>
        <item x="426"/>
        <item x="62"/>
        <item x="152"/>
        <item x="147"/>
        <item x="361"/>
        <item x="29"/>
        <item x="159"/>
        <item x="452"/>
        <item x="2"/>
        <item x="107"/>
        <item x="432"/>
        <item x="226"/>
        <item x="336"/>
        <item x="206"/>
        <item x="315"/>
        <item x="211"/>
        <item x="342"/>
        <item x="64"/>
        <item x="278"/>
        <item x="150"/>
        <item x="33"/>
        <item x="50"/>
        <item x="451"/>
        <item x="163"/>
        <item x="89"/>
        <item x="458"/>
        <item x="125"/>
        <item x="290"/>
        <item x="27"/>
        <item x="387"/>
        <item x="153"/>
        <item x="43"/>
        <item x="67"/>
        <item x="460"/>
        <item x="15"/>
        <item x="441"/>
        <item x="410"/>
        <item x="129"/>
        <item x="449"/>
        <item x="177"/>
        <item x="275"/>
        <item x="239"/>
        <item x="406"/>
        <item x="20"/>
        <item x="382"/>
        <item x="362"/>
        <item x="72"/>
        <item x="207"/>
        <item x="373"/>
        <item x="234"/>
        <item x="328"/>
        <item x="408"/>
        <item x="446"/>
        <item x="308"/>
        <item x="109"/>
        <item x="280"/>
        <item x="367"/>
        <item x="75"/>
        <item x="251"/>
        <item x="37"/>
        <item x="264"/>
        <item x="169"/>
        <item x="44"/>
        <item x="87"/>
        <item x="85"/>
        <item x="306"/>
        <item x="186"/>
        <item x="140"/>
        <item x="133"/>
        <item x="422"/>
        <item x="425"/>
        <item x="376"/>
        <item x="47"/>
        <item x="289"/>
        <item x="386"/>
        <item x="256"/>
        <item x="172"/>
        <item x="370"/>
        <item x="245"/>
        <item x="288"/>
        <item x="131"/>
        <item x="203"/>
        <item x="443"/>
        <item x="242"/>
        <item x="235"/>
        <item x="174"/>
        <item x="389"/>
        <item x="115"/>
        <item x="183"/>
        <item x="419"/>
        <item x="66"/>
        <item x="114"/>
        <item x="260"/>
        <item x="417"/>
        <item x="343"/>
        <item x="200"/>
        <item x="161"/>
        <item x="345"/>
        <item x="52"/>
        <item x="429"/>
        <item x="137"/>
        <item x="459"/>
        <item x="73"/>
        <item x="216"/>
        <item x="364"/>
        <item x="158"/>
        <item x="199"/>
        <item x="323"/>
        <item x="204"/>
        <item x="231"/>
        <item x="155"/>
        <item x="327"/>
        <item x="233"/>
        <item x="348"/>
        <item x="176"/>
        <item x="358"/>
        <item x="259"/>
        <item x="282"/>
        <item x="391"/>
        <item x="324"/>
        <item x="250"/>
        <item x="143"/>
        <item x="193"/>
        <item x="276"/>
        <item x="285"/>
        <item x="112"/>
        <item x="106"/>
        <item x="214"/>
        <item x="134"/>
        <item x="294"/>
        <item x="297"/>
        <item x="63"/>
        <item x="374"/>
        <item x="4"/>
        <item x="141"/>
        <item x="340"/>
        <item x="380"/>
        <item x="202"/>
        <item x="195"/>
        <item x="295"/>
        <item x="81"/>
        <item x="240"/>
        <item x="311"/>
        <item x="423"/>
        <item x="113"/>
        <item x="360"/>
        <item x="300"/>
        <item x="279"/>
        <item x="435"/>
        <item x="241"/>
        <item x="39"/>
        <item x="182"/>
        <item x="94"/>
        <item x="347"/>
        <item x="303"/>
        <item x="13"/>
        <item x="84"/>
        <item x="436"/>
        <item x="247"/>
        <item x="10"/>
        <item x="145"/>
        <item x="162"/>
        <item x="383"/>
        <item x="437"/>
        <item x="179"/>
        <item x="128"/>
        <item x="221"/>
        <item x="292"/>
        <item x="142"/>
        <item x="351"/>
        <item x="439"/>
        <item x="354"/>
        <item x="352"/>
        <item x="194"/>
        <item x="397"/>
        <item x="263"/>
        <item x="314"/>
        <item x="428"/>
        <item x="220"/>
        <item x="34"/>
        <item x="307"/>
        <item x="58"/>
        <item x="0"/>
        <item x="450"/>
        <item x="227"/>
        <item x="246"/>
        <item x="68"/>
        <item x="363"/>
        <item x="265"/>
        <item x="248"/>
        <item x="215"/>
        <item x="244"/>
        <item x="149"/>
        <item x="136"/>
        <item x="403"/>
        <item x="82"/>
        <item x="286"/>
        <item x="70"/>
        <item x="413"/>
        <item x="31"/>
        <item x="36"/>
        <item x="395"/>
        <item x="412"/>
        <item x="400"/>
        <item x="230"/>
        <item x="372"/>
        <item x="8"/>
        <item x="375"/>
        <item x="322"/>
        <item x="385"/>
        <item x="393"/>
        <item x="45"/>
        <item x="313"/>
        <item x="22"/>
        <item x="173"/>
        <item x="42"/>
        <item x="98"/>
        <item x="65"/>
        <item x="154"/>
        <item x="398"/>
        <item x="91"/>
        <item x="118"/>
        <item x="101"/>
        <item x="368"/>
        <item x="151"/>
        <item x="416"/>
        <item x="344"/>
        <item x="116"/>
        <item x="274"/>
        <item x="102"/>
        <item x="103"/>
        <item x="369"/>
        <item x="132"/>
        <item x="249"/>
        <item x="269"/>
        <item x="304"/>
        <item x="463"/>
        <item x="104"/>
        <item x="24"/>
        <item x="411"/>
        <item x="287"/>
        <item x="293"/>
        <item x="157"/>
        <item x="320"/>
        <item x="26"/>
        <item x="334"/>
        <item x="19"/>
        <item x="465"/>
        <item x="228"/>
        <item x="453"/>
        <item x="447"/>
        <item x="399"/>
        <item x="144"/>
        <item x="298"/>
        <item x="326"/>
        <item x="175"/>
        <item x="99"/>
        <item x="421"/>
        <item x="456"/>
        <item x="353"/>
        <item x="396"/>
        <item x="365"/>
        <item x="32"/>
        <item x="38"/>
        <item x="74"/>
        <item x="341"/>
        <item x="434"/>
        <item x="225"/>
        <item x="209"/>
        <item x="210"/>
        <item x="331"/>
        <item x="255"/>
        <item x="191"/>
        <item x="187"/>
        <item x="212"/>
        <item x="97"/>
        <item x="197"/>
        <item x="178"/>
        <item x="138"/>
        <item x="366"/>
        <item x="189"/>
        <item x="166"/>
        <item x="88"/>
        <item x="238"/>
        <item x="156"/>
        <item x="407"/>
        <item x="196"/>
        <item x="464"/>
        <item x="46"/>
        <item x="100"/>
        <item x="49"/>
        <item x="462"/>
        <item x="168"/>
        <item x="1"/>
        <item x="404"/>
        <item x="40"/>
        <item x="229"/>
        <item x="291"/>
        <item x="148"/>
        <item x="356"/>
        <item x="61"/>
        <item x="273"/>
        <item x="333"/>
        <item x="48"/>
        <item x="299"/>
        <item x="223"/>
        <item x="444"/>
        <item x="405"/>
        <item x="392"/>
        <item x="127"/>
        <item x="76"/>
        <item x="379"/>
        <item x="302"/>
        <item x="461"/>
        <item x="25"/>
        <item x="219"/>
        <item x="96"/>
        <item x="430"/>
        <item x="390"/>
        <item x="16"/>
        <item x="330"/>
        <item x="126"/>
        <item x="71"/>
        <item x="55"/>
        <item x="337"/>
        <item x="124"/>
        <item x="130"/>
        <item x="359"/>
        <item x="6"/>
        <item x="357"/>
        <item x="272"/>
        <item x="11"/>
        <item x="409"/>
        <item x="316"/>
        <item x="123"/>
        <item x="420"/>
        <item x="283"/>
        <item x="170"/>
        <item x="105"/>
        <item x="335"/>
        <item x="51"/>
        <item x="266"/>
        <item x="93"/>
        <item x="192"/>
        <item x="318"/>
        <item x="167"/>
        <item x="185"/>
        <item x="317"/>
        <item x="414"/>
        <item x="54"/>
        <item x="120"/>
        <item x="146"/>
        <item x="433"/>
        <item x="454"/>
        <item x="243"/>
        <item x="338"/>
        <item x="349"/>
        <item x="467"/>
        <item x="121"/>
        <item x="12"/>
        <item x="339"/>
        <item x="402"/>
        <item x="418"/>
        <item x="252"/>
        <item x="310"/>
        <item x="309"/>
        <item x="381"/>
        <item x="401"/>
        <item x="80"/>
        <item x="3"/>
        <item x="258"/>
        <item x="95"/>
        <item x="277"/>
        <item x="254"/>
        <item x="53"/>
        <item x="28"/>
        <item x="69"/>
        <item x="377"/>
        <item x="261"/>
        <item x="332"/>
        <item x="440"/>
        <item x="160"/>
        <item x="139"/>
        <item x="448"/>
        <item x="222"/>
        <item x="79"/>
        <item x="208"/>
        <item x="60"/>
        <item x="86"/>
        <item x="57"/>
        <item x="355"/>
        <item x="267"/>
        <item x="321"/>
        <item x="78"/>
        <item x="394"/>
        <item x="217"/>
        <item x="253"/>
        <item x="270"/>
        <item x="281"/>
        <item x="9"/>
        <item x="329"/>
        <item x="41"/>
        <item x="262"/>
        <item x="108"/>
        <item x="346"/>
        <item x="56"/>
        <item x="21"/>
        <item x="325"/>
        <item x="296"/>
        <item x="111"/>
        <item x="236"/>
        <item x="268"/>
        <item x="35"/>
        <item x="305"/>
        <item x="438"/>
        <item x="232"/>
        <item x="350"/>
        <item x="110"/>
        <item x="445"/>
        <item x="190"/>
        <item x="201"/>
        <item x="213"/>
        <item x="466"/>
        <item x="18"/>
        <item x="188"/>
        <item x="92"/>
        <item x="319"/>
        <item x="30"/>
        <item x="378"/>
        <item x="90"/>
        <item x="218"/>
        <item x="442"/>
        <item x="117"/>
        <item x="431"/>
        <item x="83"/>
        <item x="205"/>
        <item x="457"/>
        <item x="384"/>
        <item x="301"/>
        <item x="427"/>
        <item x="164"/>
        <item x="198"/>
        <item x="257"/>
        <item x="388"/>
        <item x="14"/>
        <item x="237"/>
        <item x="17"/>
        <item x="59"/>
        <item x="135"/>
        <item x="224"/>
        <item x="284"/>
        <item x="165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numFmtId="181" showAll="0">
      <items count="470">
        <item x="5"/>
        <item x="7"/>
        <item x="185"/>
        <item x="199"/>
        <item x="411"/>
        <item x="270"/>
        <item x="125"/>
        <item x="128"/>
        <item x="187"/>
        <item x="441"/>
        <item x="78"/>
        <item x="24"/>
        <item x="419"/>
        <item x="183"/>
        <item x="62"/>
        <item x="279"/>
        <item x="174"/>
        <item x="152"/>
        <item x="111"/>
        <item x="422"/>
        <item x="297"/>
        <item x="162"/>
        <item x="157"/>
        <item x="384"/>
        <item x="96"/>
        <item x="223"/>
        <item x="2"/>
        <item x="155"/>
        <item x="214"/>
        <item x="211"/>
        <item x="314"/>
        <item x="50"/>
        <item x="339"/>
        <item x="310"/>
        <item x="64"/>
        <item x="290"/>
        <item x="132"/>
        <item x="277"/>
        <item x="166"/>
        <item x="130"/>
        <item x="357"/>
        <item x="400"/>
        <item x="15"/>
        <item x="453"/>
        <item x="450"/>
        <item x="437"/>
        <item x="92"/>
        <item x="189"/>
        <item x="43"/>
        <item x="430"/>
        <item x="235"/>
        <item x="206"/>
        <item x="67"/>
        <item x="184"/>
        <item x="28"/>
        <item x="295"/>
        <item x="72"/>
        <item x="370"/>
        <item x="426"/>
        <item x="379"/>
        <item x="383"/>
        <item x="180"/>
        <item x="408"/>
        <item x="21"/>
        <item x="281"/>
        <item x="435"/>
        <item x="359"/>
        <item x="103"/>
        <item x="403"/>
        <item x="212"/>
        <item x="374"/>
        <item x="76"/>
        <item x="282"/>
        <item x="114"/>
        <item x="326"/>
        <item x="367"/>
        <item x="271"/>
        <item x="90"/>
        <item x="37"/>
        <item x="305"/>
        <item x="440"/>
        <item x="87"/>
        <item x="44"/>
        <item x="393"/>
        <item x="260"/>
        <item x="420"/>
        <item x="416"/>
        <item x="438"/>
        <item x="418"/>
        <item x="138"/>
        <item x="467"/>
        <item x="373"/>
        <item x="172"/>
        <item x="264"/>
        <item x="145"/>
        <item x="175"/>
        <item x="47"/>
        <item x="464"/>
        <item x="208"/>
        <item x="254"/>
        <item x="241"/>
        <item x="238"/>
        <item x="386"/>
        <item x="289"/>
        <item x="177"/>
        <item x="170"/>
        <item x="230"/>
        <item x="136"/>
        <item x="466"/>
        <item x="52"/>
        <item x="286"/>
        <item x="120"/>
        <item x="121"/>
        <item x="66"/>
        <item x="204"/>
        <item x="165"/>
        <item x="79"/>
        <item x="340"/>
        <item x="460"/>
        <item x="142"/>
        <item x="380"/>
        <item x="413"/>
        <item x="258"/>
        <item x="360"/>
        <item x="203"/>
        <item x="322"/>
        <item x="227"/>
        <item x="73"/>
        <item x="308"/>
        <item x="161"/>
        <item x="456"/>
        <item x="229"/>
        <item x="355"/>
        <item x="353"/>
        <item x="159"/>
        <item x="325"/>
        <item x="395"/>
        <item x="209"/>
        <item x="406"/>
        <item x="263"/>
        <item x="147"/>
        <item x="323"/>
        <item x="257"/>
        <item x="179"/>
        <item x="247"/>
        <item x="284"/>
        <item x="388"/>
        <item x="196"/>
        <item x="139"/>
        <item x="275"/>
        <item x="110"/>
        <item x="287"/>
        <item x="217"/>
        <item x="371"/>
        <item x="369"/>
        <item x="117"/>
        <item x="298"/>
        <item x="293"/>
        <item x="336"/>
        <item x="207"/>
        <item x="83"/>
        <item x="63"/>
        <item x="4"/>
        <item x="236"/>
        <item x="436"/>
        <item x="309"/>
        <item x="296"/>
        <item x="358"/>
        <item x="429"/>
        <item x="362"/>
        <item x="198"/>
        <item x="385"/>
        <item x="465"/>
        <item x="118"/>
        <item x="98"/>
        <item x="237"/>
        <item x="86"/>
        <item x="243"/>
        <item x="186"/>
        <item x="253"/>
        <item x="454"/>
        <item x="39"/>
        <item x="303"/>
        <item x="431"/>
        <item x="250"/>
        <item x="414"/>
        <item x="10"/>
        <item x="344"/>
        <item x="13"/>
        <item x="134"/>
        <item x="176"/>
        <item x="433"/>
        <item x="149"/>
        <item x="381"/>
        <item x="391"/>
        <item x="182"/>
        <item x="146"/>
        <item x="348"/>
        <item x="351"/>
        <item x="280"/>
        <item x="259"/>
        <item x="312"/>
        <item x="68"/>
        <item x="447"/>
        <item x="402"/>
        <item x="34"/>
        <item x="221"/>
        <item x="427"/>
        <item x="197"/>
        <item x="375"/>
        <item x="261"/>
        <item x="0"/>
        <item x="154"/>
        <item x="58"/>
        <item x="244"/>
        <item x="242"/>
        <item x="240"/>
        <item x="288"/>
        <item x="301"/>
        <item x="141"/>
        <item x="84"/>
        <item x="410"/>
        <item x="36"/>
        <item x="70"/>
        <item x="32"/>
        <item x="409"/>
        <item x="321"/>
        <item x="365"/>
        <item x="372"/>
        <item x="226"/>
        <item x="338"/>
        <item x="428"/>
        <item x="23"/>
        <item x="390"/>
        <item x="94"/>
        <item x="102"/>
        <item x="45"/>
        <item x="8"/>
        <item x="42"/>
        <item x="163"/>
        <item x="65"/>
        <item x="105"/>
        <item x="421"/>
        <item x="107"/>
        <item x="124"/>
        <item x="158"/>
        <item x="307"/>
        <item x="156"/>
        <item x="392"/>
        <item x="278"/>
        <item x="266"/>
        <item x="443"/>
        <item x="412"/>
        <item x="273"/>
        <item x="304"/>
        <item x="122"/>
        <item x="75"/>
        <item x="455"/>
        <item x="246"/>
        <item x="137"/>
        <item x="106"/>
        <item x="364"/>
        <item x="292"/>
        <item x="25"/>
        <item x="160"/>
        <item x="27"/>
        <item x="446"/>
        <item x="20"/>
        <item x="108"/>
        <item x="224"/>
        <item x="294"/>
        <item x="423"/>
        <item x="319"/>
        <item x="332"/>
        <item x="442"/>
        <item x="331"/>
        <item x="148"/>
        <item x="299"/>
        <item x="33"/>
        <item x="462"/>
        <item x="417"/>
        <item x="448"/>
        <item x="178"/>
        <item x="104"/>
        <item x="337"/>
        <item x="252"/>
        <item x="213"/>
        <item x="350"/>
        <item x="394"/>
        <item x="150"/>
        <item x="38"/>
        <item x="74"/>
        <item x="425"/>
        <item x="181"/>
        <item x="215"/>
        <item x="361"/>
        <item x="330"/>
        <item x="101"/>
        <item x="191"/>
        <item x="234"/>
        <item x="168"/>
        <item x="201"/>
        <item x="143"/>
        <item x="1"/>
        <item x="193"/>
        <item x="459"/>
        <item x="399"/>
        <item x="171"/>
        <item x="91"/>
        <item x="291"/>
        <item x="272"/>
        <item x="49"/>
        <item x="432"/>
        <item x="46"/>
        <item x="200"/>
        <item x="352"/>
        <item x="40"/>
        <item x="61"/>
        <item x="225"/>
        <item x="401"/>
        <item x="48"/>
        <item x="153"/>
        <item x="300"/>
        <item x="389"/>
        <item x="119"/>
        <item x="302"/>
        <item x="387"/>
        <item x="341"/>
        <item x="220"/>
        <item x="133"/>
        <item x="55"/>
        <item x="354"/>
        <item x="71"/>
        <item x="77"/>
        <item x="452"/>
        <item x="129"/>
        <item x="100"/>
        <item x="368"/>
        <item x="26"/>
        <item x="113"/>
        <item x="404"/>
        <item x="16"/>
        <item x="135"/>
        <item x="131"/>
        <item x="356"/>
        <item x="6"/>
        <item x="30"/>
        <item x="457"/>
        <item x="315"/>
        <item x="262"/>
        <item x="11"/>
        <item x="109"/>
        <item x="333"/>
        <item x="269"/>
        <item x="195"/>
        <item x="173"/>
        <item x="190"/>
        <item x="97"/>
        <item x="51"/>
        <item x="316"/>
        <item x="188"/>
        <item x="444"/>
        <item x="126"/>
        <item x="54"/>
        <item x="169"/>
        <item x="239"/>
        <item x="468"/>
        <item x="335"/>
        <item x="345"/>
        <item x="334"/>
        <item x="127"/>
        <item x="397"/>
        <item x="268"/>
        <item x="398"/>
        <item x="248"/>
        <item x="12"/>
        <item x="3"/>
        <item x="99"/>
        <item x="256"/>
        <item x="343"/>
        <item x="306"/>
        <item x="311"/>
        <item x="29"/>
        <item x="267"/>
        <item x="251"/>
        <item x="434"/>
        <item x="82"/>
        <item x="376"/>
        <item x="81"/>
        <item x="232"/>
        <item x="276"/>
        <item x="363"/>
        <item x="53"/>
        <item x="222"/>
        <item x="461"/>
        <item x="164"/>
        <item x="69"/>
        <item x="415"/>
        <item x="57"/>
        <item x="88"/>
        <item x="144"/>
        <item x="283"/>
        <item x="449"/>
        <item x="19"/>
        <item x="80"/>
        <item x="60"/>
        <item x="320"/>
        <item x="218"/>
        <item x="249"/>
        <item x="407"/>
        <item x="378"/>
        <item x="274"/>
        <item x="327"/>
        <item x="9"/>
        <item x="112"/>
        <item x="342"/>
        <item x="56"/>
        <item x="41"/>
        <item x="451"/>
        <item x="366"/>
        <item x="89"/>
        <item x="231"/>
        <item x="22"/>
        <item x="324"/>
        <item x="228"/>
        <item x="346"/>
        <item x="265"/>
        <item x="35"/>
        <item x="313"/>
        <item x="116"/>
        <item x="245"/>
        <item x="458"/>
        <item x="205"/>
        <item x="115"/>
        <item x="216"/>
        <item x="463"/>
        <item x="439"/>
        <item x="194"/>
        <item x="18"/>
        <item x="31"/>
        <item x="192"/>
        <item x="219"/>
        <item x="123"/>
        <item x="377"/>
        <item x="93"/>
        <item x="318"/>
        <item x="95"/>
        <item x="85"/>
        <item x="151"/>
        <item x="424"/>
        <item x="255"/>
        <item x="405"/>
        <item x="210"/>
        <item x="382"/>
        <item x="349"/>
        <item x="317"/>
        <item x="233"/>
        <item x="59"/>
        <item x="328"/>
        <item x="17"/>
        <item x="167"/>
        <item x="445"/>
        <item x="329"/>
        <item x="202"/>
        <item x="347"/>
        <item x="285"/>
        <item x="140"/>
        <item x="14"/>
        <item x="396"/>
        <item t="default"/>
      </items>
    </pivotField>
    <pivotField compact="0" numFmtId="181" showAll="0">
      <items count="473">
        <item x="5"/>
        <item x="185"/>
        <item x="7"/>
        <item x="412"/>
        <item x="199"/>
        <item x="123"/>
        <item x="126"/>
        <item x="187"/>
        <item x="443"/>
        <item x="78"/>
        <item x="24"/>
        <item x="420"/>
        <item x="183"/>
        <item x="62"/>
        <item x="174"/>
        <item x="152"/>
        <item x="109"/>
        <item x="424"/>
        <item x="276"/>
        <item x="294"/>
        <item x="162"/>
        <item x="157"/>
        <item x="381"/>
        <item x="95"/>
        <item x="222"/>
        <item x="2"/>
        <item x="155"/>
        <item x="214"/>
        <item x="211"/>
        <item x="311"/>
        <item x="50"/>
        <item x="335"/>
        <item x="307"/>
        <item x="64"/>
        <item x="130"/>
        <item x="273"/>
        <item x="166"/>
        <item x="128"/>
        <item x="382"/>
        <item x="287"/>
        <item x="34"/>
        <item x="457"/>
        <item x="454"/>
        <item x="440"/>
        <item x="91"/>
        <item x="189"/>
        <item x="15"/>
        <item x="433"/>
        <item x="206"/>
        <item x="67"/>
        <item x="184"/>
        <item x="28"/>
        <item x="292"/>
        <item x="133"/>
        <item x="366"/>
        <item x="428"/>
        <item x="376"/>
        <item x="380"/>
        <item x="180"/>
        <item x="72"/>
        <item x="21"/>
        <item x="278"/>
        <item x="438"/>
        <item x="354"/>
        <item x="102"/>
        <item x="403"/>
        <item x="212"/>
        <item x="370"/>
        <item x="76"/>
        <item x="279"/>
        <item x="112"/>
        <item x="322"/>
        <item x="363"/>
        <item x="246"/>
        <item x="38"/>
        <item x="302"/>
        <item x="89"/>
        <item x="86"/>
        <item x="44"/>
        <item x="392"/>
        <item x="258"/>
        <item x="421"/>
        <item x="417"/>
        <item x="441"/>
        <item x="419"/>
        <item x="137"/>
        <item x="470"/>
        <item x="369"/>
        <item x="172"/>
        <item x="262"/>
        <item x="144"/>
        <item x="360"/>
        <item x="175"/>
        <item x="47"/>
        <item x="208"/>
        <item x="252"/>
        <item x="239"/>
        <item x="236"/>
        <item x="385"/>
        <item x="286"/>
        <item x="177"/>
        <item x="170"/>
        <item x="229"/>
        <item x="135"/>
        <item x="469"/>
        <item x="52"/>
        <item x="283"/>
        <item x="118"/>
        <item x="119"/>
        <item x="66"/>
        <item x="204"/>
        <item x="165"/>
        <item x="79"/>
        <item x="336"/>
        <item x="464"/>
        <item x="141"/>
        <item x="377"/>
        <item x="414"/>
        <item x="256"/>
        <item x="355"/>
        <item x="203"/>
        <item x="318"/>
        <item x="226"/>
        <item x="73"/>
        <item x="305"/>
        <item x="161"/>
        <item x="460"/>
        <item x="228"/>
        <item x="351"/>
        <item x="349"/>
        <item x="159"/>
        <item x="321"/>
        <item x="394"/>
        <item x="209"/>
        <item x="406"/>
        <item x="261"/>
        <item x="147"/>
        <item x="319"/>
        <item x="255"/>
        <item x="179"/>
        <item x="245"/>
        <item x="281"/>
        <item x="387"/>
        <item x="196"/>
        <item x="271"/>
        <item x="108"/>
        <item x="284"/>
        <item x="138"/>
        <item x="367"/>
        <item x="365"/>
        <item x="115"/>
        <item x="145"/>
        <item x="295"/>
        <item x="290"/>
        <item x="332"/>
        <item x="207"/>
        <item x="82"/>
        <item x="63"/>
        <item x="4"/>
        <item x="234"/>
        <item x="439"/>
        <item x="306"/>
        <item x="293"/>
        <item x="353"/>
        <item x="275"/>
        <item x="432"/>
        <item x="357"/>
        <item x="198"/>
        <item x="383"/>
        <item x="468"/>
        <item x="116"/>
        <item x="97"/>
        <item x="235"/>
        <item x="85"/>
        <item x="241"/>
        <item x="186"/>
        <item x="251"/>
        <item x="458"/>
        <item x="40"/>
        <item x="300"/>
        <item x="434"/>
        <item x="248"/>
        <item x="415"/>
        <item x="10"/>
        <item x="340"/>
        <item x="13"/>
        <item x="132"/>
        <item x="176"/>
        <item x="436"/>
        <item x="149"/>
        <item x="378"/>
        <item x="182"/>
        <item x="146"/>
        <item x="344"/>
        <item x="390"/>
        <item x="347"/>
        <item x="277"/>
        <item x="257"/>
        <item x="309"/>
        <item x="68"/>
        <item x="451"/>
        <item x="402"/>
        <item x="35"/>
        <item x="220"/>
        <item x="430"/>
        <item x="197"/>
        <item x="371"/>
        <item x="259"/>
        <item x="0"/>
        <item x="154"/>
        <item x="58"/>
        <item x="242"/>
        <item x="240"/>
        <item x="238"/>
        <item x="285"/>
        <item x="298"/>
        <item x="140"/>
        <item x="83"/>
        <item x="411"/>
        <item x="396"/>
        <item x="37"/>
        <item x="70"/>
        <item x="32"/>
        <item x="410"/>
        <item x="317"/>
        <item x="361"/>
        <item x="368"/>
        <item x="225"/>
        <item x="334"/>
        <item x="431"/>
        <item x="23"/>
        <item x="389"/>
        <item x="408"/>
        <item x="101"/>
        <item x="45"/>
        <item x="8"/>
        <item x="43"/>
        <item x="163"/>
        <item x="93"/>
        <item x="65"/>
        <item x="104"/>
        <item x="422"/>
        <item x="105"/>
        <item x="122"/>
        <item x="158"/>
        <item x="304"/>
        <item x="156"/>
        <item x="391"/>
        <item x="274"/>
        <item x="264"/>
        <item x="445"/>
        <item x="413"/>
        <item x="269"/>
        <item x="301"/>
        <item x="120"/>
        <item x="374"/>
        <item x="459"/>
        <item x="244"/>
        <item x="136"/>
        <item x="75"/>
        <item x="359"/>
        <item x="409"/>
        <item x="25"/>
        <item x="160"/>
        <item x="27"/>
        <item x="289"/>
        <item x="448"/>
        <item x="106"/>
        <item x="223"/>
        <item x="20"/>
        <item x="291"/>
        <item x="425"/>
        <item x="316"/>
        <item x="328"/>
        <item x="444"/>
        <item x="327"/>
        <item x="148"/>
        <item x="296"/>
        <item x="466"/>
        <item x="450"/>
        <item x="418"/>
        <item x="33"/>
        <item x="452"/>
        <item x="178"/>
        <item x="103"/>
        <item x="333"/>
        <item x="250"/>
        <item x="213"/>
        <item x="346"/>
        <item x="393"/>
        <item x="150"/>
        <item x="39"/>
        <item x="74"/>
        <item x="427"/>
        <item x="181"/>
        <item x="215"/>
        <item x="356"/>
        <item x="326"/>
        <item x="100"/>
        <item x="191"/>
        <item x="233"/>
        <item x="168"/>
        <item x="201"/>
        <item x="142"/>
        <item x="193"/>
        <item x="463"/>
        <item x="400"/>
        <item x="171"/>
        <item x="1"/>
        <item x="90"/>
        <item x="288"/>
        <item x="268"/>
        <item x="49"/>
        <item x="435"/>
        <item x="46"/>
        <item x="200"/>
        <item x="348"/>
        <item x="41"/>
        <item x="61"/>
        <item x="224"/>
        <item x="401"/>
        <item x="48"/>
        <item x="153"/>
        <item x="297"/>
        <item x="388"/>
        <item x="117"/>
        <item x="299"/>
        <item x="386"/>
        <item x="337"/>
        <item x="219"/>
        <item x="131"/>
        <item x="55"/>
        <item x="350"/>
        <item x="71"/>
        <item x="77"/>
        <item x="456"/>
        <item x="127"/>
        <item x="99"/>
        <item x="364"/>
        <item x="26"/>
        <item x="111"/>
        <item x="404"/>
        <item x="16"/>
        <item x="134"/>
        <item x="129"/>
        <item x="352"/>
        <item x="6"/>
        <item x="30"/>
        <item x="461"/>
        <item x="312"/>
        <item x="260"/>
        <item x="11"/>
        <item x="107"/>
        <item x="329"/>
        <item x="267"/>
        <item x="195"/>
        <item x="173"/>
        <item x="190"/>
        <item x="96"/>
        <item x="51"/>
        <item x="313"/>
        <item x="449"/>
        <item x="188"/>
        <item x="446"/>
        <item x="124"/>
        <item x="54"/>
        <item x="169"/>
        <item x="237"/>
        <item x="471"/>
        <item x="331"/>
        <item x="341"/>
        <item x="330"/>
        <item x="125"/>
        <item x="397"/>
        <item x="266"/>
        <item x="398"/>
        <item x="247"/>
        <item x="12"/>
        <item x="3"/>
        <item x="98"/>
        <item x="254"/>
        <item x="339"/>
        <item x="303"/>
        <item x="308"/>
        <item x="29"/>
        <item x="265"/>
        <item x="249"/>
        <item x="437"/>
        <item x="81"/>
        <item x="372"/>
        <item x="231"/>
        <item x="272"/>
        <item x="358"/>
        <item x="53"/>
        <item x="221"/>
        <item x="465"/>
        <item x="164"/>
        <item x="69"/>
        <item x="416"/>
        <item x="57"/>
        <item x="87"/>
        <item x="143"/>
        <item x="399"/>
        <item x="453"/>
        <item x="384"/>
        <item x="429"/>
        <item x="80"/>
        <item x="60"/>
        <item x="280"/>
        <item x="217"/>
        <item x="19"/>
        <item x="407"/>
        <item x="375"/>
        <item x="270"/>
        <item x="323"/>
        <item x="9"/>
        <item x="110"/>
        <item x="338"/>
        <item x="56"/>
        <item x="42"/>
        <item x="455"/>
        <item x="362"/>
        <item x="88"/>
        <item x="230"/>
        <item x="22"/>
        <item x="320"/>
        <item x="227"/>
        <item x="342"/>
        <item x="263"/>
        <item x="36"/>
        <item x="310"/>
        <item x="114"/>
        <item x="243"/>
        <item x="462"/>
        <item x="205"/>
        <item x="113"/>
        <item x="216"/>
        <item x="467"/>
        <item x="442"/>
        <item x="194"/>
        <item x="18"/>
        <item x="31"/>
        <item x="192"/>
        <item x="218"/>
        <item x="121"/>
        <item x="373"/>
        <item x="92"/>
        <item x="315"/>
        <item x="94"/>
        <item x="84"/>
        <item x="151"/>
        <item x="426"/>
        <item x="423"/>
        <item x="405"/>
        <item x="210"/>
        <item x="379"/>
        <item x="253"/>
        <item x="345"/>
        <item x="314"/>
        <item x="232"/>
        <item x="59"/>
        <item x="324"/>
        <item x="17"/>
        <item x="167"/>
        <item x="447"/>
        <item x="325"/>
        <item x="202"/>
        <item x="343"/>
        <item x="282"/>
        <item x="139"/>
        <item x="14"/>
        <item x="395"/>
        <item t="default"/>
      </items>
    </pivotField>
    <pivotField compact="0" numFmtId="1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compact="0" showAll="0">
      <items count="4">
        <item m="1" x="2"/>
        <item x="0"/>
        <item x="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compact="0" showAll="0">
      <items count="41">
        <item x="7"/>
        <item x="36"/>
        <item x="38"/>
        <item x="6"/>
        <item x="9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4"/>
        <item x="28"/>
        <item x="1"/>
        <item x="30"/>
        <item x="24"/>
        <item x="8"/>
        <item x="23"/>
        <item x="14"/>
        <item x="27"/>
        <item x="5"/>
        <item x="35"/>
        <item x="26"/>
        <item t="default"/>
      </items>
    </pivotField>
    <pivotField compact="0" showAll="0">
      <items count="7">
        <item x="3"/>
        <item x="0"/>
        <item x="1"/>
        <item x="5"/>
        <item x="2"/>
        <item x="4"/>
        <item t="default"/>
      </items>
    </pivotField>
    <pivotField compact="0" showAll="0">
      <items count="7">
        <item x="4"/>
        <item x="3"/>
        <item x="2"/>
        <item x="5"/>
        <item x="1"/>
        <item x="0"/>
        <item t="default"/>
      </items>
    </pivotField>
    <pivotField compact="0" showAll="0">
      <items count="17">
        <item x="8"/>
        <item x="5"/>
        <item x="0"/>
        <item x="14"/>
        <item x="6"/>
        <item x="9"/>
        <item x="3"/>
        <item x="10"/>
        <item x="2"/>
        <item x="1"/>
        <item x="11"/>
        <item x="4"/>
        <item x="12"/>
        <item x="13"/>
        <item x="7"/>
        <item x="15"/>
        <item t="default"/>
      </items>
    </pivotField>
    <pivotField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axis="axisRow" measureFilter="1" compact="0" sortType="ascending" showAll="0">
      <items count="631">
        <item x="139"/>
        <item x="621"/>
        <item x="333"/>
        <item x="415"/>
        <item x="340"/>
        <item x="394"/>
        <item x="441"/>
        <item x="293"/>
        <item x="491"/>
        <item x="587"/>
        <item x="207"/>
        <item x="14"/>
        <item x="478"/>
        <item x="58"/>
        <item x="261"/>
        <item x="59"/>
        <item x="325"/>
        <item x="103"/>
        <item x="170"/>
        <item x="70"/>
        <item x="497"/>
        <item x="416"/>
        <item x="312"/>
        <item x="319"/>
        <item x="489"/>
        <item x="332"/>
        <item x="355"/>
        <item x="516"/>
        <item x="185"/>
        <item x="545"/>
        <item x="221"/>
        <item x="259"/>
        <item x="450"/>
        <item x="521"/>
        <item x="576"/>
        <item x="270"/>
        <item x="22"/>
        <item x="158"/>
        <item x="131"/>
        <item x="154"/>
        <item x="290"/>
        <item x="76"/>
        <item x="113"/>
        <item x="569"/>
        <item x="187"/>
        <item x="618"/>
        <item x="588"/>
        <item x="227"/>
        <item x="552"/>
        <item x="551"/>
        <item x="97"/>
        <item x="460"/>
        <item x="214"/>
        <item x="352"/>
        <item x="299"/>
        <item x="57"/>
        <item x="288"/>
        <item x="50"/>
        <item x="147"/>
        <item x="437"/>
        <item x="346"/>
        <item x="180"/>
        <item x="358"/>
        <item x="142"/>
        <item x="493"/>
        <item x="557"/>
        <item x="465"/>
        <item x="604"/>
        <item x="360"/>
        <item x="592"/>
        <item x="10"/>
        <item x="277"/>
        <item x="18"/>
        <item x="338"/>
        <item x="541"/>
        <item x="292"/>
        <item x="454"/>
        <item x="25"/>
        <item x="209"/>
        <item x="93"/>
        <item x="66"/>
        <item x="77"/>
        <item x="554"/>
        <item x="536"/>
        <item x="306"/>
        <item x="182"/>
        <item x="408"/>
        <item x="109"/>
        <item x="75"/>
        <item x="169"/>
        <item x="513"/>
        <item x="471"/>
        <item x="579"/>
        <item x="607"/>
        <item x="624"/>
        <item x="34"/>
        <item x="172"/>
        <item x="627"/>
        <item x="401"/>
        <item x="126"/>
        <item x="391"/>
        <item x="124"/>
        <item x="484"/>
        <item x="523"/>
        <item x="377"/>
        <item x="24"/>
        <item x="87"/>
        <item x="82"/>
        <item x="324"/>
        <item x="510"/>
        <item x="367"/>
        <item x="458"/>
        <item x="12"/>
        <item x="136"/>
        <item x="9"/>
        <item x="294"/>
        <item x="157"/>
        <item x="464"/>
        <item x="210"/>
        <item x="315"/>
        <item x="467"/>
        <item x="85"/>
        <item x="161"/>
        <item x="260"/>
        <item x="348"/>
        <item x="256"/>
        <item x="573"/>
        <item x="220"/>
        <item x="617"/>
        <item x="594"/>
        <item x="326"/>
        <item x="74"/>
        <item x="171"/>
        <item x="589"/>
        <item x="490"/>
        <item x="518"/>
        <item x="463"/>
        <item x="78"/>
        <item x="519"/>
        <item x="564"/>
        <item x="44"/>
        <item x="127"/>
        <item x="125"/>
        <item x="110"/>
        <item x="568"/>
        <item x="504"/>
        <item x="459"/>
        <item x="451"/>
        <item x="397"/>
        <item x="30"/>
        <item x="230"/>
        <item x="61"/>
        <item x="365"/>
        <item x="222"/>
        <item x="206"/>
        <item x="69"/>
        <item x="250"/>
        <item x="36"/>
        <item x="60"/>
        <item x="105"/>
        <item x="511"/>
        <item x="101"/>
        <item x="86"/>
        <item x="234"/>
        <item x="0"/>
        <item x="37"/>
        <item x="393"/>
        <item x="436"/>
        <item x="403"/>
        <item x="289"/>
        <item x="476"/>
        <item x="237"/>
        <item x="585"/>
        <item x="177"/>
        <item x="300"/>
        <item x="267"/>
        <item x="559"/>
        <item x="323"/>
        <item x="475"/>
        <item x="477"/>
        <item x="533"/>
        <item x="166"/>
        <item x="145"/>
        <item x="295"/>
        <item x="15"/>
        <item x="527"/>
        <item x="445"/>
        <item x="582"/>
        <item x="539"/>
        <item x="349"/>
        <item x="119"/>
        <item x="279"/>
        <item x="246"/>
        <item x="384"/>
        <item x="239"/>
        <item x="370"/>
        <item x="629"/>
        <item x="481"/>
        <item x="146"/>
        <item x="19"/>
        <item x="64"/>
        <item x="264"/>
        <item x="507"/>
        <item x="571"/>
        <item x="345"/>
        <item x="99"/>
        <item x="53"/>
        <item x="362"/>
        <item x="514"/>
        <item x="581"/>
        <item x="71"/>
        <item x="309"/>
        <item x="304"/>
        <item x="542"/>
        <item x="242"/>
        <item x="457"/>
        <item x="603"/>
        <item x="23"/>
        <item x="255"/>
        <item x="508"/>
        <item x="104"/>
        <item x="190"/>
        <item x="563"/>
        <item x="387"/>
        <item x="251"/>
        <item x="151"/>
        <item x="520"/>
        <item x="593"/>
        <item x="368"/>
        <item x="56"/>
        <item x="409"/>
        <item x="275"/>
        <item x="173"/>
        <item x="102"/>
        <item x="388"/>
        <item x="534"/>
        <item x="565"/>
        <item x="425"/>
        <item x="52"/>
        <item x="192"/>
        <item x="407"/>
        <item x="117"/>
        <item x="396"/>
        <item x="424"/>
        <item x="72"/>
        <item x="5"/>
        <item x="598"/>
        <item x="430"/>
        <item x="421"/>
        <item x="283"/>
        <item x="329"/>
        <item x="386"/>
        <item x="111"/>
        <item x="224"/>
        <item x="132"/>
        <item x="20"/>
        <item x="402"/>
        <item x="284"/>
        <item x="33"/>
        <item x="339"/>
        <item x="566"/>
        <item x="314"/>
        <item x="271"/>
        <item x="591"/>
        <item x="216"/>
        <item x="186"/>
        <item x="205"/>
        <item x="96"/>
        <item x="404"/>
        <item x="167"/>
        <item x="140"/>
        <item x="68"/>
        <item x="472"/>
        <item x="509"/>
        <item x="217"/>
        <item x="115"/>
        <item x="247"/>
        <item x="597"/>
        <item x="89"/>
        <item x="328"/>
        <item x="249"/>
        <item x="135"/>
        <item x="273"/>
        <item x="427"/>
        <item x="83"/>
        <item x="398"/>
        <item x="121"/>
        <item x="625"/>
        <item x="418"/>
        <item x="615"/>
        <item x="189"/>
        <item x="351"/>
        <item x="549"/>
        <item x="297"/>
        <item x="51"/>
        <item x="252"/>
        <item x="372"/>
        <item x="432"/>
        <item x="499"/>
        <item x="55"/>
        <item x="204"/>
        <item x="456"/>
        <item x="130"/>
        <item x="63"/>
        <item x="233"/>
        <item x="178"/>
        <item x="305"/>
        <item x="447"/>
        <item x="280"/>
        <item x="298"/>
        <item x="183"/>
        <item x="363"/>
        <item x="389"/>
        <item x="561"/>
        <item x="572"/>
        <item x="522"/>
        <item x="547"/>
        <item x="310"/>
        <item x="195"/>
        <item x="165"/>
        <item x="67"/>
        <item x="453"/>
        <item x="8"/>
        <item x="175"/>
        <item x="556"/>
        <item x="446"/>
        <item x="580"/>
        <item x="191"/>
        <item x="168"/>
        <item x="383"/>
        <item x="258"/>
        <item x="211"/>
        <item x="188"/>
        <item x="79"/>
        <item x="610"/>
        <item x="544"/>
        <item x="6"/>
        <item x="272"/>
        <item x="540"/>
        <item x="431"/>
        <item x="184"/>
        <item x="494"/>
        <item x="254"/>
        <item x="88"/>
        <item x="118"/>
        <item x="531"/>
        <item x="163"/>
        <item x="498"/>
        <item x="318"/>
        <item x="395"/>
        <item x="266"/>
        <item x="160"/>
        <item x="40"/>
        <item x="496"/>
        <item x="311"/>
        <item x="495"/>
        <item x="590"/>
        <item x="380"/>
        <item x="41"/>
        <item x="223"/>
        <item x="226"/>
        <item x="302"/>
        <item x="98"/>
        <item x="341"/>
        <item x="73"/>
        <item x="479"/>
        <item x="90"/>
        <item x="45"/>
        <item x="47"/>
        <item x="144"/>
        <item x="257"/>
        <item x="623"/>
        <item x="438"/>
        <item x="562"/>
        <item x="248"/>
        <item x="483"/>
        <item x="577"/>
        <item x="114"/>
        <item x="21"/>
        <item x="399"/>
        <item x="198"/>
        <item x="376"/>
        <item x="575"/>
        <item x="506"/>
        <item x="307"/>
        <item x="574"/>
        <item x="382"/>
        <item x="357"/>
        <item x="317"/>
        <item x="129"/>
        <item x="517"/>
        <item x="112"/>
        <item x="548"/>
        <item x="321"/>
        <item x="620"/>
        <item x="622"/>
        <item x="80"/>
        <item x="322"/>
        <item x="543"/>
        <item x="48"/>
        <item x="462"/>
        <item x="612"/>
        <item x="379"/>
        <item x="276"/>
        <item x="194"/>
        <item x="611"/>
        <item x="466"/>
        <item x="203"/>
        <item x="600"/>
        <item x="503"/>
        <item x="120"/>
        <item x="108"/>
        <item x="535"/>
        <item x="413"/>
        <item x="84"/>
        <item x="550"/>
        <item x="215"/>
        <item x="378"/>
        <item x="155"/>
        <item x="32"/>
        <item x="433"/>
        <item x="502"/>
        <item x="281"/>
        <item x="123"/>
        <item x="619"/>
        <item x="156"/>
        <item x="538"/>
        <item x="614"/>
        <item x="353"/>
        <item x="331"/>
        <item x="262"/>
        <item x="567"/>
        <item x="529"/>
        <item x="344"/>
        <item x="2"/>
        <item x="29"/>
        <item x="435"/>
        <item x="287"/>
        <item x="54"/>
        <item x="420"/>
        <item x="17"/>
        <item x="282"/>
        <item x="347"/>
        <item x="213"/>
        <item x="343"/>
        <item x="28"/>
        <item x="560"/>
        <item x="512"/>
        <item x="202"/>
        <item x="371"/>
        <item x="327"/>
        <item x="107"/>
        <item x="448"/>
        <item x="238"/>
        <item x="482"/>
        <item x="231"/>
        <item x="422"/>
        <item x="133"/>
        <item x="530"/>
        <item x="268"/>
        <item x="426"/>
        <item x="200"/>
        <item x="392"/>
        <item x="91"/>
        <item x="241"/>
        <item x="286"/>
        <item x="263"/>
        <item x="334"/>
        <item x="412"/>
        <item x="440"/>
        <item x="128"/>
        <item x="570"/>
        <item x="3"/>
        <item x="583"/>
        <item x="149"/>
        <item x="65"/>
        <item x="626"/>
        <item x="245"/>
        <item x="31"/>
        <item x="375"/>
        <item x="197"/>
        <item x="303"/>
        <item x="584"/>
        <item x="361"/>
        <item x="162"/>
        <item x="452"/>
        <item x="428"/>
        <item x="406"/>
        <item x="485"/>
        <item x="553"/>
        <item x="316"/>
        <item x="330"/>
        <item x="488"/>
        <item x="455"/>
        <item x="285"/>
        <item x="278"/>
        <item x="27"/>
        <item x="366"/>
        <item x="94"/>
        <item x="11"/>
        <item x="244"/>
        <item x="225"/>
        <item x="605"/>
        <item x="181"/>
        <item x="578"/>
        <item x="336"/>
        <item x="492"/>
        <item x="122"/>
        <item x="374"/>
        <item x="137"/>
        <item x="141"/>
        <item x="532"/>
        <item x="62"/>
        <item x="100"/>
        <item x="419"/>
        <item x="411"/>
        <item x="505"/>
        <item x="236"/>
        <item x="434"/>
        <item x="106"/>
        <item x="500"/>
        <item x="628"/>
        <item x="159"/>
        <item x="320"/>
        <item x="473"/>
        <item x="586"/>
        <item x="196"/>
        <item x="501"/>
        <item x="335"/>
        <item x="232"/>
        <item x="390"/>
        <item x="474"/>
        <item x="265"/>
        <item x="486"/>
        <item x="49"/>
        <item x="526"/>
        <item x="537"/>
        <item x="410"/>
        <item x="515"/>
        <item x="525"/>
        <item x="439"/>
        <item x="228"/>
        <item x="313"/>
        <item x="449"/>
        <item x="555"/>
        <item x="429"/>
        <item x="46"/>
        <item x="524"/>
        <item x="219"/>
        <item x="253"/>
        <item x="308"/>
        <item x="212"/>
        <item x="42"/>
        <item x="468"/>
        <item x="364"/>
        <item x="369"/>
        <item x="174"/>
        <item x="480"/>
        <item x="164"/>
        <item x="26"/>
        <item x="148"/>
        <item x="143"/>
        <item x="35"/>
        <item x="528"/>
        <item x="595"/>
        <item x="134"/>
        <item x="442"/>
        <item x="342"/>
        <item x="609"/>
        <item x="138"/>
        <item x="193"/>
        <item x="240"/>
        <item x="602"/>
        <item x="176"/>
        <item x="613"/>
        <item x="337"/>
        <item x="243"/>
        <item x="606"/>
        <item x="400"/>
        <item x="218"/>
        <item x="616"/>
        <item x="487"/>
        <item x="417"/>
        <item x="381"/>
        <item x="208"/>
        <item x="601"/>
        <item x="150"/>
        <item x="7"/>
        <item x="423"/>
        <item x="116"/>
        <item x="92"/>
        <item x="301"/>
        <item x="39"/>
        <item x="558"/>
        <item x="359"/>
        <item x="269"/>
        <item x="16"/>
        <item x="461"/>
        <item x="199"/>
        <item x="229"/>
        <item x="470"/>
        <item x="153"/>
        <item x="38"/>
        <item x="350"/>
        <item x="235"/>
        <item x="296"/>
        <item x="444"/>
        <item x="4"/>
        <item x="179"/>
        <item x="152"/>
        <item x="13"/>
        <item x="201"/>
        <item x="373"/>
        <item x="274"/>
        <item x="291"/>
        <item x="385"/>
        <item x="95"/>
        <item x="608"/>
        <item x="1"/>
        <item x="405"/>
        <item x="469"/>
        <item x="356"/>
        <item x="443"/>
        <item x="546"/>
        <item x="81"/>
        <item x="43"/>
        <item x="599"/>
        <item x="596"/>
        <item x="354"/>
        <item x="414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numFmtId="44" showAll="0">
      <items count="633">
        <item x="493"/>
        <item x="112"/>
        <item x="180"/>
        <item x="298"/>
        <item x="172"/>
        <item x="286"/>
        <item x="106"/>
        <item x="247"/>
        <item x="389"/>
        <item x="83"/>
        <item x="572"/>
        <item x="96"/>
        <item x="7"/>
        <item x="341"/>
        <item x="177"/>
        <item x="461"/>
        <item x="127"/>
        <item x="582"/>
        <item x="481"/>
        <item x="54"/>
        <item x="311"/>
        <item x="631"/>
        <item x="230"/>
        <item x="354"/>
        <item x="89"/>
        <item x="119"/>
        <item x="532"/>
        <item x="586"/>
        <item x="245"/>
        <item x="139"/>
        <item x="517"/>
        <item x="291"/>
        <item x="243"/>
        <item x="51"/>
        <item x="116"/>
        <item x="347"/>
        <item x="323"/>
        <item x="418"/>
        <item x="575"/>
        <item x="108"/>
        <item x="551"/>
        <item x="305"/>
        <item x="443"/>
        <item x="211"/>
        <item x="526"/>
        <item x="282"/>
        <item x="263"/>
        <item x="330"/>
        <item x="344"/>
        <item x="103"/>
        <item x="609"/>
        <item x="488"/>
        <item x="463"/>
        <item x="531"/>
        <item x="26"/>
        <item x="308"/>
        <item x="436"/>
        <item x="163"/>
        <item x="206"/>
        <item x="570"/>
        <item x="460"/>
        <item x="113"/>
        <item x="608"/>
        <item x="221"/>
        <item x="217"/>
        <item x="318"/>
        <item x="128"/>
        <item x="239"/>
        <item x="579"/>
        <item x="599"/>
        <item x="621"/>
        <item x="82"/>
        <item x="458"/>
        <item x="577"/>
        <item x="124"/>
        <item x="35"/>
        <item x="174"/>
        <item x="434"/>
        <item x="490"/>
        <item x="447"/>
        <item x="233"/>
        <item x="232"/>
        <item x="53"/>
        <item x="28"/>
        <item x="293"/>
        <item x="476"/>
        <item x="178"/>
        <item x="511"/>
        <item x="627"/>
        <item x="508"/>
        <item x="391"/>
        <item x="215"/>
        <item x="304"/>
        <item x="270"/>
        <item x="222"/>
        <item x="466"/>
        <item x="445"/>
        <item x="296"/>
        <item x="194"/>
        <item x="620"/>
        <item x="369"/>
        <item x="485"/>
        <item x="3"/>
        <item x="71"/>
        <item x="464"/>
        <item x="145"/>
        <item x="0"/>
        <item x="274"/>
        <item x="486"/>
        <item x="373"/>
        <item x="316"/>
        <item x="109"/>
        <item x="491"/>
        <item x="597"/>
        <item x="160"/>
        <item x="137"/>
        <item x="133"/>
        <item x="350"/>
        <item x="456"/>
        <item x="326"/>
        <item x="101"/>
        <item x="39"/>
        <item x="258"/>
        <item x="5"/>
        <item x="254"/>
        <item x="594"/>
        <item x="386"/>
        <item x="428"/>
        <item x="271"/>
        <item x="519"/>
        <item x="166"/>
        <item x="12"/>
        <item x="297"/>
        <item x="46"/>
        <item x="118"/>
        <item x="169"/>
        <item x="57"/>
        <item x="483"/>
        <item x="439"/>
        <item x="179"/>
        <item x="495"/>
        <item x="114"/>
        <item x="78"/>
        <item x="148"/>
        <item x="380"/>
        <item x="315"/>
        <item x="441"/>
        <item x="307"/>
        <item x="328"/>
        <item x="432"/>
        <item x="277"/>
        <item x="240"/>
        <item x="219"/>
        <item x="214"/>
        <item x="580"/>
        <item x="616"/>
        <item x="218"/>
        <item x="231"/>
        <item x="505"/>
        <item x="453"/>
        <item x="525"/>
        <item x="309"/>
        <item x="321"/>
        <item x="604"/>
        <item x="93"/>
        <item x="129"/>
        <item x="130"/>
        <item x="602"/>
        <item x="331"/>
        <item x="470"/>
        <item x="378"/>
        <item x="155"/>
        <item x="546"/>
        <item x="573"/>
        <item x="561"/>
        <item x="191"/>
        <item x="544"/>
        <item x="250"/>
        <item x="494"/>
        <item x="410"/>
        <item x="312"/>
        <item x="477"/>
        <item x="500"/>
        <item x="408"/>
        <item x="536"/>
        <item x="334"/>
        <item x="251"/>
        <item x="43"/>
        <item x="433"/>
        <item x="540"/>
        <item x="370"/>
        <item x="201"/>
        <item x="68"/>
        <item x="30"/>
        <item x="64"/>
        <item x="403"/>
        <item x="141"/>
        <item x="419"/>
        <item x="338"/>
        <item x="498"/>
        <item x="523"/>
        <item x="197"/>
        <item x="257"/>
        <item x="290"/>
        <item x="88"/>
        <item x="565"/>
        <item x="268"/>
        <item x="91"/>
        <item x="52"/>
        <item x="361"/>
        <item x="98"/>
        <item x="110"/>
        <item x="479"/>
        <item x="285"/>
        <item x="131"/>
        <item x="444"/>
        <item x="144"/>
        <item x="262"/>
        <item x="6"/>
        <item x="564"/>
        <item x="220"/>
        <item x="202"/>
        <item x="299"/>
        <item x="186"/>
        <item x="314"/>
        <item x="430"/>
        <item x="87"/>
        <item x="62"/>
        <item x="474"/>
        <item x="364"/>
        <item x="437"/>
        <item x="538"/>
        <item x="417"/>
        <item x="623"/>
        <item x="339"/>
        <item x="510"/>
        <item x="283"/>
        <item x="337"/>
        <item x="446"/>
        <item x="515"/>
        <item x="584"/>
        <item x="13"/>
        <item x="10"/>
        <item x="33"/>
        <item x="336"/>
        <item x="472"/>
        <item x="252"/>
        <item x="516"/>
        <item x="301"/>
        <item x="395"/>
        <item x="325"/>
        <item x="156"/>
        <item x="355"/>
        <item x="499"/>
        <item x="340"/>
        <item x="4"/>
        <item x="469"/>
        <item x="411"/>
        <item x="591"/>
        <item x="359"/>
        <item x="255"/>
        <item x="571"/>
        <item x="563"/>
        <item x="67"/>
        <item x="44"/>
        <item x="533"/>
        <item x="147"/>
        <item x="605"/>
        <item x="475"/>
        <item x="90"/>
        <item x="412"/>
        <item x="576"/>
        <item x="238"/>
        <item x="134"/>
        <item x="549"/>
        <item x="558"/>
        <item x="36"/>
        <item x="457"/>
        <item x="611"/>
        <item x="259"/>
        <item x="73"/>
        <item x="585"/>
        <item x="269"/>
        <item x="372"/>
        <item x="617"/>
        <item x="535"/>
        <item x="553"/>
        <item x="22"/>
        <item x="185"/>
        <item x="462"/>
        <item x="568"/>
        <item x="522"/>
        <item x="578"/>
        <item x="595"/>
        <item x="29"/>
        <item x="15"/>
        <item x="37"/>
        <item x="150"/>
        <item x="182"/>
        <item x="358"/>
        <item x="502"/>
        <item x="435"/>
        <item x="14"/>
        <item x="598"/>
        <item x="471"/>
        <item x="294"/>
        <item x="590"/>
        <item x="183"/>
        <item x="192"/>
        <item x="288"/>
        <item x="253"/>
        <item x="120"/>
        <item x="170"/>
        <item x="560"/>
        <item x="248"/>
        <item x="92"/>
        <item x="513"/>
        <item x="342"/>
        <item x="628"/>
        <item x="630"/>
        <item x="161"/>
        <item x="454"/>
        <item x="158"/>
        <item x="619"/>
        <item x="143"/>
        <item x="75"/>
        <item x="45"/>
        <item x="200"/>
        <item x="381"/>
        <item x="362"/>
        <item x="473"/>
        <item x="379"/>
        <item x="313"/>
        <item x="171"/>
        <item x="401"/>
        <item x="416"/>
        <item x="55"/>
        <item x="574"/>
        <item x="27"/>
        <item x="559"/>
        <item x="48"/>
        <item x="581"/>
        <item x="438"/>
        <item x="102"/>
        <item x="300"/>
        <item x="38"/>
        <item x="154"/>
        <item x="451"/>
        <item x="319"/>
        <item x="351"/>
        <item x="548"/>
        <item x="69"/>
        <item x="557"/>
        <item x="203"/>
        <item x="16"/>
        <item x="146"/>
        <item x="303"/>
        <item x="327"/>
        <item x="449"/>
        <item x="492"/>
        <item x="157"/>
        <item x="452"/>
        <item x="509"/>
        <item x="168"/>
        <item x="11"/>
        <item x="70"/>
        <item x="74"/>
        <item x="241"/>
        <item x="164"/>
        <item x="153"/>
        <item x="618"/>
        <item x="518"/>
        <item x="506"/>
        <item x="348"/>
        <item x="228"/>
        <item x="367"/>
        <item x="429"/>
        <item x="530"/>
        <item x="132"/>
        <item x="384"/>
        <item x="612"/>
        <item x="176"/>
        <item x="543"/>
        <item x="450"/>
        <item x="24"/>
        <item x="125"/>
        <item x="360"/>
        <item x="279"/>
        <item x="352"/>
        <item x="404"/>
        <item x="440"/>
        <item x="349"/>
        <item x="600"/>
        <item x="193"/>
        <item x="346"/>
        <item x="320"/>
        <item x="375"/>
        <item x="190"/>
        <item x="504"/>
        <item x="151"/>
        <item x="487"/>
        <item x="94"/>
        <item x="324"/>
        <item x="244"/>
        <item x="19"/>
        <item x="592"/>
        <item x="204"/>
        <item x="317"/>
        <item x="284"/>
        <item x="388"/>
        <item x="402"/>
        <item x="624"/>
        <item x="184"/>
        <item x="162"/>
        <item x="40"/>
        <item x="229"/>
        <item x="272"/>
        <item x="589"/>
        <item x="363"/>
        <item x="207"/>
        <item x="425"/>
        <item x="550"/>
        <item x="478"/>
        <item x="365"/>
        <item x="59"/>
        <item x="524"/>
        <item x="520"/>
        <item x="126"/>
        <item x="287"/>
        <item x="18"/>
        <item x="629"/>
        <item x="189"/>
        <item x="225"/>
        <item x="66"/>
        <item x="332"/>
        <item x="273"/>
        <item x="527"/>
        <item x="1"/>
        <item x="95"/>
        <item x="216"/>
        <item x="135"/>
        <item x="224"/>
        <item x="210"/>
        <item x="280"/>
        <item x="152"/>
        <item x="610"/>
        <item x="420"/>
        <item x="281"/>
        <item x="266"/>
        <item x="77"/>
        <item x="377"/>
        <item x="400"/>
        <item x="260"/>
        <item x="79"/>
        <item x="405"/>
        <item x="392"/>
        <item x="181"/>
        <item x="503"/>
        <item x="497"/>
        <item x="596"/>
        <item x="393"/>
        <item x="107"/>
        <item x="539"/>
        <item x="382"/>
        <item x="292"/>
        <item x="198"/>
        <item x="603"/>
        <item x="383"/>
        <item x="455"/>
        <item x="534"/>
        <item x="427"/>
        <item x="56"/>
        <item x="105"/>
        <item x="385"/>
        <item x="554"/>
        <item x="387"/>
        <item x="212"/>
        <item x="567"/>
        <item x="552"/>
        <item x="468"/>
        <item x="278"/>
        <item x="399"/>
        <item x="60"/>
        <item x="357"/>
        <item x="205"/>
        <item x="81"/>
        <item x="333"/>
        <item x="85"/>
        <item x="111"/>
        <item x="555"/>
        <item x="562"/>
        <item x="413"/>
        <item x="223"/>
        <item x="99"/>
        <item x="431"/>
        <item x="397"/>
        <item x="356"/>
        <item x="138"/>
        <item x="209"/>
        <item x="421"/>
        <item x="448"/>
        <item x="41"/>
        <item x="265"/>
        <item x="528"/>
        <item x="606"/>
        <item x="249"/>
        <item x="371"/>
        <item x="480"/>
        <item x="159"/>
        <item x="58"/>
        <item x="17"/>
        <item x="242"/>
        <item x="97"/>
        <item x="376"/>
        <item x="343"/>
        <item x="501"/>
        <item x="587"/>
        <item x="353"/>
        <item x="566"/>
        <item x="63"/>
        <item x="165"/>
        <item x="235"/>
        <item x="227"/>
        <item x="31"/>
        <item x="208"/>
        <item x="593"/>
        <item x="100"/>
        <item x="414"/>
        <item x="541"/>
        <item x="142"/>
        <item x="187"/>
        <item x="173"/>
        <item x="459"/>
        <item x="302"/>
        <item x="267"/>
        <item x="426"/>
        <item x="289"/>
        <item x="23"/>
        <item x="368"/>
        <item x="521"/>
        <item x="482"/>
        <item x="415"/>
        <item x="335"/>
        <item x="537"/>
        <item x="496"/>
        <item x="366"/>
        <item x="8"/>
        <item x="394"/>
        <item x="149"/>
        <item x="121"/>
        <item x="547"/>
        <item x="322"/>
        <item x="65"/>
        <item x="49"/>
        <item x="545"/>
        <item x="484"/>
        <item x="234"/>
        <item x="398"/>
        <item x="422"/>
        <item x="615"/>
        <item x="199"/>
        <item x="613"/>
        <item x="21"/>
        <item x="9"/>
        <item x="507"/>
        <item x="188"/>
        <item x="465"/>
        <item x="601"/>
        <item x="276"/>
        <item x="236"/>
        <item x="622"/>
        <item x="626"/>
        <item x="625"/>
        <item x="246"/>
        <item x="226"/>
        <item x="406"/>
        <item x="442"/>
        <item x="295"/>
        <item x="123"/>
        <item x="237"/>
        <item x="86"/>
        <item x="588"/>
        <item x="583"/>
        <item x="542"/>
        <item x="329"/>
        <item x="72"/>
        <item x="195"/>
        <item x="512"/>
        <item x="117"/>
        <item x="76"/>
        <item x="122"/>
        <item x="42"/>
        <item x="396"/>
        <item x="529"/>
        <item x="310"/>
        <item x="104"/>
        <item x="196"/>
        <item x="569"/>
        <item x="467"/>
        <item x="80"/>
        <item x="275"/>
        <item x="136"/>
        <item x="175"/>
        <item x="409"/>
        <item x="614"/>
        <item x="47"/>
        <item x="84"/>
        <item x="514"/>
        <item x="34"/>
        <item x="407"/>
        <item x="556"/>
        <item x="213"/>
        <item x="306"/>
        <item x="50"/>
        <item x="264"/>
        <item x="2"/>
        <item x="32"/>
        <item x="140"/>
        <item x="607"/>
        <item x="489"/>
        <item x="61"/>
        <item x="256"/>
        <item x="261"/>
        <item x="115"/>
        <item x="424"/>
        <item x="167"/>
        <item x="374"/>
        <item x="390"/>
        <item x="423"/>
        <item x="25"/>
        <item x="20"/>
        <item x="345"/>
        <item t="default"/>
      </items>
    </pivotField>
    <pivotField compact="0" numFmtId="44" showAll="0">
      <items count="631">
        <item x="615"/>
        <item x="2"/>
        <item x="58"/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numFmtId="44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4">
        <item x="2"/>
        <item x="0"/>
        <item x="1"/>
        <item t="default"/>
      </items>
    </pivotField>
    <pivotField compact="0" numFmtId="184" showAll="0">
      <items count="229">
        <item x="5"/>
        <item x="140"/>
        <item x="10"/>
        <item x="20"/>
        <item x="99"/>
        <item x="19"/>
        <item x="84"/>
        <item x="170"/>
        <item x="212"/>
        <item x="108"/>
        <item x="205"/>
        <item x="113"/>
        <item x="106"/>
        <item x="118"/>
        <item x="109"/>
        <item x="179"/>
        <item x="134"/>
        <item x="71"/>
        <item x="8"/>
        <item x="195"/>
        <item x="76"/>
        <item x="42"/>
        <item x="32"/>
        <item x="16"/>
        <item x="188"/>
        <item x="208"/>
        <item x="174"/>
        <item x="89"/>
        <item x="221"/>
        <item x="107"/>
        <item x="215"/>
        <item x="58"/>
        <item x="216"/>
        <item x="54"/>
        <item x="130"/>
        <item x="114"/>
        <item x="223"/>
        <item x="133"/>
        <item x="121"/>
        <item x="92"/>
        <item x="193"/>
        <item x="163"/>
        <item x="227"/>
        <item x="96"/>
        <item x="201"/>
        <item x="176"/>
        <item x="72"/>
        <item x="143"/>
        <item x="55"/>
        <item x="90"/>
        <item x="68"/>
        <item x="88"/>
        <item x="3"/>
        <item x="93"/>
        <item x="13"/>
        <item x="43"/>
        <item x="171"/>
        <item x="202"/>
        <item x="117"/>
        <item x="164"/>
        <item x="226"/>
        <item x="104"/>
        <item x="200"/>
        <item x="26"/>
        <item x="147"/>
        <item x="24"/>
        <item x="167"/>
        <item x="25"/>
        <item x="168"/>
        <item x="119"/>
        <item x="77"/>
        <item x="142"/>
        <item x="12"/>
        <item x="148"/>
        <item x="73"/>
        <item x="224"/>
        <item x="199"/>
        <item x="74"/>
        <item x="165"/>
        <item x="27"/>
        <item x="4"/>
        <item x="172"/>
        <item x="67"/>
        <item x="52"/>
        <item x="192"/>
        <item x="105"/>
        <item x="86"/>
        <item x="14"/>
        <item x="46"/>
        <item x="95"/>
        <item x="0"/>
        <item x="139"/>
        <item x="60"/>
        <item x="158"/>
        <item x="144"/>
        <item x="85"/>
        <item x="45"/>
        <item x="18"/>
        <item x="173"/>
        <item x="153"/>
        <item x="82"/>
        <item x="213"/>
        <item x="22"/>
        <item x="38"/>
        <item x="110"/>
        <item x="137"/>
        <item x="31"/>
        <item x="49"/>
        <item x="2"/>
        <item x="191"/>
        <item x="112"/>
        <item x="61"/>
        <item x="157"/>
        <item x="29"/>
        <item x="81"/>
        <item x="159"/>
        <item x="23"/>
        <item x="78"/>
        <item x="169"/>
        <item x="56"/>
        <item x="17"/>
        <item x="41"/>
        <item x="180"/>
        <item x="34"/>
        <item x="6"/>
        <item x="135"/>
        <item x="9"/>
        <item x="209"/>
        <item x="102"/>
        <item x="136"/>
        <item x="125"/>
        <item x="69"/>
        <item x="131"/>
        <item x="161"/>
        <item x="87"/>
        <item x="181"/>
        <item x="129"/>
        <item x="75"/>
        <item x="64"/>
        <item x="196"/>
        <item x="156"/>
        <item x="211"/>
        <item x="150"/>
        <item x="21"/>
        <item x="36"/>
        <item x="189"/>
        <item x="225"/>
        <item x="145"/>
        <item x="122"/>
        <item x="155"/>
        <item x="30"/>
        <item x="166"/>
        <item x="120"/>
        <item x="94"/>
        <item x="79"/>
        <item x="111"/>
        <item x="35"/>
        <item x="15"/>
        <item x="50"/>
        <item x="57"/>
        <item x="63"/>
        <item x="37"/>
        <item x="70"/>
        <item x="51"/>
        <item x="197"/>
        <item x="98"/>
        <item x="7"/>
        <item x="124"/>
        <item x="115"/>
        <item x="47"/>
        <item x="138"/>
        <item x="91"/>
        <item x="53"/>
        <item x="44"/>
        <item x="162"/>
        <item x="222"/>
        <item x="219"/>
        <item x="182"/>
        <item x="126"/>
        <item x="123"/>
        <item x="207"/>
        <item x="66"/>
        <item x="154"/>
        <item x="203"/>
        <item x="218"/>
        <item x="97"/>
        <item x="217"/>
        <item x="152"/>
        <item x="204"/>
        <item x="83"/>
        <item x="214"/>
        <item x="127"/>
        <item x="146"/>
        <item x="128"/>
        <item x="1"/>
        <item x="149"/>
        <item x="177"/>
        <item x="183"/>
        <item x="65"/>
        <item x="28"/>
        <item x="103"/>
        <item x="220"/>
        <item x="11"/>
        <item x="116"/>
        <item x="48"/>
        <item x="194"/>
        <item x="62"/>
        <item x="132"/>
        <item x="101"/>
        <item x="187"/>
        <item x="151"/>
        <item x="100"/>
        <item x="141"/>
        <item x="178"/>
        <item x="190"/>
        <item x="80"/>
        <item x="186"/>
        <item x="39"/>
        <item x="210"/>
        <item x="40"/>
        <item x="184"/>
        <item x="206"/>
        <item x="160"/>
        <item x="33"/>
        <item x="59"/>
        <item x="175"/>
        <item x="198"/>
        <item x="18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04">
        <item x="5"/>
        <item x="130"/>
        <item x="10"/>
        <item x="20"/>
        <item x="93"/>
        <item x="19"/>
        <item x="78"/>
        <item x="157"/>
        <item x="188"/>
        <item x="100"/>
        <item x="183"/>
        <item x="105"/>
        <item x="98"/>
        <item x="109"/>
        <item x="101"/>
        <item x="164"/>
        <item x="124"/>
        <item x="66"/>
        <item x="8"/>
        <item x="174"/>
        <item x="71"/>
        <item x="40"/>
        <item x="32"/>
        <item x="16"/>
        <item x="169"/>
        <item x="185"/>
        <item x="161"/>
        <item x="83"/>
        <item x="196"/>
        <item x="99"/>
        <item x="190"/>
        <item x="55"/>
        <item x="191"/>
        <item x="51"/>
        <item x="121"/>
        <item x="106"/>
        <item x="198"/>
        <item x="123"/>
        <item x="112"/>
        <item x="86"/>
        <item x="173"/>
        <item x="150"/>
        <item x="202"/>
        <item x="90"/>
        <item x="179"/>
        <item x="162"/>
        <item x="67"/>
        <item x="132"/>
        <item x="52"/>
        <item x="84"/>
        <item x="63"/>
        <item x="82"/>
        <item x="3"/>
        <item x="87"/>
        <item x="13"/>
        <item x="41"/>
        <item x="158"/>
        <item x="180"/>
        <item x="108"/>
        <item x="151"/>
        <item x="201"/>
        <item x="96"/>
        <item x="178"/>
        <item x="26"/>
        <item x="136"/>
        <item x="24"/>
        <item x="154"/>
        <item x="25"/>
        <item x="155"/>
        <item x="110"/>
        <item x="72"/>
        <item x="131"/>
        <item x="12"/>
        <item x="137"/>
        <item x="68"/>
        <item x="199"/>
        <item x="177"/>
        <item x="69"/>
        <item x="152"/>
        <item x="27"/>
        <item x="4"/>
        <item x="159"/>
        <item x="62"/>
        <item x="49"/>
        <item x="172"/>
        <item x="97"/>
        <item x="80"/>
        <item x="14"/>
        <item x="44"/>
        <item x="89"/>
        <item x="0"/>
        <item x="129"/>
        <item x="56"/>
        <item x="146"/>
        <item x="133"/>
        <item x="79"/>
        <item x="43"/>
        <item x="18"/>
        <item x="160"/>
        <item x="141"/>
        <item x="76"/>
        <item x="189"/>
        <item x="22"/>
        <item x="38"/>
        <item x="102"/>
        <item x="127"/>
        <item x="31"/>
        <item x="46"/>
        <item x="2"/>
        <item x="171"/>
        <item x="104"/>
        <item x="57"/>
        <item x="145"/>
        <item x="29"/>
        <item x="75"/>
        <item x="147"/>
        <item x="23"/>
        <item x="73"/>
        <item x="156"/>
        <item x="53"/>
        <item x="17"/>
        <item x="39"/>
        <item x="165"/>
        <item x="34"/>
        <item x="6"/>
        <item x="125"/>
        <item x="9"/>
        <item x="186"/>
        <item x="94"/>
        <item x="126"/>
        <item x="116"/>
        <item x="64"/>
        <item x="122"/>
        <item x="148"/>
        <item x="81"/>
        <item x="166"/>
        <item x="120"/>
        <item x="70"/>
        <item x="59"/>
        <item x="175"/>
        <item x="144"/>
        <item x="187"/>
        <item x="139"/>
        <item x="21"/>
        <item x="36"/>
        <item x="170"/>
        <item x="200"/>
        <item x="134"/>
        <item x="113"/>
        <item x="143"/>
        <item x="30"/>
        <item x="153"/>
        <item x="111"/>
        <item x="88"/>
        <item x="74"/>
        <item x="103"/>
        <item x="35"/>
        <item x="15"/>
        <item x="47"/>
        <item x="54"/>
        <item x="58"/>
        <item x="37"/>
        <item x="65"/>
        <item x="48"/>
        <item x="176"/>
        <item x="92"/>
        <item x="7"/>
        <item x="115"/>
        <item x="107"/>
        <item x="45"/>
        <item x="128"/>
        <item x="85"/>
        <item x="50"/>
        <item x="42"/>
        <item x="149"/>
        <item x="197"/>
        <item x="194"/>
        <item x="167"/>
        <item x="117"/>
        <item x="114"/>
        <item x="184"/>
        <item x="61"/>
        <item x="142"/>
        <item x="181"/>
        <item x="193"/>
        <item x="91"/>
        <item x="192"/>
        <item x="140"/>
        <item x="182"/>
        <item x="77"/>
        <item x="33"/>
        <item x="118"/>
        <item x="135"/>
        <item x="119"/>
        <item x="1"/>
        <item x="138"/>
        <item x="163"/>
        <item x="168"/>
        <item x="60"/>
        <item x="28"/>
        <item x="95"/>
        <item x="195"/>
        <item x="11"/>
        <item t="default"/>
      </items>
    </pivotField>
    <pivotField compact="0" numFmtId="183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dataField="1"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51"/>
        <item x="247"/>
        <item x="531"/>
        <item x="89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41"/>
        <item x="354"/>
        <item x="139"/>
        <item x="114"/>
        <item x="490"/>
        <item x="305"/>
        <item x="87"/>
        <item x="108"/>
        <item x="460"/>
        <item x="26"/>
        <item x="211"/>
        <item x="582"/>
        <item x="464"/>
        <item x="551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137"/>
        <item x="258"/>
        <item x="193"/>
        <item x="598"/>
        <item x="131"/>
        <item x="179"/>
        <item x="74"/>
        <item x="240"/>
        <item x="222"/>
        <item x="369"/>
        <item x="59"/>
        <item x="571"/>
        <item x="201"/>
        <item x="408"/>
        <item x="495"/>
        <item x="543"/>
        <item x="481"/>
        <item x="57"/>
        <item x="361"/>
        <item x="546"/>
        <item x="186"/>
        <item x="334"/>
        <item x="0"/>
        <item x="79"/>
        <item x="12"/>
        <item x="314"/>
        <item x="627"/>
        <item x="483"/>
        <item x="486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447"/>
        <item x="333"/>
        <item x="161"/>
        <item x="593"/>
        <item x="118"/>
        <item x="52"/>
        <item x="231"/>
        <item x="304"/>
        <item x="443"/>
        <item x="103"/>
        <item x="599"/>
        <item x="485"/>
        <item x="277"/>
        <item x="581"/>
        <item x="328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332"/>
        <item x="271"/>
        <item x="46"/>
        <item x="580"/>
        <item x="156"/>
        <item x="270"/>
        <item x="363"/>
        <item x="437"/>
        <item x="293"/>
        <item x="520"/>
        <item x="501"/>
        <item x="229"/>
        <item x="601"/>
        <item x="321"/>
        <item x="492"/>
        <item x="259"/>
        <item x="14"/>
        <item x="458"/>
        <item x="269"/>
        <item x="182"/>
        <item x="130"/>
        <item x="216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343"/>
        <item x="590"/>
        <item x="316"/>
        <item x="510"/>
        <item x="612"/>
        <item x="530"/>
        <item x="73"/>
        <item x="419"/>
        <item x="386"/>
        <item x="489"/>
        <item x="32"/>
        <item x="241"/>
        <item x="136"/>
        <item x="446"/>
        <item x="246"/>
        <item x="30"/>
        <item x="518"/>
        <item x="325"/>
        <item x="309"/>
        <item x="301"/>
        <item x="143"/>
        <item x="421"/>
        <item x="92"/>
        <item x="564"/>
        <item x="504"/>
        <item x="610"/>
        <item x="11"/>
        <item x="158"/>
        <item x="185"/>
        <item x="470"/>
        <item x="78"/>
        <item x="289"/>
        <item x="615"/>
        <item x="558"/>
        <item x="41"/>
        <item x="70"/>
        <item x="43"/>
        <item x="623"/>
        <item x="616"/>
        <item x="545"/>
        <item x="123"/>
        <item x="515"/>
        <item x="502"/>
        <item x="416"/>
        <item x="22"/>
        <item x="549"/>
        <item x="62"/>
        <item x="4"/>
        <item x="154"/>
        <item x="312"/>
        <item x="393"/>
        <item x="197"/>
        <item x="380"/>
        <item x="527"/>
        <item x="274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105"/>
        <item x="576"/>
        <item x="65"/>
        <item x="250"/>
        <item x="163"/>
        <item x="349"/>
        <item x="244"/>
        <item x="449"/>
        <item x="104"/>
        <item x="167"/>
        <item x="450"/>
        <item x="265"/>
        <item x="441"/>
        <item x="299"/>
        <item x="364"/>
        <item x="630"/>
        <item x="381"/>
        <item x="145"/>
        <item x="430"/>
        <item x="433"/>
        <item x="399"/>
        <item x="281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170"/>
        <item x="8"/>
        <item x="455"/>
        <item x="359"/>
        <item x="148"/>
        <item x="50"/>
        <item x="595"/>
        <item x="200"/>
        <item x="38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335"/>
        <item x="469"/>
        <item x="317"/>
        <item x="351"/>
        <item x="499"/>
        <item x="228"/>
        <item x="371"/>
        <item x="402"/>
        <item x="340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427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99"/>
        <item x="204"/>
        <item x="300"/>
        <item x="144"/>
        <item x="16"/>
        <item x="324"/>
        <item x="339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329"/>
        <item x="188"/>
        <item x="219"/>
        <item x="336"/>
        <item x="207"/>
        <item x="487"/>
        <item x="607"/>
        <item x="159"/>
        <item x="273"/>
        <item x="423"/>
        <item x="153"/>
        <item x="56"/>
        <item x="550"/>
        <item x="111"/>
        <item x="622"/>
        <item x="426"/>
        <item x="226"/>
        <item x="42"/>
        <item x="542"/>
        <item x="496"/>
        <item x="310"/>
        <item x="374"/>
        <item x="195"/>
        <item x="442"/>
        <item x="414"/>
        <item x="173"/>
        <item x="55"/>
        <item x="548"/>
        <item x="142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92"/>
        <item x="357"/>
        <item x="624"/>
        <item x="512"/>
        <item x="557"/>
        <item x="537"/>
        <item x="592"/>
        <item x="100"/>
        <item x="319"/>
        <item x="199"/>
        <item x="396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247"/>
        <item x="531"/>
        <item x="89"/>
        <item x="51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54"/>
        <item x="341"/>
        <item x="114"/>
        <item x="139"/>
        <item x="490"/>
        <item x="305"/>
        <item x="87"/>
        <item x="108"/>
        <item x="460"/>
        <item x="26"/>
        <item x="211"/>
        <item x="582"/>
        <item x="551"/>
        <item x="464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258"/>
        <item x="193"/>
        <item x="598"/>
        <item x="131"/>
        <item x="179"/>
        <item x="240"/>
        <item x="222"/>
        <item x="137"/>
        <item x="369"/>
        <item x="59"/>
        <item x="571"/>
        <item x="408"/>
        <item x="495"/>
        <item x="543"/>
        <item x="481"/>
        <item x="57"/>
        <item x="361"/>
        <item x="201"/>
        <item x="546"/>
        <item x="186"/>
        <item x="334"/>
        <item x="0"/>
        <item x="79"/>
        <item x="12"/>
        <item x="314"/>
        <item x="627"/>
        <item x="483"/>
        <item x="486"/>
        <item x="74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333"/>
        <item x="161"/>
        <item x="593"/>
        <item x="118"/>
        <item x="52"/>
        <item x="231"/>
        <item x="304"/>
        <item x="443"/>
        <item x="103"/>
        <item x="599"/>
        <item x="447"/>
        <item x="485"/>
        <item x="277"/>
        <item x="581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271"/>
        <item x="46"/>
        <item x="580"/>
        <item x="156"/>
        <item x="270"/>
        <item x="328"/>
        <item x="437"/>
        <item x="293"/>
        <item x="520"/>
        <item x="501"/>
        <item x="229"/>
        <item x="601"/>
        <item x="321"/>
        <item x="332"/>
        <item x="492"/>
        <item x="259"/>
        <item x="14"/>
        <item x="458"/>
        <item x="269"/>
        <item x="182"/>
        <item x="130"/>
        <item x="216"/>
        <item x="363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590"/>
        <item x="316"/>
        <item x="510"/>
        <item x="612"/>
        <item x="530"/>
        <item x="343"/>
        <item x="73"/>
        <item x="419"/>
        <item x="386"/>
        <item x="489"/>
        <item x="32"/>
        <item x="241"/>
        <item x="136"/>
        <item x="446"/>
        <item x="30"/>
        <item x="518"/>
        <item x="325"/>
        <item x="309"/>
        <item x="301"/>
        <item x="143"/>
        <item x="421"/>
        <item x="92"/>
        <item x="564"/>
        <item x="504"/>
        <item x="246"/>
        <item x="610"/>
        <item x="11"/>
        <item x="158"/>
        <item x="185"/>
        <item x="470"/>
        <item x="289"/>
        <item x="615"/>
        <item x="558"/>
        <item x="41"/>
        <item x="70"/>
        <item x="43"/>
        <item x="623"/>
        <item x="616"/>
        <item x="545"/>
        <item x="123"/>
        <item x="78"/>
        <item x="515"/>
        <item x="502"/>
        <item x="416"/>
        <item x="22"/>
        <item x="549"/>
        <item x="62"/>
        <item x="4"/>
        <item x="154"/>
        <item x="312"/>
        <item x="197"/>
        <item x="380"/>
        <item x="527"/>
        <item x="274"/>
        <item x="393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576"/>
        <item x="65"/>
        <item x="250"/>
        <item x="163"/>
        <item x="349"/>
        <item x="244"/>
        <item x="449"/>
        <item x="104"/>
        <item x="450"/>
        <item x="265"/>
        <item x="441"/>
        <item x="299"/>
        <item x="364"/>
        <item x="630"/>
        <item x="167"/>
        <item x="381"/>
        <item x="105"/>
        <item x="145"/>
        <item x="430"/>
        <item x="433"/>
        <item x="399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281"/>
        <item x="8"/>
        <item x="455"/>
        <item x="359"/>
        <item x="148"/>
        <item x="595"/>
        <item x="200"/>
        <item x="38"/>
        <item x="170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50"/>
        <item x="335"/>
        <item x="469"/>
        <item x="317"/>
        <item x="351"/>
        <item x="499"/>
        <item x="228"/>
        <item x="371"/>
        <item x="402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427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204"/>
        <item x="300"/>
        <item x="144"/>
        <item x="16"/>
        <item x="324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99"/>
        <item x="329"/>
        <item x="188"/>
        <item x="336"/>
        <item x="207"/>
        <item x="339"/>
        <item x="487"/>
        <item x="607"/>
        <item x="159"/>
        <item x="273"/>
        <item x="219"/>
        <item x="423"/>
        <item x="153"/>
        <item x="56"/>
        <item x="550"/>
        <item x="111"/>
        <item x="340"/>
        <item x="622"/>
        <item x="426"/>
        <item x="226"/>
        <item x="542"/>
        <item x="496"/>
        <item x="310"/>
        <item x="195"/>
        <item x="442"/>
        <item x="414"/>
        <item x="173"/>
        <item x="55"/>
        <item x="548"/>
        <item x="142"/>
        <item x="374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42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57"/>
        <item x="624"/>
        <item x="512"/>
        <item x="557"/>
        <item x="537"/>
        <item x="592"/>
        <item x="100"/>
        <item x="319"/>
        <item x="199"/>
        <item x="396"/>
        <item x="392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493"/>
        <item x="172"/>
        <item x="286"/>
        <item x="298"/>
        <item x="96"/>
        <item x="586"/>
        <item x="389"/>
        <item x="54"/>
        <item x="83"/>
        <item x="247"/>
        <item x="631"/>
        <item x="119"/>
        <item x="575"/>
        <item x="89"/>
        <item x="572"/>
        <item x="418"/>
        <item x="106"/>
        <item x="177"/>
        <item x="7"/>
        <item x="517"/>
        <item x="532"/>
        <item x="282"/>
        <item x="354"/>
        <item x="263"/>
        <item x="243"/>
        <item x="51"/>
        <item x="531"/>
        <item x="109"/>
        <item x="305"/>
        <item x="461"/>
        <item x="341"/>
        <item x="221"/>
        <item x="620"/>
        <item x="291"/>
        <item x="311"/>
        <item x="108"/>
        <item x="602"/>
        <item x="230"/>
        <item x="490"/>
        <item x="551"/>
        <item x="127"/>
        <item x="519"/>
        <item x="445"/>
        <item x="323"/>
        <item x="476"/>
        <item x="464"/>
        <item x="582"/>
        <item x="391"/>
        <item x="347"/>
        <item x="26"/>
        <item x="621"/>
        <item x="217"/>
        <item x="330"/>
        <item x="326"/>
        <item x="460"/>
        <item x="116"/>
        <item x="211"/>
        <item x="412"/>
        <item x="128"/>
        <item x="124"/>
        <item x="174"/>
        <item x="466"/>
        <item x="344"/>
        <item x="463"/>
        <item x="597"/>
        <item x="245"/>
        <item x="139"/>
        <item x="113"/>
        <item x="570"/>
        <item x="169"/>
        <item x="87"/>
        <item x="28"/>
        <item x="526"/>
        <item x="232"/>
        <item x="608"/>
        <item x="318"/>
        <item x="257"/>
        <item x="609"/>
        <item x="565"/>
        <item x="439"/>
        <item x="114"/>
        <item x="5"/>
        <item x="508"/>
        <item x="579"/>
        <item x="6"/>
        <item x="297"/>
        <item x="434"/>
        <item x="481"/>
        <item x="334"/>
        <item x="222"/>
        <item x="133"/>
        <item x="495"/>
        <item x="627"/>
        <item x="403"/>
        <item x="0"/>
        <item x="258"/>
        <item x="82"/>
        <item x="584"/>
        <item x="581"/>
        <item x="546"/>
        <item x="53"/>
        <item x="327"/>
        <item x="511"/>
        <item x="296"/>
        <item x="239"/>
        <item x="231"/>
        <item x="57"/>
        <item x="436"/>
        <item x="304"/>
        <item x="39"/>
        <item x="604"/>
        <item x="254"/>
        <item x="443"/>
        <item x="370"/>
        <item x="491"/>
        <item x="194"/>
        <item x="378"/>
        <item x="307"/>
        <item x="277"/>
        <item x="240"/>
        <item x="233"/>
        <item x="598"/>
        <item x="293"/>
        <item x="486"/>
        <item x="71"/>
        <item x="178"/>
        <item x="103"/>
        <item x="248"/>
        <item x="488"/>
        <item x="156"/>
        <item x="12"/>
        <item x="130"/>
        <item x="571"/>
        <item x="79"/>
        <item x="350"/>
        <item x="118"/>
        <item x="308"/>
        <item x="186"/>
        <item x="458"/>
        <item x="462"/>
        <item x="410"/>
        <item x="182"/>
        <item x="328"/>
        <item x="432"/>
        <item x="358"/>
        <item x="483"/>
        <item x="285"/>
        <item x="513"/>
        <item x="563"/>
        <item x="161"/>
        <item x="498"/>
        <item x="369"/>
        <item x="599"/>
        <item x="594"/>
        <item x="314"/>
        <item x="171"/>
        <item x="59"/>
        <item x="524"/>
        <item x="437"/>
        <item x="332"/>
        <item x="46"/>
        <item x="69"/>
        <item x="191"/>
        <item x="141"/>
        <item x="509"/>
        <item x="338"/>
        <item x="137"/>
        <item x="179"/>
        <item x="74"/>
        <item x="214"/>
        <item x="616"/>
        <item x="279"/>
        <item x="90"/>
        <item x="447"/>
        <item x="158"/>
        <item x="540"/>
        <item x="373"/>
        <item x="315"/>
        <item x="201"/>
        <item x="227"/>
        <item x="446"/>
        <item x="473"/>
        <item x="206"/>
        <item x="218"/>
        <item x="27"/>
        <item x="470"/>
        <item x="271"/>
        <item x="525"/>
        <item x="408"/>
        <item x="578"/>
        <item x="43"/>
        <item x="146"/>
        <item x="502"/>
        <item x="168"/>
        <item x="331"/>
        <item x="183"/>
        <item x="309"/>
        <item x="503"/>
        <item x="596"/>
        <item x="543"/>
        <item x="3"/>
        <item x="88"/>
        <item x="386"/>
        <item x="75"/>
        <item x="270"/>
        <item x="262"/>
        <item x="301"/>
        <item x="32"/>
        <item x="489"/>
        <item x="349"/>
        <item x="193"/>
        <item x="485"/>
        <item x="333"/>
        <item x="25"/>
        <item x="102"/>
        <item x="274"/>
        <item x="94"/>
        <item x="37"/>
        <item x="131"/>
        <item x="589"/>
        <item x="593"/>
        <item x="145"/>
        <item x="163"/>
        <item x="520"/>
        <item x="368"/>
        <item x="558"/>
        <item x="316"/>
        <item x="92"/>
        <item x="544"/>
        <item x="33"/>
        <item x="630"/>
        <item x="220"/>
        <item x="250"/>
        <item x="518"/>
        <item x="398"/>
        <item x="152"/>
        <item x="430"/>
        <item x="35"/>
        <item x="477"/>
        <item x="580"/>
        <item x="450"/>
        <item x="62"/>
        <item x="561"/>
        <item x="536"/>
        <item x="533"/>
        <item x="595"/>
        <item x="417"/>
        <item x="15"/>
        <item x="433"/>
        <item x="101"/>
        <item x="238"/>
        <item x="212"/>
        <item x="515"/>
        <item x="104"/>
        <item x="312"/>
        <item x="294"/>
        <item x="361"/>
        <item x="78"/>
        <item x="162"/>
        <item x="269"/>
        <item x="421"/>
        <item x="197"/>
        <item x="41"/>
        <item x="411"/>
        <item x="22"/>
        <item x="241"/>
        <item x="164"/>
        <item x="143"/>
        <item x="268"/>
        <item x="343"/>
        <item x="129"/>
        <item x="345"/>
        <item x="283"/>
        <item x="189"/>
        <item x="577"/>
        <item x="419"/>
        <item x="216"/>
        <item x="453"/>
        <item x="98"/>
        <item x="523"/>
        <item x="559"/>
        <item x="281"/>
        <item x="472"/>
        <item x="8"/>
        <item x="325"/>
        <item x="405"/>
        <item x="615"/>
        <item x="507"/>
        <item x="52"/>
        <item x="198"/>
        <item x="246"/>
        <item x="70"/>
        <item x="425"/>
        <item x="155"/>
        <item x="413"/>
        <item x="367"/>
        <item x="30"/>
        <item x="530"/>
        <item x="549"/>
        <item x="275"/>
        <item x="136"/>
        <item x="612"/>
        <item x="176"/>
        <item x="457"/>
        <item x="499"/>
        <item x="359"/>
        <item x="527"/>
        <item x="623"/>
        <item x="154"/>
        <item x="535"/>
        <item x="510"/>
        <item x="451"/>
        <item x="67"/>
        <item x="564"/>
        <item x="610"/>
        <item x="541"/>
        <item x="185"/>
        <item x="494"/>
        <item x="342"/>
        <item x="68"/>
        <item x="321"/>
        <item x="303"/>
        <item x="605"/>
        <item x="504"/>
        <item x="415"/>
        <item x="335"/>
        <item x="455"/>
        <item x="538"/>
        <item x="363"/>
        <item x="601"/>
        <item x="14"/>
        <item x="290"/>
        <item x="148"/>
        <item x="380"/>
        <item x="93"/>
        <item x="295"/>
        <item x="147"/>
        <item x="287"/>
        <item x="13"/>
        <item x="249"/>
        <item x="404"/>
        <item x="492"/>
        <item x="467"/>
        <item x="210"/>
        <item x="320"/>
        <item x="280"/>
        <item x="441"/>
        <item x="4"/>
        <item x="591"/>
        <item x="611"/>
        <item x="255"/>
        <item x="267"/>
        <item x="23"/>
        <item x="393"/>
        <item x="229"/>
        <item x="261"/>
        <item x="366"/>
        <item x="394"/>
        <item x="547"/>
        <item x="545"/>
        <item x="500"/>
        <item x="20"/>
        <item x="576"/>
        <item x="29"/>
        <item x="399"/>
        <item x="21"/>
        <item x="440"/>
        <item x="225"/>
        <item x="452"/>
        <item x="474"/>
        <item x="123"/>
        <item x="428"/>
        <item x="420"/>
        <item x="324"/>
        <item x="38"/>
        <item x="469"/>
        <item x="614"/>
        <item x="24"/>
        <item x="259"/>
        <item x="364"/>
        <item x="251"/>
        <item x="50"/>
        <item x="381"/>
        <item x="121"/>
        <item x="444"/>
        <item x="115"/>
        <item x="590"/>
        <item x="209"/>
        <item x="228"/>
        <item x="204"/>
        <item x="454"/>
        <item x="150"/>
        <item x="284"/>
        <item x="377"/>
        <item x="501"/>
        <item x="395"/>
        <item x="568"/>
        <item x="56"/>
        <item x="253"/>
        <item x="170"/>
        <item x="552"/>
        <item x="34"/>
        <item x="456"/>
        <item x="73"/>
        <item x="205"/>
        <item x="213"/>
        <item x="299"/>
        <item x="85"/>
        <item x="234"/>
        <item x="91"/>
        <item x="607"/>
        <item x="256"/>
        <item x="606"/>
        <item x="125"/>
        <item x="167"/>
        <item x="371"/>
        <item x="207"/>
        <item x="449"/>
        <item x="260"/>
        <item x="157"/>
        <item x="416"/>
        <item x="86"/>
        <item x="107"/>
        <item x="208"/>
        <item x="414"/>
        <item x="355"/>
        <item x="215"/>
        <item x="105"/>
        <item x="554"/>
        <item x="529"/>
        <item x="135"/>
        <item x="573"/>
        <item x="336"/>
        <item x="288"/>
        <item x="574"/>
        <item x="10"/>
        <item x="110"/>
        <item x="153"/>
        <item x="44"/>
        <item x="348"/>
        <item x="351"/>
        <item x="442"/>
        <item x="160"/>
        <item x="200"/>
        <item x="505"/>
        <item x="132"/>
        <item x="379"/>
        <item x="329"/>
        <item x="585"/>
        <item x="487"/>
        <item x="166"/>
        <item x="475"/>
        <item x="317"/>
        <item x="202"/>
        <item x="555"/>
        <item x="496"/>
        <item x="550"/>
        <item x="400"/>
        <item x="514"/>
        <item x="219"/>
        <item x="340"/>
        <item x="292"/>
        <item x="566"/>
        <item x="553"/>
        <item x="235"/>
        <item x="401"/>
        <item x="144"/>
        <item x="244"/>
        <item x="387"/>
        <item x="402"/>
        <item x="224"/>
        <item x="390"/>
        <item x="300"/>
        <item x="459"/>
        <item x="289"/>
        <item x="372"/>
        <item x="122"/>
        <item x="310"/>
        <item x="569"/>
        <item x="65"/>
        <item x="384"/>
        <item x="409"/>
        <item x="484"/>
        <item x="159"/>
        <item x="522"/>
        <item x="66"/>
        <item x="388"/>
        <item x="339"/>
        <item x="516"/>
        <item x="2"/>
        <item x="468"/>
        <item x="226"/>
        <item x="61"/>
        <item x="374"/>
        <item x="151"/>
        <item x="471"/>
        <item x="76"/>
        <item x="252"/>
        <item x="352"/>
        <item x="11"/>
        <item x="134"/>
        <item x="322"/>
        <item x="479"/>
        <item x="120"/>
        <item x="84"/>
        <item x="628"/>
        <item x="188"/>
        <item x="600"/>
        <item x="190"/>
        <item x="625"/>
        <item x="77"/>
        <item x="81"/>
        <item x="173"/>
        <item x="365"/>
        <item x="406"/>
        <item x="18"/>
        <item x="36"/>
        <item x="19"/>
        <item x="629"/>
        <item x="482"/>
        <item x="603"/>
        <item x="480"/>
        <item x="95"/>
        <item x="42"/>
        <item x="17"/>
        <item x="587"/>
        <item x="31"/>
        <item x="64"/>
        <item x="278"/>
        <item x="560"/>
        <item x="111"/>
        <item x="617"/>
        <item x="397"/>
        <item x="265"/>
        <item x="48"/>
        <item x="438"/>
        <item x="427"/>
        <item x="266"/>
        <item x="100"/>
        <item x="99"/>
        <item x="273"/>
        <item x="356"/>
        <item x="478"/>
        <item x="542"/>
        <item x="97"/>
        <item x="429"/>
        <item x="181"/>
        <item x="313"/>
        <item x="562"/>
        <item x="360"/>
        <item x="626"/>
        <item x="534"/>
        <item x="337"/>
        <item x="45"/>
        <item x="435"/>
        <item x="149"/>
        <item x="72"/>
        <item x="184"/>
        <item x="60"/>
        <item x="557"/>
        <item x="196"/>
        <item x="618"/>
        <item x="353"/>
        <item x="16"/>
        <item x="431"/>
        <item x="548"/>
        <item x="407"/>
        <item x="556"/>
        <item x="506"/>
        <item x="195"/>
        <item x="592"/>
        <item x="138"/>
        <item x="624"/>
        <item x="426"/>
        <item x="567"/>
        <item x="242"/>
        <item x="376"/>
        <item x="537"/>
        <item x="40"/>
        <item x="448"/>
        <item x="302"/>
        <item x="396"/>
        <item x="49"/>
        <item x="272"/>
        <item x="192"/>
        <item x="583"/>
        <item x="223"/>
        <item x="142"/>
        <item x="521"/>
        <item x="497"/>
        <item x="187"/>
        <item x="357"/>
        <item x="382"/>
        <item x="117"/>
        <item x="236"/>
        <item x="622"/>
        <item x="55"/>
        <item x="199"/>
        <item x="264"/>
        <item x="1"/>
        <item x="375"/>
        <item x="588"/>
        <item x="613"/>
        <item x="306"/>
        <item x="619"/>
        <item x="424"/>
        <item x="423"/>
        <item x="385"/>
        <item x="203"/>
        <item x="539"/>
        <item x="80"/>
        <item x="362"/>
        <item x="392"/>
        <item x="126"/>
        <item x="9"/>
        <item x="346"/>
        <item x="47"/>
        <item x="512"/>
        <item x="319"/>
        <item x="383"/>
        <item x="528"/>
        <item x="465"/>
        <item x="276"/>
        <item x="175"/>
        <item x="165"/>
        <item x="422"/>
        <item x="63"/>
        <item x="140"/>
        <item x="58"/>
        <item x="237"/>
        <item t="default"/>
      </items>
    </pivotField>
    <pivotField compact="0" numFmtId="44" showAll="0">
      <items count="633">
        <item x="1"/>
        <item x="385"/>
        <item x="626"/>
        <item x="265"/>
        <item x="11"/>
        <item x="560"/>
        <item x="132"/>
        <item x="134"/>
        <item x="423"/>
        <item x="289"/>
        <item x="497"/>
        <item x="58"/>
        <item x="501"/>
        <item x="187"/>
        <item x="65"/>
        <item x="125"/>
        <item x="192"/>
        <item x="407"/>
        <item x="150"/>
        <item x="244"/>
        <item x="259"/>
        <item x="73"/>
        <item x="72"/>
        <item x="388"/>
        <item x="590"/>
        <item x="229"/>
        <item x="416"/>
        <item x="152"/>
        <item x="477"/>
        <item x="492"/>
        <item x="98"/>
        <item x="361"/>
        <item x="2"/>
        <item x="196"/>
        <item x="52"/>
        <item x="617"/>
        <item x="363"/>
        <item x="622"/>
        <item x="404"/>
        <item x="601"/>
        <item x="605"/>
        <item x="105"/>
        <item x="397"/>
        <item x="14"/>
        <item x="146"/>
        <item x="131"/>
        <item x="384"/>
        <item x="540"/>
        <item x="338"/>
        <item x="193"/>
        <item x="321"/>
        <item x="66"/>
        <item x="432"/>
        <item x="27"/>
        <item x="449"/>
        <item x="427"/>
        <item x="543"/>
        <item x="167"/>
        <item x="224"/>
        <item x="55"/>
        <item x="303"/>
        <item x="373"/>
        <item x="457"/>
        <item x="166"/>
        <item x="81"/>
        <item x="122"/>
        <item x="114"/>
        <item x="101"/>
        <item x="94"/>
        <item x="408"/>
        <item x="593"/>
        <item x="116"/>
        <item x="3"/>
        <item x="252"/>
        <item x="268"/>
        <item x="434"/>
        <item x="411"/>
        <item x="323"/>
        <item x="299"/>
        <item x="333"/>
        <item x="238"/>
        <item x="201"/>
        <item x="36"/>
        <item x="68"/>
        <item x="137"/>
        <item x="390"/>
        <item x="230"/>
        <item x="177"/>
        <item x="179"/>
        <item x="74"/>
        <item x="87"/>
        <item x="53"/>
        <item x="519"/>
        <item x="127"/>
        <item x="631"/>
        <item x="123"/>
        <item x="574"/>
        <item x="139"/>
        <item x="54"/>
        <item x="476"/>
        <item x="200"/>
        <item x="109"/>
        <item x="298"/>
        <item x="286"/>
        <item x="112"/>
        <item x="212"/>
        <item x="609"/>
        <item x="180"/>
        <item x="263"/>
        <item x="532"/>
        <item x="96"/>
        <item x="51"/>
        <item x="106"/>
        <item x="35"/>
        <item x="172"/>
        <item x="531"/>
        <item x="493"/>
        <item x="311"/>
        <item x="561"/>
        <item x="575"/>
        <item x="285"/>
        <item x="85"/>
        <item x="275"/>
        <item x="282"/>
        <item x="216"/>
        <item x="485"/>
        <item x="243"/>
        <item x="7"/>
        <item x="83"/>
        <item x="586"/>
        <item x="89"/>
        <item x="221"/>
        <item x="119"/>
        <item x="389"/>
        <item x="358"/>
        <item x="602"/>
        <item x="461"/>
        <item x="526"/>
        <item x="247"/>
        <item x="418"/>
        <item x="620"/>
        <item x="15"/>
        <item x="291"/>
        <item x="257"/>
        <item x="59"/>
        <item x="198"/>
        <item x="545"/>
        <item x="462"/>
        <item x="248"/>
        <item x="572"/>
        <item x="460"/>
        <item x="463"/>
        <item x="341"/>
        <item x="211"/>
        <item x="269"/>
        <item x="517"/>
        <item x="369"/>
        <item x="174"/>
        <item x="510"/>
        <item x="86"/>
        <item x="6"/>
        <item x="580"/>
        <item x="113"/>
        <item x="606"/>
        <item x="354"/>
        <item x="227"/>
        <item x="26"/>
        <item x="307"/>
        <item x="169"/>
        <item x="490"/>
        <item x="155"/>
        <item x="402"/>
        <item x="124"/>
        <item x="190"/>
        <item x="582"/>
        <item x="412"/>
        <item x="439"/>
        <item x="447"/>
        <item x="464"/>
        <item x="383"/>
        <item x="608"/>
        <item x="39"/>
        <item x="350"/>
        <item x="612"/>
        <item x="488"/>
        <item x="511"/>
        <item x="530"/>
        <item x="297"/>
        <item x="108"/>
        <item x="314"/>
        <item x="318"/>
        <item x="551"/>
        <item x="232"/>
        <item x="194"/>
        <item x="445"/>
        <item x="305"/>
        <item x="162"/>
        <item x="618"/>
        <item x="16"/>
        <item x="4"/>
        <item x="217"/>
        <item x="520"/>
        <item x="317"/>
        <item x="347"/>
        <item x="393"/>
        <item x="133"/>
        <item x="189"/>
        <item x="239"/>
        <item x="75"/>
        <item x="536"/>
        <item x="327"/>
        <item x="326"/>
        <item x="417"/>
        <item x="513"/>
        <item x="234"/>
        <item x="621"/>
        <item x="370"/>
        <item x="10"/>
        <item x="340"/>
        <item x="364"/>
        <item x="381"/>
        <item x="504"/>
        <item x="128"/>
        <item x="136"/>
        <item x="571"/>
        <item x="584"/>
        <item x="186"/>
        <item x="401"/>
        <item x="466"/>
        <item x="483"/>
        <item x="235"/>
        <item x="598"/>
        <item x="330"/>
        <item x="240"/>
        <item x="564"/>
        <item x="391"/>
        <item x="30"/>
        <item x="168"/>
        <item x="215"/>
        <item x="245"/>
        <item x="270"/>
        <item x="218"/>
        <item x="610"/>
        <item x="578"/>
        <item x="566"/>
        <item x="79"/>
        <item x="296"/>
        <item x="351"/>
        <item x="343"/>
        <item x="185"/>
        <item x="410"/>
        <item x="161"/>
        <item x="576"/>
        <item x="206"/>
        <item x="597"/>
        <item x="508"/>
        <item x="12"/>
        <item x="246"/>
        <item x="344"/>
        <item x="570"/>
        <item x="170"/>
        <item x="591"/>
        <item x="294"/>
        <item x="599"/>
        <item x="258"/>
        <item x="380"/>
        <item x="554"/>
        <item x="271"/>
        <item x="308"/>
        <item x="5"/>
        <item x="419"/>
        <item x="579"/>
        <item x="325"/>
        <item x="486"/>
        <item x="395"/>
        <item x="57"/>
        <item x="623"/>
        <item x="28"/>
        <item x="400"/>
        <item x="222"/>
        <item x="208"/>
        <item x="249"/>
        <item x="565"/>
        <item x="233"/>
        <item x="546"/>
        <item x="524"/>
        <item x="495"/>
        <item x="154"/>
        <item x="241"/>
        <item x="0"/>
        <item x="262"/>
        <item x="481"/>
        <item x="118"/>
        <item x="328"/>
        <item x="399"/>
        <item x="334"/>
        <item x="70"/>
        <item x="596"/>
        <item x="428"/>
        <item x="549"/>
        <item x="615"/>
        <item x="365"/>
        <item x="84"/>
        <item x="627"/>
        <item x="143"/>
        <item x="604"/>
        <item x="25"/>
        <item x="316"/>
        <item x="441"/>
        <item x="527"/>
        <item x="403"/>
        <item x="46"/>
        <item x="103"/>
        <item x="421"/>
        <item x="436"/>
        <item x="82"/>
        <item x="332"/>
        <item x="184"/>
        <item x="503"/>
        <item x="277"/>
        <item x="494"/>
        <item x="231"/>
        <item x="44"/>
        <item x="142"/>
        <item x="443"/>
        <item x="437"/>
        <item x="377"/>
        <item x="525"/>
        <item x="304"/>
        <item x="183"/>
        <item x="214"/>
        <item x="71"/>
        <item x="331"/>
        <item x="50"/>
        <item x="284"/>
        <item x="518"/>
        <item x="78"/>
        <item x="473"/>
        <item x="41"/>
        <item x="406"/>
        <item x="387"/>
        <item x="90"/>
        <item x="420"/>
        <item x="371"/>
        <item x="151"/>
        <item x="378"/>
        <item x="581"/>
        <item x="438"/>
        <item x="254"/>
        <item x="22"/>
        <item x="491"/>
        <item x="141"/>
        <item x="38"/>
        <item x="92"/>
        <item x="426"/>
        <item x="489"/>
        <item x="147"/>
        <item x="509"/>
        <item x="32"/>
        <item x="386"/>
        <item x="515"/>
        <item x="315"/>
        <item x="182"/>
        <item x="99"/>
        <item x="178"/>
        <item x="156"/>
        <item x="458"/>
        <item x="301"/>
        <item x="435"/>
        <item x="197"/>
        <item x="553"/>
        <item x="558"/>
        <item x="279"/>
        <item x="312"/>
        <item x="283"/>
        <item x="594"/>
        <item x="309"/>
        <item x="293"/>
        <item x="191"/>
        <item x="62"/>
        <item x="479"/>
        <item x="453"/>
        <item x="130"/>
        <item x="467"/>
        <item x="512"/>
        <item x="228"/>
        <item x="563"/>
        <item x="164"/>
        <item x="69"/>
        <item x="498"/>
        <item x="516"/>
        <item x="171"/>
        <item x="446"/>
        <item x="375"/>
        <item x="236"/>
        <item x="484"/>
        <item x="573"/>
        <item x="469"/>
        <item x="195"/>
        <item x="547"/>
        <item x="533"/>
        <item x="470"/>
        <item x="281"/>
        <item x="104"/>
        <item x="522"/>
        <item x="43"/>
        <item x="274"/>
        <item x="559"/>
        <item x="587"/>
        <item x="148"/>
        <item x="502"/>
        <item x="158"/>
        <item x="67"/>
        <item x="405"/>
        <item x="455"/>
        <item x="382"/>
        <item x="250"/>
        <item x="49"/>
        <item x="209"/>
        <item x="450"/>
        <item x="256"/>
        <item x="163"/>
        <item x="589"/>
        <item x="251"/>
        <item x="272"/>
        <item x="37"/>
        <item x="552"/>
        <item x="88"/>
        <item x="616"/>
        <item x="433"/>
        <item x="359"/>
        <item x="345"/>
        <item x="31"/>
        <item x="619"/>
        <item x="548"/>
        <item x="630"/>
        <item x="91"/>
        <item x="349"/>
        <item x="577"/>
        <item x="430"/>
        <item x="64"/>
        <item x="535"/>
        <item x="145"/>
        <item x="264"/>
        <item x="398"/>
        <item x="319"/>
        <item x="409"/>
        <item x="33"/>
        <item x="8"/>
        <item x="220"/>
        <item x="160"/>
        <item x="425"/>
        <item x="242"/>
        <item x="614"/>
        <item x="176"/>
        <item x="335"/>
        <item x="507"/>
        <item x="292"/>
        <item x="368"/>
        <item x="267"/>
        <item x="280"/>
        <item x="585"/>
        <item x="472"/>
        <item x="102"/>
        <item x="261"/>
        <item x="544"/>
        <item x="468"/>
        <item x="413"/>
        <item x="456"/>
        <item x="459"/>
        <item x="273"/>
        <item x="499"/>
        <item x="611"/>
        <item x="595"/>
        <item x="210"/>
        <item x="306"/>
        <item x="474"/>
        <item x="352"/>
        <item x="523"/>
        <item x="392"/>
        <item x="129"/>
        <item x="506"/>
        <item x="339"/>
        <item x="542"/>
        <item x="138"/>
        <item x="300"/>
        <item x="366"/>
        <item x="21"/>
        <item x="45"/>
        <item x="188"/>
        <item x="355"/>
        <item x="415"/>
        <item x="394"/>
        <item x="260"/>
        <item x="144"/>
        <item x="29"/>
        <item x="290"/>
        <item x="63"/>
        <item x="500"/>
        <item x="440"/>
        <item x="444"/>
        <item x="202"/>
        <item x="111"/>
        <item x="107"/>
        <item x="23"/>
        <item x="61"/>
        <item x="367"/>
        <item x="353"/>
        <item x="60"/>
        <item x="562"/>
        <item x="287"/>
        <item x="93"/>
        <item x="157"/>
        <item x="225"/>
        <item x="541"/>
        <item x="451"/>
        <item x="295"/>
        <item x="454"/>
        <item x="42"/>
        <item x="342"/>
        <item x="213"/>
        <item x="538"/>
        <item x="121"/>
        <item x="528"/>
        <item x="203"/>
        <item x="302"/>
        <item x="583"/>
        <item x="13"/>
        <item x="475"/>
        <item x="97"/>
        <item x="159"/>
        <item x="348"/>
        <item x="360"/>
        <item x="219"/>
        <item x="288"/>
        <item x="568"/>
        <item x="320"/>
        <item x="173"/>
        <item x="329"/>
        <item x="253"/>
        <item x="115"/>
        <item x="110"/>
        <item x="452"/>
        <item x="226"/>
        <item x="205"/>
        <item x="374"/>
        <item x="135"/>
        <item x="20"/>
        <item x="204"/>
        <item x="40"/>
        <item x="24"/>
        <item x="487"/>
        <item x="625"/>
        <item x="310"/>
        <item x="336"/>
        <item x="255"/>
        <item x="77"/>
        <item x="550"/>
        <item x="34"/>
        <item x="628"/>
        <item x="153"/>
        <item x="278"/>
        <item x="324"/>
        <item x="207"/>
        <item x="48"/>
        <item x="496"/>
        <item x="600"/>
        <item x="337"/>
        <item x="372"/>
        <item x="17"/>
        <item x="607"/>
        <item x="442"/>
        <item x="376"/>
        <item x="482"/>
        <item x="56"/>
        <item x="567"/>
        <item x="76"/>
        <item x="505"/>
        <item x="569"/>
        <item x="357"/>
        <item x="514"/>
        <item x="313"/>
        <item x="414"/>
        <item x="266"/>
        <item x="448"/>
        <item x="555"/>
        <item x="379"/>
        <item x="471"/>
        <item x="429"/>
        <item x="181"/>
        <item x="18"/>
        <item x="149"/>
        <item x="534"/>
        <item x="529"/>
        <item x="9"/>
        <item x="19"/>
        <item x="478"/>
        <item x="603"/>
        <item x="556"/>
        <item x="480"/>
        <item x="120"/>
        <item x="629"/>
        <item x="322"/>
        <item x="356"/>
        <item x="424"/>
        <item x="199"/>
        <item x="140"/>
        <item x="624"/>
        <item x="80"/>
        <item x="95"/>
        <item x="537"/>
        <item x="126"/>
        <item x="592"/>
        <item x="276"/>
        <item x="557"/>
        <item x="396"/>
        <item x="539"/>
        <item x="465"/>
        <item x="165"/>
        <item x="100"/>
        <item x="431"/>
        <item x="117"/>
        <item x="588"/>
        <item x="521"/>
        <item x="346"/>
        <item x="223"/>
        <item x="175"/>
        <item x="362"/>
        <item x="422"/>
        <item x="613"/>
        <item x="237"/>
        <item x="47"/>
        <item t="default"/>
      </items>
    </pivotField>
    <pivotField compact="0" numFmtId="44" showAll="0">
      <items count="633">
        <item x="1"/>
        <item x="385"/>
        <item x="11"/>
        <item x="626"/>
        <item x="132"/>
        <item x="265"/>
        <item x="289"/>
        <item x="501"/>
        <item x="560"/>
        <item x="134"/>
        <item x="150"/>
        <item x="125"/>
        <item x="259"/>
        <item x="152"/>
        <item x="477"/>
        <item x="361"/>
        <item x="65"/>
        <item x="146"/>
        <item x="98"/>
        <item x="338"/>
        <item x="540"/>
        <item x="73"/>
        <item x="432"/>
        <item x="116"/>
        <item x="229"/>
        <item x="52"/>
        <item x="131"/>
        <item x="114"/>
        <item x="323"/>
        <item x="177"/>
        <item x="298"/>
        <item x="631"/>
        <item x="193"/>
        <item x="112"/>
        <item x="180"/>
        <item x="286"/>
        <item x="54"/>
        <item x="230"/>
        <item x="96"/>
        <item x="172"/>
        <item x="493"/>
        <item x="109"/>
        <item x="519"/>
        <item x="532"/>
        <item x="127"/>
        <item x="263"/>
        <item x="106"/>
        <item x="27"/>
        <item x="492"/>
        <item x="244"/>
        <item x="531"/>
        <item x="434"/>
        <item x="575"/>
        <item x="590"/>
        <item x="51"/>
        <item x="476"/>
        <item x="586"/>
        <item x="282"/>
        <item x="83"/>
        <item x="389"/>
        <item x="311"/>
        <item x="119"/>
        <item x="89"/>
        <item x="7"/>
        <item x="87"/>
        <item x="243"/>
        <item x="247"/>
        <item x="221"/>
        <item x="139"/>
        <item x="418"/>
        <item x="605"/>
        <item x="461"/>
        <item x="602"/>
        <item x="373"/>
        <item x="620"/>
        <item x="601"/>
        <item x="572"/>
        <item x="291"/>
        <item x="543"/>
        <item x="609"/>
        <item x="53"/>
        <item x="404"/>
        <item x="14"/>
        <item x="517"/>
        <item x="341"/>
        <item x="354"/>
        <item x="460"/>
        <item x="526"/>
        <item x="416"/>
        <item x="211"/>
        <item x="408"/>
        <item x="463"/>
        <item x="490"/>
        <item x="257"/>
        <item x="363"/>
        <item x="321"/>
        <item x="174"/>
        <item x="26"/>
        <item x="113"/>
        <item x="582"/>
        <item x="3"/>
        <item x="94"/>
        <item x="179"/>
        <item x="124"/>
        <item x="412"/>
        <item x="169"/>
        <item x="108"/>
        <item x="464"/>
        <item x="593"/>
        <item x="285"/>
        <item x="305"/>
        <item x="551"/>
        <item x="201"/>
        <item x="6"/>
        <item x="137"/>
        <item x="445"/>
        <item x="101"/>
        <item x="248"/>
        <item x="333"/>
        <item x="358"/>
        <item x="388"/>
        <item x="439"/>
        <item x="608"/>
        <item x="462"/>
        <item x="217"/>
        <item x="347"/>
        <item x="307"/>
        <item x="318"/>
        <item x="232"/>
        <item x="59"/>
        <item x="297"/>
        <item x="303"/>
        <item x="326"/>
        <item x="39"/>
        <item x="268"/>
        <item x="411"/>
        <item x="621"/>
        <item x="457"/>
        <item x="238"/>
        <item x="511"/>
        <item x="369"/>
        <item x="128"/>
        <item x="350"/>
        <item x="488"/>
        <item x="466"/>
        <item x="330"/>
        <item x="485"/>
        <item x="391"/>
        <item x="133"/>
        <item x="194"/>
        <item x="35"/>
        <item x="74"/>
        <item x="212"/>
        <item x="561"/>
        <item x="245"/>
        <item x="239"/>
        <item x="327"/>
        <item x="227"/>
        <item x="584"/>
        <item x="314"/>
        <item x="370"/>
        <item x="597"/>
        <item x="15"/>
        <item x="68"/>
        <item x="598"/>
        <item x="344"/>
        <item x="216"/>
        <item x="571"/>
        <item x="570"/>
        <item x="240"/>
        <item x="186"/>
        <item x="2"/>
        <item x="513"/>
        <item x="296"/>
        <item x="508"/>
        <item x="580"/>
        <item x="483"/>
        <item x="275"/>
        <item x="407"/>
        <item x="449"/>
        <item x="269"/>
        <item x="79"/>
        <item x="198"/>
        <item x="447"/>
        <item x="497"/>
        <item x="5"/>
        <item x="258"/>
        <item x="12"/>
        <item x="28"/>
        <item x="105"/>
        <item x="410"/>
        <item x="579"/>
        <item x="75"/>
        <item x="161"/>
        <item x="384"/>
        <item x="520"/>
        <item x="565"/>
        <item x="123"/>
        <item x="222"/>
        <item x="57"/>
        <item x="155"/>
        <item x="510"/>
        <item x="218"/>
        <item x="72"/>
        <item x="168"/>
        <item x="308"/>
        <item x="486"/>
        <item x="578"/>
        <item x="162"/>
        <item x="536"/>
        <item x="495"/>
        <item x="546"/>
        <item x="599"/>
        <item x="167"/>
        <item x="417"/>
        <item x="270"/>
        <item x="206"/>
        <item x="612"/>
        <item x="233"/>
        <item x="481"/>
        <item x="530"/>
        <item x="189"/>
        <item x="0"/>
        <item x="192"/>
        <item x="299"/>
        <item x="545"/>
        <item x="423"/>
        <item x="334"/>
        <item x="617"/>
        <item x="66"/>
        <item x="166"/>
        <item x="271"/>
        <item x="118"/>
        <item x="627"/>
        <item x="524"/>
        <item x="187"/>
        <item x="224"/>
        <item x="604"/>
        <item x="403"/>
        <item x="136"/>
        <item x="82"/>
        <item x="397"/>
        <item x="85"/>
        <item x="436"/>
        <item x="504"/>
        <item x="30"/>
        <item x="4"/>
        <item x="103"/>
        <item x="122"/>
        <item x="564"/>
        <item x="574"/>
        <item x="294"/>
        <item x="610"/>
        <item x="231"/>
        <item x="277"/>
        <item x="200"/>
        <item x="343"/>
        <item x="443"/>
        <item x="185"/>
        <item x="262"/>
        <item x="304"/>
        <item x="46"/>
        <item x="419"/>
        <item x="196"/>
        <item x="596"/>
        <item x="606"/>
        <item x="390"/>
        <item x="325"/>
        <item x="86"/>
        <item x="393"/>
        <item x="71"/>
        <item x="364"/>
        <item x="25"/>
        <item x="81"/>
        <item x="252"/>
        <item x="437"/>
        <item x="246"/>
        <item x="381"/>
        <item x="581"/>
        <item x="241"/>
        <item x="623"/>
        <item x="332"/>
        <item x="576"/>
        <item x="316"/>
        <item x="380"/>
        <item x="378"/>
        <item x="591"/>
        <item x="254"/>
        <item x="214"/>
        <item x="503"/>
        <item x="525"/>
        <item x="491"/>
        <item x="328"/>
        <item x="143"/>
        <item x="234"/>
        <item x="70"/>
        <item x="154"/>
        <item x="183"/>
        <item x="615"/>
        <item x="249"/>
        <item x="473"/>
        <item x="421"/>
        <item x="36"/>
        <item x="331"/>
        <item x="549"/>
        <item x="178"/>
        <item x="90"/>
        <item x="156"/>
        <item x="402"/>
        <item x="182"/>
        <item x="141"/>
        <item x="458"/>
        <item x="215"/>
        <item x="509"/>
        <item x="317"/>
        <item x="527"/>
        <item x="518"/>
        <item x="10"/>
        <item x="293"/>
        <item x="399"/>
        <item x="315"/>
        <item x="41"/>
        <item x="395"/>
        <item x="130"/>
        <item x="489"/>
        <item x="441"/>
        <item x="594"/>
        <item x="494"/>
        <item x="32"/>
        <item x="428"/>
        <item x="386"/>
        <item x="279"/>
        <item x="351"/>
        <item x="92"/>
        <item x="235"/>
        <item x="401"/>
        <item x="191"/>
        <item x="170"/>
        <item x="554"/>
        <item x="190"/>
        <item x="22"/>
        <item x="301"/>
        <item x="78"/>
        <item x="563"/>
        <item x="208"/>
        <item x="566"/>
        <item x="498"/>
        <item x="515"/>
        <item x="69"/>
        <item x="309"/>
        <item x="558"/>
        <item x="171"/>
        <item x="197"/>
        <item x="62"/>
        <item x="312"/>
        <item x="446"/>
        <item x="400"/>
        <item x="283"/>
        <item x="147"/>
        <item x="377"/>
        <item x="622"/>
        <item x="453"/>
        <item x="420"/>
        <item x="164"/>
        <item x="284"/>
        <item x="470"/>
        <item x="427"/>
        <item x="38"/>
        <item x="43"/>
        <item x="158"/>
        <item x="502"/>
        <item x="44"/>
        <item x="533"/>
        <item x="274"/>
        <item x="467"/>
        <item x="371"/>
        <item x="104"/>
        <item x="618"/>
        <item x="616"/>
        <item x="84"/>
        <item x="250"/>
        <item x="559"/>
        <item x="16"/>
        <item x="365"/>
        <item x="589"/>
        <item x="163"/>
        <item x="55"/>
        <item x="37"/>
        <item x="450"/>
        <item x="50"/>
        <item x="88"/>
        <item x="405"/>
        <item x="228"/>
        <item x="387"/>
        <item x="67"/>
        <item x="547"/>
        <item x="349"/>
        <item x="469"/>
        <item x="148"/>
        <item x="433"/>
        <item x="455"/>
        <item x="630"/>
        <item x="430"/>
        <item x="345"/>
        <item x="151"/>
        <item x="553"/>
        <item x="145"/>
        <item x="577"/>
        <item x="406"/>
        <item x="398"/>
        <item x="359"/>
        <item x="33"/>
        <item x="573"/>
        <item x="535"/>
        <item x="220"/>
        <item x="251"/>
        <item x="209"/>
        <item x="184"/>
        <item x="438"/>
        <item x="281"/>
        <item x="8"/>
        <item x="368"/>
        <item x="479"/>
        <item x="516"/>
        <item x="102"/>
        <item x="425"/>
        <item x="256"/>
        <item x="552"/>
        <item x="484"/>
        <item x="544"/>
        <item x="176"/>
        <item x="507"/>
        <item x="335"/>
        <item x="472"/>
        <item x="91"/>
        <item x="522"/>
        <item x="595"/>
        <item x="413"/>
        <item x="435"/>
        <item x="267"/>
        <item x="614"/>
        <item x="280"/>
        <item x="499"/>
        <item x="261"/>
        <item x="523"/>
        <item x="587"/>
        <item x="142"/>
        <item x="129"/>
        <item x="611"/>
        <item x="426"/>
        <item x="210"/>
        <item x="160"/>
        <item x="409"/>
        <item x="474"/>
        <item x="456"/>
        <item x="31"/>
        <item x="585"/>
        <item x="64"/>
        <item x="292"/>
        <item x="99"/>
        <item x="195"/>
        <item x="415"/>
        <item x="366"/>
        <item x="21"/>
        <item x="290"/>
        <item x="394"/>
        <item x="459"/>
        <item x="468"/>
        <item x="29"/>
        <item x="367"/>
        <item x="58"/>
        <item x="500"/>
        <item x="23"/>
        <item x="440"/>
        <item x="383"/>
        <item x="548"/>
        <item x="260"/>
        <item x="287"/>
        <item x="355"/>
        <item x="444"/>
        <item x="541"/>
        <item x="93"/>
        <item x="352"/>
        <item x="49"/>
        <item x="236"/>
        <item x="451"/>
        <item x="272"/>
        <item x="295"/>
        <item x="300"/>
        <item x="375"/>
        <item x="273"/>
        <item x="342"/>
        <item x="107"/>
        <item x="225"/>
        <item x="538"/>
        <item x="144"/>
        <item x="382"/>
        <item x="202"/>
        <item x="242"/>
        <item x="454"/>
        <item x="157"/>
        <item x="188"/>
        <item x="121"/>
        <item x="542"/>
        <item x="13"/>
        <item x="213"/>
        <item x="61"/>
        <item x="320"/>
        <item x="111"/>
        <item x="264"/>
        <item x="45"/>
        <item x="619"/>
        <item x="506"/>
        <item x="452"/>
        <item x="568"/>
        <item x="339"/>
        <item x="115"/>
        <item x="138"/>
        <item x="475"/>
        <item x="253"/>
        <item x="20"/>
        <item x="348"/>
        <item x="288"/>
        <item x="562"/>
        <item x="60"/>
        <item x="512"/>
        <item x="24"/>
        <item x="353"/>
        <item x="204"/>
        <item x="205"/>
        <item x="329"/>
        <item x="159"/>
        <item x="110"/>
        <item x="255"/>
        <item x="135"/>
        <item x="306"/>
        <item x="226"/>
        <item x="173"/>
        <item x="487"/>
        <item x="336"/>
        <item x="97"/>
        <item x="34"/>
        <item x="324"/>
        <item x="219"/>
        <item x="550"/>
        <item x="360"/>
        <item x="310"/>
        <item x="340"/>
        <item x="207"/>
        <item x="319"/>
        <item x="153"/>
        <item x="625"/>
        <item x="374"/>
        <item x="302"/>
        <item x="77"/>
        <item x="496"/>
        <item x="583"/>
        <item x="628"/>
        <item x="607"/>
        <item x="372"/>
        <item x="278"/>
        <item x="42"/>
        <item x="600"/>
        <item x="56"/>
        <item x="48"/>
        <item x="442"/>
        <item x="40"/>
        <item x="17"/>
        <item x="203"/>
        <item x="505"/>
        <item x="414"/>
        <item x="337"/>
        <item x="514"/>
        <item x="569"/>
        <item x="482"/>
        <item x="76"/>
        <item x="379"/>
        <item x="555"/>
        <item x="529"/>
        <item x="471"/>
        <item x="266"/>
        <item x="313"/>
        <item x="528"/>
        <item x="376"/>
        <item x="18"/>
        <item x="567"/>
        <item x="429"/>
        <item x="181"/>
        <item x="19"/>
        <item x="448"/>
        <item x="149"/>
        <item x="534"/>
        <item x="603"/>
        <item x="478"/>
        <item x="357"/>
        <item x="120"/>
        <item x="480"/>
        <item x="322"/>
        <item x="629"/>
        <item x="556"/>
        <item x="356"/>
        <item x="392"/>
        <item x="63"/>
        <item x="95"/>
        <item x="9"/>
        <item x="624"/>
        <item x="537"/>
        <item x="199"/>
        <item x="424"/>
        <item x="592"/>
        <item x="557"/>
        <item x="80"/>
        <item x="126"/>
        <item x="396"/>
        <item x="100"/>
        <item x="539"/>
        <item x="431"/>
        <item x="140"/>
        <item x="276"/>
        <item x="117"/>
        <item x="521"/>
        <item x="588"/>
        <item x="465"/>
        <item x="165"/>
        <item x="223"/>
        <item x="346"/>
        <item x="362"/>
        <item x="175"/>
        <item x="613"/>
        <item x="422"/>
        <item x="47"/>
        <item x="237"/>
        <item t="default"/>
      </items>
    </pivotField>
    <pivotField compact="0" showAll="0">
      <items count="633">
        <item x="1"/>
        <item x="132"/>
        <item x="11"/>
        <item x="116"/>
        <item x="501"/>
        <item x="626"/>
        <item x="385"/>
        <item x="265"/>
        <item x="152"/>
        <item x="177"/>
        <item x="289"/>
        <item x="477"/>
        <item x="150"/>
        <item x="298"/>
        <item x="560"/>
        <item x="259"/>
        <item x="134"/>
        <item x="338"/>
        <item x="146"/>
        <item x="125"/>
        <item x="323"/>
        <item x="361"/>
        <item x="540"/>
        <item x="432"/>
        <item x="98"/>
        <item x="114"/>
        <item x="65"/>
        <item x="112"/>
        <item x="131"/>
        <item x="52"/>
        <item x="73"/>
        <item x="229"/>
        <item x="631"/>
        <item x="193"/>
        <item x="244"/>
        <item x="590"/>
        <item x="492"/>
        <item x="230"/>
        <item x="27"/>
        <item x="286"/>
        <item x="605"/>
        <item x="363"/>
        <item x="601"/>
        <item x="416"/>
        <item x="404"/>
        <item x="54"/>
        <item x="14"/>
        <item x="388"/>
        <item x="497"/>
        <item x="434"/>
        <item x="423"/>
        <item x="407"/>
        <item x="373"/>
        <item x="543"/>
        <item x="321"/>
        <item x="187"/>
        <item x="180"/>
        <item x="192"/>
        <item x="72"/>
        <item x="2"/>
        <item x="105"/>
        <item x="519"/>
        <item x="127"/>
        <item x="408"/>
        <item x="617"/>
        <item x="384"/>
        <item x="94"/>
        <item x="303"/>
        <item x="196"/>
        <item x="397"/>
        <item x="3"/>
        <item x="593"/>
        <item x="449"/>
        <item x="457"/>
        <item x="101"/>
        <item x="87"/>
        <item x="66"/>
        <item x="58"/>
        <item x="167"/>
        <item x="109"/>
        <item x="201"/>
        <item x="622"/>
        <item x="268"/>
        <item x="411"/>
        <item x="427"/>
        <item x="333"/>
        <item x="224"/>
        <item x="53"/>
        <item x="137"/>
        <item x="139"/>
        <item x="166"/>
        <item x="238"/>
        <item x="476"/>
        <item x="122"/>
        <item x="81"/>
        <item x="179"/>
        <item x="74"/>
        <item x="252"/>
        <item x="68"/>
        <item x="55"/>
        <item x="299"/>
        <item x="36"/>
        <item x="390"/>
        <item x="123"/>
        <item x="574"/>
        <item x="263"/>
        <item x="609"/>
        <item x="200"/>
        <item x="532"/>
        <item x="212"/>
        <item x="96"/>
        <item x="35"/>
        <item x="85"/>
        <item x="561"/>
        <item x="275"/>
        <item x="383"/>
        <item x="216"/>
        <item x="485"/>
        <item x="285"/>
        <item x="51"/>
        <item x="545"/>
        <item x="106"/>
        <item x="190"/>
        <item x="402"/>
        <item x="86"/>
        <item x="16"/>
        <item x="618"/>
        <item x="15"/>
        <item x="606"/>
        <item x="198"/>
        <item x="531"/>
        <item x="358"/>
        <item x="510"/>
        <item x="269"/>
        <item x="317"/>
        <item x="155"/>
        <item x="311"/>
        <item x="340"/>
        <item x="401"/>
        <item x="235"/>
        <item x="59"/>
        <item x="10"/>
        <item x="580"/>
        <item x="234"/>
        <item x="612"/>
        <item x="566"/>
        <item x="512"/>
        <item x="530"/>
        <item x="462"/>
        <item x="215"/>
        <item x="4"/>
        <item x="393"/>
        <item x="351"/>
        <item x="381"/>
        <item x="364"/>
        <item x="142"/>
        <item x="227"/>
        <item x="248"/>
        <item x="369"/>
        <item x="184"/>
        <item x="526"/>
        <item x="400"/>
        <item x="170"/>
        <item x="504"/>
        <item x="365"/>
        <item x="554"/>
        <item x="162"/>
        <item x="84"/>
        <item x="426"/>
        <item x="189"/>
        <item x="375"/>
        <item x="319"/>
        <item x="447"/>
        <item x="136"/>
        <item x="208"/>
        <item x="236"/>
        <item x="576"/>
        <item x="63"/>
        <item x="564"/>
        <item x="257"/>
        <item x="520"/>
        <item x="395"/>
        <item x="30"/>
        <item x="536"/>
        <item x="610"/>
        <item x="417"/>
        <item x="435"/>
        <item x="382"/>
        <item x="438"/>
        <item x="406"/>
        <item x="185"/>
        <item x="591"/>
        <item x="619"/>
        <item x="99"/>
        <item x="75"/>
        <item x="307"/>
        <item x="195"/>
        <item x="151"/>
        <item x="264"/>
        <item x="380"/>
        <item x="49"/>
        <item x="314"/>
        <item x="246"/>
        <item x="272"/>
        <item x="44"/>
        <item x="343"/>
        <item x="282"/>
        <item x="387"/>
        <item x="392"/>
        <item x="249"/>
        <item x="575"/>
        <item x="350"/>
        <item x="428"/>
        <item x="399"/>
        <item x="6"/>
        <item x="623"/>
        <item x="306"/>
        <item x="479"/>
        <item x="528"/>
        <item x="270"/>
        <item x="548"/>
        <item x="221"/>
        <item x="488"/>
        <item x="325"/>
        <item x="377"/>
        <item x="168"/>
        <item x="553"/>
        <item x="419"/>
        <item x="294"/>
        <item x="39"/>
        <item x="371"/>
        <item x="242"/>
        <item x="516"/>
        <item x="154"/>
        <item x="284"/>
        <item x="587"/>
        <item x="441"/>
        <item x="463"/>
        <item x="602"/>
        <item x="578"/>
        <item x="50"/>
        <item x="218"/>
        <item x="484"/>
        <item x="513"/>
        <item x="549"/>
        <item x="243"/>
        <item x="70"/>
        <item x="511"/>
        <item x="460"/>
        <item x="522"/>
        <item x="211"/>
        <item x="194"/>
        <item x="31"/>
        <item x="527"/>
        <item x="206"/>
        <item x="420"/>
        <item x="241"/>
        <item x="64"/>
        <item x="439"/>
        <item x="203"/>
        <item x="615"/>
        <item x="483"/>
        <item x="38"/>
        <item x="506"/>
        <item x="461"/>
        <item x="7"/>
        <item x="494"/>
        <item x="138"/>
        <item x="573"/>
        <item x="169"/>
        <item x="174"/>
        <item x="297"/>
        <item x="186"/>
        <item x="113"/>
        <item x="143"/>
        <item x="140"/>
        <item x="608"/>
        <item x="273"/>
        <item x="271"/>
        <item x="571"/>
        <item x="620"/>
        <item x="228"/>
        <item x="421"/>
        <item x="147"/>
        <item x="161"/>
        <item x="409"/>
        <item x="291"/>
        <item x="370"/>
        <item x="542"/>
        <item x="239"/>
        <item x="89"/>
        <item x="262"/>
        <item x="45"/>
        <item x="598"/>
        <item x="353"/>
        <item x="583"/>
        <item x="316"/>
        <item x="172"/>
        <item x="327"/>
        <item x="302"/>
        <item x="410"/>
        <item x="60"/>
        <item x="318"/>
        <item x="133"/>
        <item x="596"/>
        <item x="468"/>
        <item x="240"/>
        <item x="25"/>
        <item x="469"/>
        <item x="256"/>
        <item x="599"/>
        <item x="467"/>
        <item x="79"/>
        <item x="124"/>
        <item x="562"/>
        <item x="232"/>
        <item x="41"/>
        <item x="352"/>
        <item x="119"/>
        <item x="292"/>
        <item x="552"/>
        <item x="78"/>
        <item x="160"/>
        <item x="9"/>
        <item x="91"/>
        <item x="459"/>
        <item x="209"/>
        <item x="276"/>
        <item x="584"/>
        <item x="40"/>
        <item x="412"/>
        <item x="26"/>
        <item x="111"/>
        <item x="547"/>
        <item x="22"/>
        <item x="12"/>
        <item x="585"/>
        <item x="339"/>
        <item x="188"/>
        <item x="518"/>
        <item x="83"/>
        <item x="251"/>
        <item x="524"/>
        <item x="503"/>
        <item x="418"/>
        <item x="360"/>
        <item x="97"/>
        <item x="515"/>
        <item x="357"/>
        <item x="296"/>
        <item x="308"/>
        <item x="300"/>
        <item x="283"/>
        <item x="42"/>
        <item x="197"/>
        <item x="61"/>
        <item x="183"/>
        <item x="465"/>
        <item x="453"/>
        <item x="165"/>
        <item x="341"/>
        <item x="148"/>
        <item x="92"/>
        <item x="144"/>
        <item x="331"/>
        <item x="582"/>
        <item x="312"/>
        <item x="525"/>
        <item x="455"/>
        <item x="126"/>
        <item x="456"/>
        <item x="376"/>
        <item x="164"/>
        <item x="328"/>
        <item x="46"/>
        <item x="486"/>
        <item x="614"/>
        <item x="67"/>
        <item x="424"/>
        <item x="489"/>
        <item x="464"/>
        <item x="567"/>
        <item x="332"/>
        <item x="448"/>
        <item x="558"/>
        <item x="80"/>
        <item x="32"/>
        <item x="202"/>
        <item x="62"/>
        <item x="490"/>
        <item x="473"/>
        <item x="386"/>
        <item x="173"/>
        <item x="337"/>
        <item x="237"/>
        <item x="247"/>
        <item x="355"/>
        <item x="281"/>
        <item x="214"/>
        <item x="301"/>
        <item x="233"/>
        <item x="199"/>
        <item x="559"/>
        <item x="118"/>
        <item x="260"/>
        <item x="405"/>
        <item x="359"/>
        <item x="159"/>
        <item x="90"/>
        <item x="175"/>
        <item x="57"/>
        <item x="48"/>
        <item x="508"/>
        <item x="437"/>
        <item x="625"/>
        <item x="267"/>
        <item x="107"/>
        <item x="226"/>
        <item x="258"/>
        <item x="535"/>
        <item x="374"/>
        <item x="261"/>
        <item x="278"/>
        <item x="77"/>
        <item x="309"/>
        <item x="104"/>
        <item x="533"/>
        <item x="280"/>
        <item x="474"/>
        <item x="313"/>
        <item x="219"/>
        <item x="628"/>
        <item x="315"/>
        <item x="556"/>
        <item x="475"/>
        <item x="157"/>
        <item x="335"/>
        <item x="611"/>
        <item x="17"/>
        <item x="600"/>
        <item x="539"/>
        <item x="141"/>
        <item x="348"/>
        <item x="149"/>
        <item x="345"/>
        <item x="546"/>
        <item x="181"/>
        <item x="429"/>
        <item x="210"/>
        <item x="310"/>
        <item x="509"/>
        <item x="329"/>
        <item x="577"/>
        <item x="176"/>
        <item x="534"/>
        <item x="266"/>
        <item x="444"/>
        <item x="217"/>
        <item x="422"/>
        <item x="425"/>
        <item x="103"/>
        <item x="572"/>
        <item x="579"/>
        <item x="128"/>
        <item x="213"/>
        <item x="288"/>
        <item x="110"/>
        <item x="346"/>
        <item x="222"/>
        <item x="279"/>
        <item x="21"/>
        <item x="466"/>
        <item x="5"/>
        <item x="482"/>
        <item x="537"/>
        <item x="450"/>
        <item x="250"/>
        <item x="624"/>
        <item x="366"/>
        <item x="274"/>
        <item x="347"/>
        <item x="8"/>
        <item x="454"/>
        <item x="433"/>
        <item x="495"/>
        <item x="29"/>
        <item x="517"/>
        <item x="487"/>
        <item x="394"/>
        <item x="550"/>
        <item x="326"/>
        <item x="586"/>
        <item x="507"/>
        <item x="440"/>
        <item x="163"/>
        <item x="478"/>
        <item x="604"/>
        <item x="413"/>
        <item x="245"/>
        <item x="499"/>
        <item x="135"/>
        <item x="0"/>
        <item x="551"/>
        <item x="389"/>
        <item x="500"/>
        <item x="445"/>
        <item x="372"/>
        <item x="76"/>
        <item x="446"/>
        <item x="589"/>
        <item x="592"/>
        <item x="191"/>
        <item x="430"/>
        <item x="121"/>
        <item x="277"/>
        <item x="630"/>
        <item x="496"/>
        <item x="472"/>
        <item x="37"/>
        <item x="18"/>
        <item x="23"/>
        <item x="336"/>
        <item x="568"/>
        <item x="481"/>
        <item x="253"/>
        <item x="621"/>
        <item x="153"/>
        <item x="225"/>
        <item x="436"/>
        <item x="43"/>
        <item x="182"/>
        <item x="588"/>
        <item x="396"/>
        <item x="470"/>
        <item x="398"/>
        <item x="565"/>
        <item x="205"/>
        <item x="502"/>
        <item x="71"/>
        <item x="334"/>
        <item x="594"/>
        <item x="108"/>
        <item x="69"/>
        <item x="471"/>
        <item x="570"/>
        <item x="354"/>
        <item x="356"/>
        <item x="569"/>
        <item x="290"/>
        <item x="117"/>
        <item x="19"/>
        <item x="415"/>
        <item x="145"/>
        <item x="603"/>
        <item x="33"/>
        <item x="627"/>
        <item x="88"/>
        <item x="493"/>
        <item x="443"/>
        <item x="349"/>
        <item x="480"/>
        <item x="28"/>
        <item x="115"/>
        <item x="458"/>
        <item x="597"/>
        <item x="82"/>
        <item x="220"/>
        <item x="287"/>
        <item x="523"/>
        <item x="403"/>
        <item x="204"/>
        <item x="629"/>
        <item x="330"/>
        <item x="442"/>
        <item x="362"/>
        <item x="231"/>
        <item x="171"/>
        <item x="563"/>
        <item x="93"/>
        <item x="557"/>
        <item x="207"/>
        <item x="34"/>
        <item x="514"/>
        <item x="158"/>
        <item x="498"/>
        <item x="304"/>
        <item x="120"/>
        <item x="295"/>
        <item x="505"/>
        <item x="368"/>
        <item x="344"/>
        <item x="129"/>
        <item x="521"/>
        <item x="555"/>
        <item x="322"/>
        <item x="378"/>
        <item x="24"/>
        <item x="544"/>
        <item x="452"/>
        <item x="156"/>
        <item x="391"/>
        <item x="595"/>
        <item x="379"/>
        <item x="367"/>
        <item x="607"/>
        <item x="95"/>
        <item x="178"/>
        <item x="541"/>
        <item x="538"/>
        <item x="13"/>
        <item x="491"/>
        <item x="451"/>
        <item x="342"/>
        <item x="102"/>
        <item x="254"/>
        <item x="320"/>
        <item x="20"/>
        <item x="414"/>
        <item x="616"/>
        <item x="431"/>
        <item x="130"/>
        <item x="223"/>
        <item x="56"/>
        <item x="324"/>
        <item x="293"/>
        <item x="305"/>
        <item x="581"/>
        <item x="613"/>
        <item x="529"/>
        <item x="255"/>
        <item x="100"/>
        <item x="47"/>
        <item t="default"/>
      </items>
    </pivotField>
    <pivotField compact="0" defaultSubtotal="0" showAll="0">
      <items count="5">
        <item x="0"/>
        <item x="4"/>
        <item x="1"/>
        <item x="2"/>
        <item x="3"/>
      </items>
    </pivotField>
  </pivotFields>
  <rowFields count="1">
    <field x="16"/>
  </rowFields>
  <rowItems count="11">
    <i>
      <x v="403"/>
    </i>
    <i>
      <x v="405"/>
    </i>
    <i>
      <x v="207"/>
    </i>
    <i>
      <x v="117"/>
    </i>
    <i>
      <x v="319"/>
    </i>
    <i>
      <x v="270"/>
    </i>
    <i>
      <x v="323"/>
    </i>
    <i>
      <x v="248"/>
    </i>
    <i>
      <x v="368"/>
    </i>
    <i>
      <x v="171"/>
    </i>
    <i t="grand">
      <x/>
    </i>
  </rowItems>
  <colItems count="1">
    <i/>
  </colItems>
  <dataFields count="1">
    <dataField name="Sum of GrossRevenue" fld="27" baseField="0" baseItem="0"/>
  </dataFields>
  <formats count="630">
    <format dxfId="453">
      <pivotArea collapsedLevelsAreSubtotals="1" fieldPosition="0">
        <references count="1">
          <reference field="16" count="1" selected="0">
            <x v="0"/>
          </reference>
        </references>
      </pivotArea>
    </format>
    <format dxfId="454">
      <pivotArea collapsedLevelsAreSubtotals="1" fieldPosition="0">
        <references count="1">
          <reference field="16" count="1" selected="0">
            <x v="1"/>
          </reference>
        </references>
      </pivotArea>
    </format>
    <format dxfId="455">
      <pivotArea collapsedLevelsAreSubtotals="1" fieldPosition="0">
        <references count="1">
          <reference field="16" count="1" selected="0">
            <x v="2"/>
          </reference>
        </references>
      </pivotArea>
    </format>
    <format dxfId="456">
      <pivotArea collapsedLevelsAreSubtotals="1" fieldPosition="0">
        <references count="1">
          <reference field="16" count="1" selected="0">
            <x v="3"/>
          </reference>
        </references>
      </pivotArea>
    </format>
    <format dxfId="457">
      <pivotArea collapsedLevelsAreSubtotals="1" fieldPosition="0">
        <references count="1">
          <reference field="16" count="1" selected="0">
            <x v="4"/>
          </reference>
        </references>
      </pivotArea>
    </format>
    <format dxfId="458">
      <pivotArea collapsedLevelsAreSubtotals="1" fieldPosition="0">
        <references count="1">
          <reference field="16" count="1" selected="0">
            <x v="5"/>
          </reference>
        </references>
      </pivotArea>
    </format>
    <format dxfId="459">
      <pivotArea collapsedLevelsAreSubtotals="1" fieldPosition="0">
        <references count="1">
          <reference field="16" count="1" selected="0">
            <x v="6"/>
          </reference>
        </references>
      </pivotArea>
    </format>
    <format dxfId="460">
      <pivotArea collapsedLevelsAreSubtotals="1" fieldPosition="0">
        <references count="1">
          <reference field="16" count="1" selected="0">
            <x v="7"/>
          </reference>
        </references>
      </pivotArea>
    </format>
    <format dxfId="461">
      <pivotArea collapsedLevelsAreSubtotals="1" fieldPosition="0">
        <references count="1">
          <reference field="16" count="1" selected="0">
            <x v="8"/>
          </reference>
        </references>
      </pivotArea>
    </format>
    <format dxfId="462">
      <pivotArea collapsedLevelsAreSubtotals="1" fieldPosition="0">
        <references count="1">
          <reference field="16" count="1" selected="0">
            <x v="9"/>
          </reference>
        </references>
      </pivotArea>
    </format>
    <format dxfId="463">
      <pivotArea collapsedLevelsAreSubtotals="1" fieldPosition="0">
        <references count="1">
          <reference field="16" count="1" selected="0">
            <x v="10"/>
          </reference>
        </references>
      </pivotArea>
    </format>
    <format dxfId="464">
      <pivotArea collapsedLevelsAreSubtotals="1" fieldPosition="0">
        <references count="1">
          <reference field="16" count="1" selected="0">
            <x v="11"/>
          </reference>
        </references>
      </pivotArea>
    </format>
    <format dxfId="465">
      <pivotArea collapsedLevelsAreSubtotals="1" fieldPosition="0">
        <references count="1">
          <reference field="16" count="1" selected="0">
            <x v="12"/>
          </reference>
        </references>
      </pivotArea>
    </format>
    <format dxfId="466">
      <pivotArea collapsedLevelsAreSubtotals="1" fieldPosition="0">
        <references count="1">
          <reference field="16" count="1" selected="0">
            <x v="13"/>
          </reference>
        </references>
      </pivotArea>
    </format>
    <format dxfId="467">
      <pivotArea collapsedLevelsAreSubtotals="1" fieldPosition="0">
        <references count="1">
          <reference field="16" count="1" selected="0">
            <x v="14"/>
          </reference>
        </references>
      </pivotArea>
    </format>
    <format dxfId="468">
      <pivotArea collapsedLevelsAreSubtotals="1" fieldPosition="0">
        <references count="1">
          <reference field="16" count="1" selected="0">
            <x v="15"/>
          </reference>
        </references>
      </pivotArea>
    </format>
    <format dxfId="469">
      <pivotArea collapsedLevelsAreSubtotals="1" fieldPosition="0">
        <references count="1">
          <reference field="16" count="1" selected="0">
            <x v="16"/>
          </reference>
        </references>
      </pivotArea>
    </format>
    <format dxfId="470">
      <pivotArea collapsedLevelsAreSubtotals="1" fieldPosition="0">
        <references count="1">
          <reference field="16" count="1" selected="0">
            <x v="17"/>
          </reference>
        </references>
      </pivotArea>
    </format>
    <format dxfId="471">
      <pivotArea collapsedLevelsAreSubtotals="1" fieldPosition="0">
        <references count="1">
          <reference field="16" count="1" selected="0">
            <x v="18"/>
          </reference>
        </references>
      </pivotArea>
    </format>
    <format dxfId="472">
      <pivotArea collapsedLevelsAreSubtotals="1" fieldPosition="0">
        <references count="1">
          <reference field="16" count="1" selected="0">
            <x v="19"/>
          </reference>
        </references>
      </pivotArea>
    </format>
    <format dxfId="473">
      <pivotArea collapsedLevelsAreSubtotals="1" fieldPosition="0">
        <references count="1">
          <reference field="16" count="1" selected="0">
            <x v="20"/>
          </reference>
        </references>
      </pivotArea>
    </format>
    <format dxfId="474">
      <pivotArea collapsedLevelsAreSubtotals="1" fieldPosition="0">
        <references count="1">
          <reference field="16" count="1" selected="0">
            <x v="21"/>
          </reference>
        </references>
      </pivotArea>
    </format>
    <format dxfId="475">
      <pivotArea collapsedLevelsAreSubtotals="1" fieldPosition="0">
        <references count="1">
          <reference field="16" count="1" selected="0">
            <x v="22"/>
          </reference>
        </references>
      </pivotArea>
    </format>
    <format dxfId="476">
      <pivotArea collapsedLevelsAreSubtotals="1" fieldPosition="0">
        <references count="1">
          <reference field="16" count="1" selected="0">
            <x v="23"/>
          </reference>
        </references>
      </pivotArea>
    </format>
    <format dxfId="477">
      <pivotArea collapsedLevelsAreSubtotals="1" fieldPosition="0">
        <references count="1">
          <reference field="16" count="1" selected="0">
            <x v="24"/>
          </reference>
        </references>
      </pivotArea>
    </format>
    <format dxfId="478">
      <pivotArea collapsedLevelsAreSubtotals="1" fieldPosition="0">
        <references count="1">
          <reference field="16" count="1" selected="0">
            <x v="25"/>
          </reference>
        </references>
      </pivotArea>
    </format>
    <format dxfId="479">
      <pivotArea collapsedLevelsAreSubtotals="1" fieldPosition="0">
        <references count="1">
          <reference field="16" count="1" selected="0">
            <x v="26"/>
          </reference>
        </references>
      </pivotArea>
    </format>
    <format dxfId="480">
      <pivotArea collapsedLevelsAreSubtotals="1" fieldPosition="0">
        <references count="1">
          <reference field="16" count="1" selected="0">
            <x v="27"/>
          </reference>
        </references>
      </pivotArea>
    </format>
    <format dxfId="481">
      <pivotArea collapsedLevelsAreSubtotals="1" fieldPosition="0">
        <references count="1">
          <reference field="16" count="1" selected="0">
            <x v="28"/>
          </reference>
        </references>
      </pivotArea>
    </format>
    <format dxfId="482">
      <pivotArea collapsedLevelsAreSubtotals="1" fieldPosition="0">
        <references count="1">
          <reference field="16" count="1" selected="0">
            <x v="29"/>
          </reference>
        </references>
      </pivotArea>
    </format>
    <format dxfId="483">
      <pivotArea collapsedLevelsAreSubtotals="1" fieldPosition="0">
        <references count="1">
          <reference field="16" count="1" selected="0">
            <x v="30"/>
          </reference>
        </references>
      </pivotArea>
    </format>
    <format dxfId="484">
      <pivotArea collapsedLevelsAreSubtotals="1" fieldPosition="0">
        <references count="1">
          <reference field="16" count="1" selected="0">
            <x v="31"/>
          </reference>
        </references>
      </pivotArea>
    </format>
    <format dxfId="485">
      <pivotArea collapsedLevelsAreSubtotals="1" fieldPosition="0">
        <references count="1">
          <reference field="16" count="1" selected="0">
            <x v="32"/>
          </reference>
        </references>
      </pivotArea>
    </format>
    <format dxfId="486">
      <pivotArea collapsedLevelsAreSubtotals="1" fieldPosition="0">
        <references count="1">
          <reference field="16" count="1" selected="0">
            <x v="33"/>
          </reference>
        </references>
      </pivotArea>
    </format>
    <format dxfId="487">
      <pivotArea collapsedLevelsAreSubtotals="1" fieldPosition="0">
        <references count="1">
          <reference field="16" count="1" selected="0">
            <x v="34"/>
          </reference>
        </references>
      </pivotArea>
    </format>
    <format dxfId="488">
      <pivotArea collapsedLevelsAreSubtotals="1" fieldPosition="0">
        <references count="1">
          <reference field="16" count="1" selected="0">
            <x v="35"/>
          </reference>
        </references>
      </pivotArea>
    </format>
    <format dxfId="489">
      <pivotArea collapsedLevelsAreSubtotals="1" fieldPosition="0">
        <references count="1">
          <reference field="16" count="1" selected="0">
            <x v="36"/>
          </reference>
        </references>
      </pivotArea>
    </format>
    <format dxfId="490">
      <pivotArea collapsedLevelsAreSubtotals="1" fieldPosition="0">
        <references count="1">
          <reference field="16" count="1" selected="0">
            <x v="37"/>
          </reference>
        </references>
      </pivotArea>
    </format>
    <format dxfId="491">
      <pivotArea collapsedLevelsAreSubtotals="1" fieldPosition="0">
        <references count="1">
          <reference field="16" count="1" selected="0">
            <x v="38"/>
          </reference>
        </references>
      </pivotArea>
    </format>
    <format dxfId="492">
      <pivotArea collapsedLevelsAreSubtotals="1" fieldPosition="0">
        <references count="1">
          <reference field="16" count="1" selected="0">
            <x v="39"/>
          </reference>
        </references>
      </pivotArea>
    </format>
    <format dxfId="493">
      <pivotArea collapsedLevelsAreSubtotals="1" fieldPosition="0">
        <references count="1">
          <reference field="16" count="1" selected="0">
            <x v="40"/>
          </reference>
        </references>
      </pivotArea>
    </format>
    <format dxfId="494">
      <pivotArea collapsedLevelsAreSubtotals="1" fieldPosition="0">
        <references count="1">
          <reference field="16" count="1" selected="0">
            <x v="41"/>
          </reference>
        </references>
      </pivotArea>
    </format>
    <format dxfId="495">
      <pivotArea collapsedLevelsAreSubtotals="1" fieldPosition="0">
        <references count="1">
          <reference field="16" count="1" selected="0">
            <x v="42"/>
          </reference>
        </references>
      </pivotArea>
    </format>
    <format dxfId="496">
      <pivotArea collapsedLevelsAreSubtotals="1" fieldPosition="0">
        <references count="1">
          <reference field="16" count="1" selected="0">
            <x v="43"/>
          </reference>
        </references>
      </pivotArea>
    </format>
    <format dxfId="497">
      <pivotArea collapsedLevelsAreSubtotals="1" fieldPosition="0">
        <references count="1">
          <reference field="16" count="1" selected="0">
            <x v="44"/>
          </reference>
        </references>
      </pivotArea>
    </format>
    <format dxfId="498">
      <pivotArea collapsedLevelsAreSubtotals="1" fieldPosition="0">
        <references count="1">
          <reference field="16" count="1" selected="0">
            <x v="45"/>
          </reference>
        </references>
      </pivotArea>
    </format>
    <format dxfId="499">
      <pivotArea collapsedLevelsAreSubtotals="1" fieldPosition="0">
        <references count="1">
          <reference field="16" count="1" selected="0">
            <x v="46"/>
          </reference>
        </references>
      </pivotArea>
    </format>
    <format dxfId="500">
      <pivotArea collapsedLevelsAreSubtotals="1" fieldPosition="0">
        <references count="1">
          <reference field="16" count="1" selected="0">
            <x v="47"/>
          </reference>
        </references>
      </pivotArea>
    </format>
    <format dxfId="501">
      <pivotArea collapsedLevelsAreSubtotals="1" fieldPosition="0">
        <references count="1">
          <reference field="16" count="1" selected="0">
            <x v="48"/>
          </reference>
        </references>
      </pivotArea>
    </format>
    <format dxfId="502">
      <pivotArea collapsedLevelsAreSubtotals="1" fieldPosition="0">
        <references count="1">
          <reference field="16" count="1" selected="0">
            <x v="49"/>
          </reference>
        </references>
      </pivotArea>
    </format>
    <format dxfId="503">
      <pivotArea collapsedLevelsAreSubtotals="1" fieldPosition="0">
        <references count="1">
          <reference field="16" count="1" selected="0">
            <x v="50"/>
          </reference>
        </references>
      </pivotArea>
    </format>
    <format dxfId="504">
      <pivotArea collapsedLevelsAreSubtotals="1" fieldPosition="0">
        <references count="1">
          <reference field="16" count="1" selected="0">
            <x v="51"/>
          </reference>
        </references>
      </pivotArea>
    </format>
    <format dxfId="505">
      <pivotArea collapsedLevelsAreSubtotals="1" fieldPosition="0">
        <references count="1">
          <reference field="16" count="1" selected="0">
            <x v="52"/>
          </reference>
        </references>
      </pivotArea>
    </format>
    <format dxfId="506">
      <pivotArea collapsedLevelsAreSubtotals="1" fieldPosition="0">
        <references count="1">
          <reference field="16" count="1" selected="0">
            <x v="53"/>
          </reference>
        </references>
      </pivotArea>
    </format>
    <format dxfId="507">
      <pivotArea collapsedLevelsAreSubtotals="1" fieldPosition="0">
        <references count="1">
          <reference field="16" count="1" selected="0">
            <x v="54"/>
          </reference>
        </references>
      </pivotArea>
    </format>
    <format dxfId="508">
      <pivotArea collapsedLevelsAreSubtotals="1" fieldPosition="0">
        <references count="1">
          <reference field="16" count="1" selected="0">
            <x v="55"/>
          </reference>
        </references>
      </pivotArea>
    </format>
    <format dxfId="509">
      <pivotArea collapsedLevelsAreSubtotals="1" fieldPosition="0">
        <references count="1">
          <reference field="16" count="1" selected="0">
            <x v="56"/>
          </reference>
        </references>
      </pivotArea>
    </format>
    <format dxfId="510">
      <pivotArea collapsedLevelsAreSubtotals="1" fieldPosition="0">
        <references count="1">
          <reference field="16" count="1" selected="0">
            <x v="57"/>
          </reference>
        </references>
      </pivotArea>
    </format>
    <format dxfId="511">
      <pivotArea collapsedLevelsAreSubtotals="1" fieldPosition="0">
        <references count="1">
          <reference field="16" count="1" selected="0">
            <x v="58"/>
          </reference>
        </references>
      </pivotArea>
    </format>
    <format dxfId="512">
      <pivotArea collapsedLevelsAreSubtotals="1" fieldPosition="0">
        <references count="1">
          <reference field="16" count="1" selected="0">
            <x v="59"/>
          </reference>
        </references>
      </pivotArea>
    </format>
    <format dxfId="513">
      <pivotArea collapsedLevelsAreSubtotals="1" fieldPosition="0">
        <references count="1">
          <reference field="16" count="1" selected="0">
            <x v="60"/>
          </reference>
        </references>
      </pivotArea>
    </format>
    <format dxfId="514">
      <pivotArea collapsedLevelsAreSubtotals="1" fieldPosition="0">
        <references count="1">
          <reference field="16" count="1" selected="0">
            <x v="61"/>
          </reference>
        </references>
      </pivotArea>
    </format>
    <format dxfId="515">
      <pivotArea collapsedLevelsAreSubtotals="1" fieldPosition="0">
        <references count="1">
          <reference field="16" count="1" selected="0">
            <x v="62"/>
          </reference>
        </references>
      </pivotArea>
    </format>
    <format dxfId="516">
      <pivotArea collapsedLevelsAreSubtotals="1" fieldPosition="0">
        <references count="1">
          <reference field="16" count="1" selected="0">
            <x v="63"/>
          </reference>
        </references>
      </pivotArea>
    </format>
    <format dxfId="517">
      <pivotArea collapsedLevelsAreSubtotals="1" fieldPosition="0">
        <references count="1">
          <reference field="16" count="1" selected="0">
            <x v="64"/>
          </reference>
        </references>
      </pivotArea>
    </format>
    <format dxfId="518">
      <pivotArea collapsedLevelsAreSubtotals="1" fieldPosition="0">
        <references count="1">
          <reference field="16" count="1" selected="0">
            <x v="65"/>
          </reference>
        </references>
      </pivotArea>
    </format>
    <format dxfId="519">
      <pivotArea collapsedLevelsAreSubtotals="1" fieldPosition="0">
        <references count="1">
          <reference field="16" count="1" selected="0">
            <x v="66"/>
          </reference>
        </references>
      </pivotArea>
    </format>
    <format dxfId="520">
      <pivotArea collapsedLevelsAreSubtotals="1" fieldPosition="0">
        <references count="1">
          <reference field="16" count="1" selected="0">
            <x v="67"/>
          </reference>
        </references>
      </pivotArea>
    </format>
    <format dxfId="521">
      <pivotArea collapsedLevelsAreSubtotals="1" fieldPosition="0">
        <references count="1">
          <reference field="16" count="1" selected="0">
            <x v="68"/>
          </reference>
        </references>
      </pivotArea>
    </format>
    <format dxfId="522">
      <pivotArea collapsedLevelsAreSubtotals="1" fieldPosition="0">
        <references count="1">
          <reference field="16" count="1" selected="0">
            <x v="69"/>
          </reference>
        </references>
      </pivotArea>
    </format>
    <format dxfId="523">
      <pivotArea collapsedLevelsAreSubtotals="1" fieldPosition="0">
        <references count="1">
          <reference field="16" count="1" selected="0">
            <x v="70"/>
          </reference>
        </references>
      </pivotArea>
    </format>
    <format dxfId="524">
      <pivotArea collapsedLevelsAreSubtotals="1" fieldPosition="0">
        <references count="1">
          <reference field="16" count="1" selected="0">
            <x v="71"/>
          </reference>
        </references>
      </pivotArea>
    </format>
    <format dxfId="525">
      <pivotArea collapsedLevelsAreSubtotals="1" fieldPosition="0">
        <references count="1">
          <reference field="16" count="1" selected="0">
            <x v="72"/>
          </reference>
        </references>
      </pivotArea>
    </format>
    <format dxfId="526">
      <pivotArea collapsedLevelsAreSubtotals="1" fieldPosition="0">
        <references count="1">
          <reference field="16" count="1" selected="0">
            <x v="73"/>
          </reference>
        </references>
      </pivotArea>
    </format>
    <format dxfId="527">
      <pivotArea collapsedLevelsAreSubtotals="1" fieldPosition="0">
        <references count="1">
          <reference field="16" count="1" selected="0">
            <x v="74"/>
          </reference>
        </references>
      </pivotArea>
    </format>
    <format dxfId="528">
      <pivotArea collapsedLevelsAreSubtotals="1" fieldPosition="0">
        <references count="1">
          <reference field="16" count="1" selected="0">
            <x v="75"/>
          </reference>
        </references>
      </pivotArea>
    </format>
    <format dxfId="529">
      <pivotArea collapsedLevelsAreSubtotals="1" fieldPosition="0">
        <references count="1">
          <reference field="16" count="1" selected="0">
            <x v="76"/>
          </reference>
        </references>
      </pivotArea>
    </format>
    <format dxfId="530">
      <pivotArea collapsedLevelsAreSubtotals="1" fieldPosition="0">
        <references count="1">
          <reference field="16" count="1" selected="0">
            <x v="77"/>
          </reference>
        </references>
      </pivotArea>
    </format>
    <format dxfId="531">
      <pivotArea collapsedLevelsAreSubtotals="1" fieldPosition="0">
        <references count="1">
          <reference field="16" count="1" selected="0">
            <x v="78"/>
          </reference>
        </references>
      </pivotArea>
    </format>
    <format dxfId="532">
      <pivotArea collapsedLevelsAreSubtotals="1" fieldPosition="0">
        <references count="1">
          <reference field="16" count="1" selected="0">
            <x v="79"/>
          </reference>
        </references>
      </pivotArea>
    </format>
    <format dxfId="533">
      <pivotArea collapsedLevelsAreSubtotals="1" fieldPosition="0">
        <references count="1">
          <reference field="16" count="1" selected="0">
            <x v="80"/>
          </reference>
        </references>
      </pivotArea>
    </format>
    <format dxfId="534">
      <pivotArea collapsedLevelsAreSubtotals="1" fieldPosition="0">
        <references count="1">
          <reference field="16" count="1" selected="0">
            <x v="81"/>
          </reference>
        </references>
      </pivotArea>
    </format>
    <format dxfId="535">
      <pivotArea collapsedLevelsAreSubtotals="1" fieldPosition="0">
        <references count="1">
          <reference field="16" count="1" selected="0">
            <x v="82"/>
          </reference>
        </references>
      </pivotArea>
    </format>
    <format dxfId="536">
      <pivotArea collapsedLevelsAreSubtotals="1" fieldPosition="0">
        <references count="1">
          <reference field="16" count="1" selected="0">
            <x v="83"/>
          </reference>
        </references>
      </pivotArea>
    </format>
    <format dxfId="537">
      <pivotArea collapsedLevelsAreSubtotals="1" fieldPosition="0">
        <references count="1">
          <reference field="16" count="1" selected="0">
            <x v="84"/>
          </reference>
        </references>
      </pivotArea>
    </format>
    <format dxfId="538">
      <pivotArea collapsedLevelsAreSubtotals="1" fieldPosition="0">
        <references count="1">
          <reference field="16" count="1" selected="0">
            <x v="85"/>
          </reference>
        </references>
      </pivotArea>
    </format>
    <format dxfId="539">
      <pivotArea collapsedLevelsAreSubtotals="1" fieldPosition="0">
        <references count="1">
          <reference field="16" count="1" selected="0">
            <x v="86"/>
          </reference>
        </references>
      </pivotArea>
    </format>
    <format dxfId="540">
      <pivotArea collapsedLevelsAreSubtotals="1" fieldPosition="0">
        <references count="1">
          <reference field="16" count="1" selected="0">
            <x v="87"/>
          </reference>
        </references>
      </pivotArea>
    </format>
    <format dxfId="541">
      <pivotArea collapsedLevelsAreSubtotals="1" fieldPosition="0">
        <references count="1">
          <reference field="16" count="1" selected="0">
            <x v="88"/>
          </reference>
        </references>
      </pivotArea>
    </format>
    <format dxfId="542">
      <pivotArea collapsedLevelsAreSubtotals="1" fieldPosition="0">
        <references count="1">
          <reference field="16" count="1" selected="0">
            <x v="89"/>
          </reference>
        </references>
      </pivotArea>
    </format>
    <format dxfId="543">
      <pivotArea collapsedLevelsAreSubtotals="1" fieldPosition="0">
        <references count="1">
          <reference field="16" count="1" selected="0">
            <x v="90"/>
          </reference>
        </references>
      </pivotArea>
    </format>
    <format dxfId="544">
      <pivotArea collapsedLevelsAreSubtotals="1" fieldPosition="0">
        <references count="1">
          <reference field="16" count="1" selected="0">
            <x v="91"/>
          </reference>
        </references>
      </pivotArea>
    </format>
    <format dxfId="545">
      <pivotArea collapsedLevelsAreSubtotals="1" fieldPosition="0">
        <references count="1">
          <reference field="16" count="1" selected="0">
            <x v="92"/>
          </reference>
        </references>
      </pivotArea>
    </format>
    <format dxfId="546">
      <pivotArea collapsedLevelsAreSubtotals="1" fieldPosition="0">
        <references count="1">
          <reference field="16" count="1" selected="0">
            <x v="93"/>
          </reference>
        </references>
      </pivotArea>
    </format>
    <format dxfId="547">
      <pivotArea collapsedLevelsAreSubtotals="1" fieldPosition="0">
        <references count="1">
          <reference field="16" count="1" selected="0">
            <x v="94"/>
          </reference>
        </references>
      </pivotArea>
    </format>
    <format dxfId="548">
      <pivotArea collapsedLevelsAreSubtotals="1" fieldPosition="0">
        <references count="1">
          <reference field="16" count="1" selected="0">
            <x v="95"/>
          </reference>
        </references>
      </pivotArea>
    </format>
    <format dxfId="549">
      <pivotArea collapsedLevelsAreSubtotals="1" fieldPosition="0">
        <references count="1">
          <reference field="16" count="1" selected="0">
            <x v="96"/>
          </reference>
        </references>
      </pivotArea>
    </format>
    <format dxfId="550">
      <pivotArea collapsedLevelsAreSubtotals="1" fieldPosition="0">
        <references count="1">
          <reference field="16" count="1" selected="0">
            <x v="97"/>
          </reference>
        </references>
      </pivotArea>
    </format>
    <format dxfId="551">
      <pivotArea collapsedLevelsAreSubtotals="1" fieldPosition="0">
        <references count="1">
          <reference field="16" count="1" selected="0">
            <x v="98"/>
          </reference>
        </references>
      </pivotArea>
    </format>
    <format dxfId="552">
      <pivotArea collapsedLevelsAreSubtotals="1" fieldPosition="0">
        <references count="1">
          <reference field="16" count="1" selected="0">
            <x v="99"/>
          </reference>
        </references>
      </pivotArea>
    </format>
    <format dxfId="553">
      <pivotArea collapsedLevelsAreSubtotals="1" fieldPosition="0">
        <references count="1">
          <reference field="16" count="1" selected="0">
            <x v="100"/>
          </reference>
        </references>
      </pivotArea>
    </format>
    <format dxfId="554">
      <pivotArea collapsedLevelsAreSubtotals="1" fieldPosition="0">
        <references count="1">
          <reference field="16" count="1" selected="0">
            <x v="101"/>
          </reference>
        </references>
      </pivotArea>
    </format>
    <format dxfId="555">
      <pivotArea collapsedLevelsAreSubtotals="1" fieldPosition="0">
        <references count="1">
          <reference field="16" count="1" selected="0">
            <x v="102"/>
          </reference>
        </references>
      </pivotArea>
    </format>
    <format dxfId="556">
      <pivotArea collapsedLevelsAreSubtotals="1" fieldPosition="0">
        <references count="1">
          <reference field="16" count="1" selected="0">
            <x v="103"/>
          </reference>
        </references>
      </pivotArea>
    </format>
    <format dxfId="557">
      <pivotArea collapsedLevelsAreSubtotals="1" fieldPosition="0">
        <references count="1">
          <reference field="16" count="1" selected="0">
            <x v="104"/>
          </reference>
        </references>
      </pivotArea>
    </format>
    <format dxfId="558">
      <pivotArea collapsedLevelsAreSubtotals="1" fieldPosition="0">
        <references count="1">
          <reference field="16" count="1" selected="0">
            <x v="105"/>
          </reference>
        </references>
      </pivotArea>
    </format>
    <format dxfId="559">
      <pivotArea collapsedLevelsAreSubtotals="1" fieldPosition="0">
        <references count="1">
          <reference field="16" count="1" selected="0">
            <x v="106"/>
          </reference>
        </references>
      </pivotArea>
    </format>
    <format dxfId="560">
      <pivotArea collapsedLevelsAreSubtotals="1" fieldPosition="0">
        <references count="1">
          <reference field="16" count="1" selected="0">
            <x v="107"/>
          </reference>
        </references>
      </pivotArea>
    </format>
    <format dxfId="561">
      <pivotArea collapsedLevelsAreSubtotals="1" fieldPosition="0">
        <references count="1">
          <reference field="16" count="1" selected="0">
            <x v="108"/>
          </reference>
        </references>
      </pivotArea>
    </format>
    <format dxfId="562">
      <pivotArea collapsedLevelsAreSubtotals="1" fieldPosition="0">
        <references count="1">
          <reference field="16" count="1" selected="0">
            <x v="109"/>
          </reference>
        </references>
      </pivotArea>
    </format>
    <format dxfId="563">
      <pivotArea collapsedLevelsAreSubtotals="1" fieldPosition="0">
        <references count="1">
          <reference field="16" count="1" selected="0">
            <x v="110"/>
          </reference>
        </references>
      </pivotArea>
    </format>
    <format dxfId="564">
      <pivotArea collapsedLevelsAreSubtotals="1" fieldPosition="0">
        <references count="1">
          <reference field="16" count="1" selected="0">
            <x v="111"/>
          </reference>
        </references>
      </pivotArea>
    </format>
    <format dxfId="565">
      <pivotArea collapsedLevelsAreSubtotals="1" fieldPosition="0">
        <references count="1">
          <reference field="16" count="1" selected="0">
            <x v="112"/>
          </reference>
        </references>
      </pivotArea>
    </format>
    <format dxfId="566">
      <pivotArea collapsedLevelsAreSubtotals="1" fieldPosition="0">
        <references count="1">
          <reference field="16" count="1" selected="0">
            <x v="113"/>
          </reference>
        </references>
      </pivotArea>
    </format>
    <format dxfId="567">
      <pivotArea collapsedLevelsAreSubtotals="1" fieldPosition="0">
        <references count="1">
          <reference field="16" count="1" selected="0">
            <x v="114"/>
          </reference>
        </references>
      </pivotArea>
    </format>
    <format dxfId="568">
      <pivotArea collapsedLevelsAreSubtotals="1" fieldPosition="0">
        <references count="1">
          <reference field="16" count="1" selected="0">
            <x v="115"/>
          </reference>
        </references>
      </pivotArea>
    </format>
    <format dxfId="569">
      <pivotArea collapsedLevelsAreSubtotals="1" fieldPosition="0">
        <references count="1">
          <reference field="16" count="1" selected="0">
            <x v="116"/>
          </reference>
        </references>
      </pivotArea>
    </format>
    <format dxfId="570">
      <pivotArea collapsedLevelsAreSubtotals="1" fieldPosition="0">
        <references count="1">
          <reference field="16" count="1" selected="0">
            <x v="117"/>
          </reference>
        </references>
      </pivotArea>
    </format>
    <format dxfId="571">
      <pivotArea collapsedLevelsAreSubtotals="1" fieldPosition="0">
        <references count="1">
          <reference field="16" count="1" selected="0">
            <x v="118"/>
          </reference>
        </references>
      </pivotArea>
    </format>
    <format dxfId="572">
      <pivotArea collapsedLevelsAreSubtotals="1" fieldPosition="0">
        <references count="1">
          <reference field="16" count="1" selected="0">
            <x v="119"/>
          </reference>
        </references>
      </pivotArea>
    </format>
    <format dxfId="573">
      <pivotArea collapsedLevelsAreSubtotals="1" fieldPosition="0">
        <references count="1">
          <reference field="16" count="1" selected="0">
            <x v="120"/>
          </reference>
        </references>
      </pivotArea>
    </format>
    <format dxfId="574">
      <pivotArea collapsedLevelsAreSubtotals="1" fieldPosition="0">
        <references count="1">
          <reference field="16" count="1" selected="0">
            <x v="121"/>
          </reference>
        </references>
      </pivotArea>
    </format>
    <format dxfId="575">
      <pivotArea collapsedLevelsAreSubtotals="1" fieldPosition="0">
        <references count="1">
          <reference field="16" count="1" selected="0">
            <x v="122"/>
          </reference>
        </references>
      </pivotArea>
    </format>
    <format dxfId="576">
      <pivotArea collapsedLevelsAreSubtotals="1" fieldPosition="0">
        <references count="1">
          <reference field="16" count="1" selected="0">
            <x v="123"/>
          </reference>
        </references>
      </pivotArea>
    </format>
    <format dxfId="577">
      <pivotArea collapsedLevelsAreSubtotals="1" fieldPosition="0">
        <references count="1">
          <reference field="16" count="1" selected="0">
            <x v="124"/>
          </reference>
        </references>
      </pivotArea>
    </format>
    <format dxfId="578">
      <pivotArea collapsedLevelsAreSubtotals="1" fieldPosition="0">
        <references count="1">
          <reference field="16" count="1" selected="0">
            <x v="125"/>
          </reference>
        </references>
      </pivotArea>
    </format>
    <format dxfId="579">
      <pivotArea collapsedLevelsAreSubtotals="1" fieldPosition="0">
        <references count="1">
          <reference field="16" count="1" selected="0">
            <x v="126"/>
          </reference>
        </references>
      </pivotArea>
    </format>
    <format dxfId="580">
      <pivotArea collapsedLevelsAreSubtotals="1" fieldPosition="0">
        <references count="1">
          <reference field="16" count="1" selected="0">
            <x v="127"/>
          </reference>
        </references>
      </pivotArea>
    </format>
    <format dxfId="581">
      <pivotArea collapsedLevelsAreSubtotals="1" fieldPosition="0">
        <references count="1">
          <reference field="16" count="1" selected="0">
            <x v="128"/>
          </reference>
        </references>
      </pivotArea>
    </format>
    <format dxfId="582">
      <pivotArea collapsedLevelsAreSubtotals="1" fieldPosition="0">
        <references count="1">
          <reference field="16" count="1" selected="0">
            <x v="129"/>
          </reference>
        </references>
      </pivotArea>
    </format>
    <format dxfId="583">
      <pivotArea collapsedLevelsAreSubtotals="1" fieldPosition="0">
        <references count="1">
          <reference field="16" count="1" selected="0">
            <x v="130"/>
          </reference>
        </references>
      </pivotArea>
    </format>
    <format dxfId="584">
      <pivotArea collapsedLevelsAreSubtotals="1" fieldPosition="0">
        <references count="1">
          <reference field="16" count="1" selected="0">
            <x v="131"/>
          </reference>
        </references>
      </pivotArea>
    </format>
    <format dxfId="585">
      <pivotArea collapsedLevelsAreSubtotals="1" fieldPosition="0">
        <references count="1">
          <reference field="16" count="1" selected="0">
            <x v="132"/>
          </reference>
        </references>
      </pivotArea>
    </format>
    <format dxfId="586">
      <pivotArea collapsedLevelsAreSubtotals="1" fieldPosition="0">
        <references count="1">
          <reference field="16" count="1" selected="0">
            <x v="133"/>
          </reference>
        </references>
      </pivotArea>
    </format>
    <format dxfId="587">
      <pivotArea collapsedLevelsAreSubtotals="1" fieldPosition="0">
        <references count="1">
          <reference field="16" count="1" selected="0">
            <x v="134"/>
          </reference>
        </references>
      </pivotArea>
    </format>
    <format dxfId="588">
      <pivotArea collapsedLevelsAreSubtotals="1" fieldPosition="0">
        <references count="1">
          <reference field="16" count="1" selected="0">
            <x v="135"/>
          </reference>
        </references>
      </pivotArea>
    </format>
    <format dxfId="589">
      <pivotArea collapsedLevelsAreSubtotals="1" fieldPosition="0">
        <references count="1">
          <reference field="16" count="1" selected="0">
            <x v="136"/>
          </reference>
        </references>
      </pivotArea>
    </format>
    <format dxfId="590">
      <pivotArea collapsedLevelsAreSubtotals="1" fieldPosition="0">
        <references count="1">
          <reference field="16" count="1" selected="0">
            <x v="137"/>
          </reference>
        </references>
      </pivotArea>
    </format>
    <format dxfId="591">
      <pivotArea collapsedLevelsAreSubtotals="1" fieldPosition="0">
        <references count="1">
          <reference field="16" count="1" selected="0">
            <x v="138"/>
          </reference>
        </references>
      </pivotArea>
    </format>
    <format dxfId="592">
      <pivotArea collapsedLevelsAreSubtotals="1" fieldPosition="0">
        <references count="1">
          <reference field="16" count="1" selected="0">
            <x v="139"/>
          </reference>
        </references>
      </pivotArea>
    </format>
    <format dxfId="593">
      <pivotArea collapsedLevelsAreSubtotals="1" fieldPosition="0">
        <references count="1">
          <reference field="16" count="1" selected="0">
            <x v="140"/>
          </reference>
        </references>
      </pivotArea>
    </format>
    <format dxfId="594">
      <pivotArea collapsedLevelsAreSubtotals="1" fieldPosition="0">
        <references count="1">
          <reference field="16" count="1" selected="0">
            <x v="141"/>
          </reference>
        </references>
      </pivotArea>
    </format>
    <format dxfId="595">
      <pivotArea collapsedLevelsAreSubtotals="1" fieldPosition="0">
        <references count="1">
          <reference field="16" count="1" selected="0">
            <x v="142"/>
          </reference>
        </references>
      </pivotArea>
    </format>
    <format dxfId="596">
      <pivotArea collapsedLevelsAreSubtotals="1" fieldPosition="0">
        <references count="1">
          <reference field="16" count="1" selected="0">
            <x v="143"/>
          </reference>
        </references>
      </pivotArea>
    </format>
    <format dxfId="597">
      <pivotArea collapsedLevelsAreSubtotals="1" fieldPosition="0">
        <references count="1">
          <reference field="16" count="1" selected="0">
            <x v="144"/>
          </reference>
        </references>
      </pivotArea>
    </format>
    <format dxfId="598">
      <pivotArea collapsedLevelsAreSubtotals="1" fieldPosition="0">
        <references count="1">
          <reference field="16" count="1" selected="0">
            <x v="145"/>
          </reference>
        </references>
      </pivotArea>
    </format>
    <format dxfId="599">
      <pivotArea collapsedLevelsAreSubtotals="1" fieldPosition="0">
        <references count="1">
          <reference field="16" count="1" selected="0">
            <x v="146"/>
          </reference>
        </references>
      </pivotArea>
    </format>
    <format dxfId="600">
      <pivotArea collapsedLevelsAreSubtotals="1" fieldPosition="0">
        <references count="1">
          <reference field="16" count="1" selected="0">
            <x v="147"/>
          </reference>
        </references>
      </pivotArea>
    </format>
    <format dxfId="601">
      <pivotArea collapsedLevelsAreSubtotals="1" fieldPosition="0">
        <references count="1">
          <reference field="16" count="1" selected="0">
            <x v="148"/>
          </reference>
        </references>
      </pivotArea>
    </format>
    <format dxfId="602">
      <pivotArea collapsedLevelsAreSubtotals="1" fieldPosition="0">
        <references count="1">
          <reference field="16" count="1" selected="0">
            <x v="149"/>
          </reference>
        </references>
      </pivotArea>
    </format>
    <format dxfId="603">
      <pivotArea collapsedLevelsAreSubtotals="1" fieldPosition="0">
        <references count="1">
          <reference field="16" count="1" selected="0">
            <x v="150"/>
          </reference>
        </references>
      </pivotArea>
    </format>
    <format dxfId="604">
      <pivotArea collapsedLevelsAreSubtotals="1" fieldPosition="0">
        <references count="1">
          <reference field="16" count="1" selected="0">
            <x v="151"/>
          </reference>
        </references>
      </pivotArea>
    </format>
    <format dxfId="605">
      <pivotArea collapsedLevelsAreSubtotals="1" fieldPosition="0">
        <references count="1">
          <reference field="16" count="1" selected="0">
            <x v="152"/>
          </reference>
        </references>
      </pivotArea>
    </format>
    <format dxfId="606">
      <pivotArea collapsedLevelsAreSubtotals="1" fieldPosition="0">
        <references count="1">
          <reference field="16" count="1" selected="0">
            <x v="153"/>
          </reference>
        </references>
      </pivotArea>
    </format>
    <format dxfId="607">
      <pivotArea collapsedLevelsAreSubtotals="1" fieldPosition="0">
        <references count="1">
          <reference field="16" count="1" selected="0">
            <x v="154"/>
          </reference>
        </references>
      </pivotArea>
    </format>
    <format dxfId="608">
      <pivotArea collapsedLevelsAreSubtotals="1" fieldPosition="0">
        <references count="1">
          <reference field="16" count="1" selected="0">
            <x v="155"/>
          </reference>
        </references>
      </pivotArea>
    </format>
    <format dxfId="609">
      <pivotArea collapsedLevelsAreSubtotals="1" fieldPosition="0">
        <references count="1">
          <reference field="16" count="1" selected="0">
            <x v="156"/>
          </reference>
        </references>
      </pivotArea>
    </format>
    <format dxfId="610">
      <pivotArea collapsedLevelsAreSubtotals="1" fieldPosition="0">
        <references count="1">
          <reference field="16" count="1" selected="0">
            <x v="157"/>
          </reference>
        </references>
      </pivotArea>
    </format>
    <format dxfId="611">
      <pivotArea collapsedLevelsAreSubtotals="1" fieldPosition="0">
        <references count="1">
          <reference field="16" count="1" selected="0">
            <x v="158"/>
          </reference>
        </references>
      </pivotArea>
    </format>
    <format dxfId="612">
      <pivotArea collapsedLevelsAreSubtotals="1" fieldPosition="0">
        <references count="1">
          <reference field="16" count="1" selected="0">
            <x v="159"/>
          </reference>
        </references>
      </pivotArea>
    </format>
    <format dxfId="613">
      <pivotArea collapsedLevelsAreSubtotals="1" fieldPosition="0">
        <references count="1">
          <reference field="16" count="1" selected="0">
            <x v="160"/>
          </reference>
        </references>
      </pivotArea>
    </format>
    <format dxfId="614">
      <pivotArea collapsedLevelsAreSubtotals="1" fieldPosition="0">
        <references count="1">
          <reference field="16" count="1" selected="0">
            <x v="161"/>
          </reference>
        </references>
      </pivotArea>
    </format>
    <format dxfId="615">
      <pivotArea collapsedLevelsAreSubtotals="1" fieldPosition="0">
        <references count="1">
          <reference field="16" count="1" selected="0">
            <x v="162"/>
          </reference>
        </references>
      </pivotArea>
    </format>
    <format dxfId="616">
      <pivotArea collapsedLevelsAreSubtotals="1" fieldPosition="0">
        <references count="1">
          <reference field="16" count="1" selected="0">
            <x v="163"/>
          </reference>
        </references>
      </pivotArea>
    </format>
    <format dxfId="617">
      <pivotArea collapsedLevelsAreSubtotals="1" fieldPosition="0">
        <references count="1">
          <reference field="16" count="1" selected="0">
            <x v="164"/>
          </reference>
        </references>
      </pivotArea>
    </format>
    <format dxfId="618">
      <pivotArea collapsedLevelsAreSubtotals="1" fieldPosition="0">
        <references count="1">
          <reference field="16" count="1" selected="0">
            <x v="165"/>
          </reference>
        </references>
      </pivotArea>
    </format>
    <format dxfId="619">
      <pivotArea collapsedLevelsAreSubtotals="1" fieldPosition="0">
        <references count="1">
          <reference field="16" count="1" selected="0">
            <x v="166"/>
          </reference>
        </references>
      </pivotArea>
    </format>
    <format dxfId="620">
      <pivotArea collapsedLevelsAreSubtotals="1" fieldPosition="0">
        <references count="1">
          <reference field="16" count="1" selected="0">
            <x v="167"/>
          </reference>
        </references>
      </pivotArea>
    </format>
    <format dxfId="621">
      <pivotArea collapsedLevelsAreSubtotals="1" fieldPosition="0">
        <references count="1">
          <reference field="16" count="1" selected="0">
            <x v="168"/>
          </reference>
        </references>
      </pivotArea>
    </format>
    <format dxfId="622">
      <pivotArea collapsedLevelsAreSubtotals="1" fieldPosition="0">
        <references count="1">
          <reference field="16" count="1" selected="0">
            <x v="169"/>
          </reference>
        </references>
      </pivotArea>
    </format>
    <format dxfId="623">
      <pivotArea collapsedLevelsAreSubtotals="1" fieldPosition="0">
        <references count="1">
          <reference field="16" count="1" selected="0">
            <x v="170"/>
          </reference>
        </references>
      </pivotArea>
    </format>
    <format dxfId="624">
      <pivotArea collapsedLevelsAreSubtotals="1" fieldPosition="0">
        <references count="1">
          <reference field="16" count="1" selected="0">
            <x v="171"/>
          </reference>
        </references>
      </pivotArea>
    </format>
    <format dxfId="625">
      <pivotArea collapsedLevelsAreSubtotals="1" fieldPosition="0">
        <references count="1">
          <reference field="16" count="1" selected="0">
            <x v="172"/>
          </reference>
        </references>
      </pivotArea>
    </format>
    <format dxfId="626">
      <pivotArea collapsedLevelsAreSubtotals="1" fieldPosition="0">
        <references count="1">
          <reference field="16" count="1" selected="0">
            <x v="173"/>
          </reference>
        </references>
      </pivotArea>
    </format>
    <format dxfId="627">
      <pivotArea collapsedLevelsAreSubtotals="1" fieldPosition="0">
        <references count="1">
          <reference field="16" count="1" selected="0">
            <x v="174"/>
          </reference>
        </references>
      </pivotArea>
    </format>
    <format dxfId="628">
      <pivotArea collapsedLevelsAreSubtotals="1" fieldPosition="0">
        <references count="1">
          <reference field="16" count="1" selected="0">
            <x v="175"/>
          </reference>
        </references>
      </pivotArea>
    </format>
    <format dxfId="629">
      <pivotArea collapsedLevelsAreSubtotals="1" fieldPosition="0">
        <references count="1">
          <reference field="16" count="1" selected="0">
            <x v="176"/>
          </reference>
        </references>
      </pivotArea>
    </format>
    <format dxfId="630">
      <pivotArea collapsedLevelsAreSubtotals="1" fieldPosition="0">
        <references count="1">
          <reference field="16" count="1" selected="0">
            <x v="177"/>
          </reference>
        </references>
      </pivotArea>
    </format>
    <format dxfId="631">
      <pivotArea collapsedLevelsAreSubtotals="1" fieldPosition="0">
        <references count="1">
          <reference field="16" count="1" selected="0">
            <x v="178"/>
          </reference>
        </references>
      </pivotArea>
    </format>
    <format dxfId="632">
      <pivotArea collapsedLevelsAreSubtotals="1" fieldPosition="0">
        <references count="1">
          <reference field="16" count="1" selected="0">
            <x v="179"/>
          </reference>
        </references>
      </pivotArea>
    </format>
    <format dxfId="633">
      <pivotArea collapsedLevelsAreSubtotals="1" fieldPosition="0">
        <references count="1">
          <reference field="16" count="1" selected="0">
            <x v="180"/>
          </reference>
        </references>
      </pivotArea>
    </format>
    <format dxfId="634">
      <pivotArea collapsedLevelsAreSubtotals="1" fieldPosition="0">
        <references count="1">
          <reference field="16" count="1" selected="0">
            <x v="181"/>
          </reference>
        </references>
      </pivotArea>
    </format>
    <format dxfId="635">
      <pivotArea collapsedLevelsAreSubtotals="1" fieldPosition="0">
        <references count="1">
          <reference field="16" count="1" selected="0">
            <x v="182"/>
          </reference>
        </references>
      </pivotArea>
    </format>
    <format dxfId="636">
      <pivotArea collapsedLevelsAreSubtotals="1" fieldPosition="0">
        <references count="1">
          <reference field="16" count="1" selected="0">
            <x v="183"/>
          </reference>
        </references>
      </pivotArea>
    </format>
    <format dxfId="637">
      <pivotArea collapsedLevelsAreSubtotals="1" fieldPosition="0">
        <references count="1">
          <reference field="16" count="1" selected="0">
            <x v="184"/>
          </reference>
        </references>
      </pivotArea>
    </format>
    <format dxfId="638">
      <pivotArea collapsedLevelsAreSubtotals="1" fieldPosition="0">
        <references count="1">
          <reference field="16" count="1" selected="0">
            <x v="185"/>
          </reference>
        </references>
      </pivotArea>
    </format>
    <format dxfId="639">
      <pivotArea collapsedLevelsAreSubtotals="1" fieldPosition="0">
        <references count="1">
          <reference field="16" count="1" selected="0">
            <x v="186"/>
          </reference>
        </references>
      </pivotArea>
    </format>
    <format dxfId="640">
      <pivotArea collapsedLevelsAreSubtotals="1" fieldPosition="0">
        <references count="1">
          <reference field="16" count="1" selected="0">
            <x v="187"/>
          </reference>
        </references>
      </pivotArea>
    </format>
    <format dxfId="641">
      <pivotArea collapsedLevelsAreSubtotals="1" fieldPosition="0">
        <references count="1">
          <reference field="16" count="1" selected="0">
            <x v="188"/>
          </reference>
        </references>
      </pivotArea>
    </format>
    <format dxfId="642">
      <pivotArea collapsedLevelsAreSubtotals="1" fieldPosition="0">
        <references count="1">
          <reference field="16" count="1" selected="0">
            <x v="189"/>
          </reference>
        </references>
      </pivotArea>
    </format>
    <format dxfId="643">
      <pivotArea collapsedLevelsAreSubtotals="1" fieldPosition="0">
        <references count="1">
          <reference field="16" count="1" selected="0">
            <x v="190"/>
          </reference>
        </references>
      </pivotArea>
    </format>
    <format dxfId="644">
      <pivotArea collapsedLevelsAreSubtotals="1" fieldPosition="0">
        <references count="1">
          <reference field="16" count="1" selected="0">
            <x v="191"/>
          </reference>
        </references>
      </pivotArea>
    </format>
    <format dxfId="645">
      <pivotArea collapsedLevelsAreSubtotals="1" fieldPosition="0">
        <references count="1">
          <reference field="16" count="1" selected="0">
            <x v="192"/>
          </reference>
        </references>
      </pivotArea>
    </format>
    <format dxfId="646">
      <pivotArea collapsedLevelsAreSubtotals="1" fieldPosition="0">
        <references count="1">
          <reference field="16" count="1" selected="0">
            <x v="193"/>
          </reference>
        </references>
      </pivotArea>
    </format>
    <format dxfId="647">
      <pivotArea collapsedLevelsAreSubtotals="1" fieldPosition="0">
        <references count="1">
          <reference field="16" count="1" selected="0">
            <x v="194"/>
          </reference>
        </references>
      </pivotArea>
    </format>
    <format dxfId="648">
      <pivotArea collapsedLevelsAreSubtotals="1" fieldPosition="0">
        <references count="1">
          <reference field="16" count="1" selected="0">
            <x v="195"/>
          </reference>
        </references>
      </pivotArea>
    </format>
    <format dxfId="649">
      <pivotArea collapsedLevelsAreSubtotals="1" fieldPosition="0">
        <references count="1">
          <reference field="16" count="1" selected="0">
            <x v="196"/>
          </reference>
        </references>
      </pivotArea>
    </format>
    <format dxfId="650">
      <pivotArea collapsedLevelsAreSubtotals="1" fieldPosition="0">
        <references count="1">
          <reference field="16" count="1" selected="0">
            <x v="197"/>
          </reference>
        </references>
      </pivotArea>
    </format>
    <format dxfId="651">
      <pivotArea collapsedLevelsAreSubtotals="1" fieldPosition="0">
        <references count="1">
          <reference field="16" count="1" selected="0">
            <x v="198"/>
          </reference>
        </references>
      </pivotArea>
    </format>
    <format dxfId="652">
      <pivotArea collapsedLevelsAreSubtotals="1" fieldPosition="0">
        <references count="1">
          <reference field="16" count="1" selected="0">
            <x v="199"/>
          </reference>
        </references>
      </pivotArea>
    </format>
    <format dxfId="653">
      <pivotArea collapsedLevelsAreSubtotals="1" fieldPosition="0">
        <references count="1">
          <reference field="16" count="1" selected="0">
            <x v="200"/>
          </reference>
        </references>
      </pivotArea>
    </format>
    <format dxfId="654">
      <pivotArea collapsedLevelsAreSubtotals="1" fieldPosition="0">
        <references count="1">
          <reference field="16" count="1" selected="0">
            <x v="201"/>
          </reference>
        </references>
      </pivotArea>
    </format>
    <format dxfId="655">
      <pivotArea collapsedLevelsAreSubtotals="1" fieldPosition="0">
        <references count="1">
          <reference field="16" count="1" selected="0">
            <x v="202"/>
          </reference>
        </references>
      </pivotArea>
    </format>
    <format dxfId="656">
      <pivotArea collapsedLevelsAreSubtotals="1" fieldPosition="0">
        <references count="1">
          <reference field="16" count="1" selected="0">
            <x v="203"/>
          </reference>
        </references>
      </pivotArea>
    </format>
    <format dxfId="657">
      <pivotArea collapsedLevelsAreSubtotals="1" fieldPosition="0">
        <references count="1">
          <reference field="16" count="1" selected="0">
            <x v="204"/>
          </reference>
        </references>
      </pivotArea>
    </format>
    <format dxfId="658">
      <pivotArea collapsedLevelsAreSubtotals="1" fieldPosition="0">
        <references count="1">
          <reference field="16" count="1" selected="0">
            <x v="205"/>
          </reference>
        </references>
      </pivotArea>
    </format>
    <format dxfId="659">
      <pivotArea collapsedLevelsAreSubtotals="1" fieldPosition="0">
        <references count="1">
          <reference field="16" count="1" selected="0">
            <x v="206"/>
          </reference>
        </references>
      </pivotArea>
    </format>
    <format dxfId="660">
      <pivotArea collapsedLevelsAreSubtotals="1" fieldPosition="0">
        <references count="1">
          <reference field="16" count="1" selected="0">
            <x v="207"/>
          </reference>
        </references>
      </pivotArea>
    </format>
    <format dxfId="661">
      <pivotArea collapsedLevelsAreSubtotals="1" fieldPosition="0">
        <references count="1">
          <reference field="16" count="1" selected="0">
            <x v="208"/>
          </reference>
        </references>
      </pivotArea>
    </format>
    <format dxfId="662">
      <pivotArea collapsedLevelsAreSubtotals="1" fieldPosition="0">
        <references count="1">
          <reference field="16" count="1" selected="0">
            <x v="209"/>
          </reference>
        </references>
      </pivotArea>
    </format>
    <format dxfId="663">
      <pivotArea collapsedLevelsAreSubtotals="1" fieldPosition="0">
        <references count="1">
          <reference field="16" count="1" selected="0">
            <x v="210"/>
          </reference>
        </references>
      </pivotArea>
    </format>
    <format dxfId="664">
      <pivotArea collapsedLevelsAreSubtotals="1" fieldPosition="0">
        <references count="1">
          <reference field="16" count="1" selected="0">
            <x v="211"/>
          </reference>
        </references>
      </pivotArea>
    </format>
    <format dxfId="665">
      <pivotArea collapsedLevelsAreSubtotals="1" fieldPosition="0">
        <references count="1">
          <reference field="16" count="1" selected="0">
            <x v="212"/>
          </reference>
        </references>
      </pivotArea>
    </format>
    <format dxfId="666">
      <pivotArea collapsedLevelsAreSubtotals="1" fieldPosition="0">
        <references count="1">
          <reference field="16" count="1" selected="0">
            <x v="213"/>
          </reference>
        </references>
      </pivotArea>
    </format>
    <format dxfId="667">
      <pivotArea collapsedLevelsAreSubtotals="1" fieldPosition="0">
        <references count="1">
          <reference field="16" count="1" selected="0">
            <x v="214"/>
          </reference>
        </references>
      </pivotArea>
    </format>
    <format dxfId="668">
      <pivotArea collapsedLevelsAreSubtotals="1" fieldPosition="0">
        <references count="1">
          <reference field="16" count="1" selected="0">
            <x v="215"/>
          </reference>
        </references>
      </pivotArea>
    </format>
    <format dxfId="669">
      <pivotArea collapsedLevelsAreSubtotals="1" fieldPosition="0">
        <references count="1">
          <reference field="16" count="1" selected="0">
            <x v="216"/>
          </reference>
        </references>
      </pivotArea>
    </format>
    <format dxfId="670">
      <pivotArea collapsedLevelsAreSubtotals="1" fieldPosition="0">
        <references count="1">
          <reference field="16" count="1" selected="0">
            <x v="217"/>
          </reference>
        </references>
      </pivotArea>
    </format>
    <format dxfId="671">
      <pivotArea collapsedLevelsAreSubtotals="1" fieldPosition="0">
        <references count="1">
          <reference field="16" count="1" selected="0">
            <x v="218"/>
          </reference>
        </references>
      </pivotArea>
    </format>
    <format dxfId="672">
      <pivotArea collapsedLevelsAreSubtotals="1" fieldPosition="0">
        <references count="1">
          <reference field="16" count="1" selected="0">
            <x v="219"/>
          </reference>
        </references>
      </pivotArea>
    </format>
    <format dxfId="673">
      <pivotArea collapsedLevelsAreSubtotals="1" fieldPosition="0">
        <references count="1">
          <reference field="16" count="1" selected="0">
            <x v="220"/>
          </reference>
        </references>
      </pivotArea>
    </format>
    <format dxfId="674">
      <pivotArea collapsedLevelsAreSubtotals="1" fieldPosition="0">
        <references count="1">
          <reference field="16" count="1" selected="0">
            <x v="221"/>
          </reference>
        </references>
      </pivotArea>
    </format>
    <format dxfId="675">
      <pivotArea collapsedLevelsAreSubtotals="1" fieldPosition="0">
        <references count="1">
          <reference field="16" count="1" selected="0">
            <x v="222"/>
          </reference>
        </references>
      </pivotArea>
    </format>
    <format dxfId="676">
      <pivotArea collapsedLevelsAreSubtotals="1" fieldPosition="0">
        <references count="1">
          <reference field="16" count="1" selected="0">
            <x v="223"/>
          </reference>
        </references>
      </pivotArea>
    </format>
    <format dxfId="677">
      <pivotArea collapsedLevelsAreSubtotals="1" fieldPosition="0">
        <references count="1">
          <reference field="16" count="1" selected="0">
            <x v="224"/>
          </reference>
        </references>
      </pivotArea>
    </format>
    <format dxfId="678">
      <pivotArea collapsedLevelsAreSubtotals="1" fieldPosition="0">
        <references count="1">
          <reference field="16" count="1" selected="0">
            <x v="225"/>
          </reference>
        </references>
      </pivotArea>
    </format>
    <format dxfId="679">
      <pivotArea collapsedLevelsAreSubtotals="1" fieldPosition="0">
        <references count="1">
          <reference field="16" count="1" selected="0">
            <x v="226"/>
          </reference>
        </references>
      </pivotArea>
    </format>
    <format dxfId="680">
      <pivotArea collapsedLevelsAreSubtotals="1" fieldPosition="0">
        <references count="1">
          <reference field="16" count="1" selected="0">
            <x v="227"/>
          </reference>
        </references>
      </pivotArea>
    </format>
    <format dxfId="681">
      <pivotArea collapsedLevelsAreSubtotals="1" fieldPosition="0">
        <references count="1">
          <reference field="16" count="1" selected="0">
            <x v="228"/>
          </reference>
        </references>
      </pivotArea>
    </format>
    <format dxfId="682">
      <pivotArea collapsedLevelsAreSubtotals="1" fieldPosition="0">
        <references count="1">
          <reference field="16" count="1" selected="0">
            <x v="229"/>
          </reference>
        </references>
      </pivotArea>
    </format>
    <format dxfId="683">
      <pivotArea collapsedLevelsAreSubtotals="1" fieldPosition="0">
        <references count="1">
          <reference field="16" count="1" selected="0">
            <x v="230"/>
          </reference>
        </references>
      </pivotArea>
    </format>
    <format dxfId="684">
      <pivotArea collapsedLevelsAreSubtotals="1" fieldPosition="0">
        <references count="1">
          <reference field="16" count="1" selected="0">
            <x v="231"/>
          </reference>
        </references>
      </pivotArea>
    </format>
    <format dxfId="685">
      <pivotArea collapsedLevelsAreSubtotals="1" fieldPosition="0">
        <references count="1">
          <reference field="16" count="1" selected="0">
            <x v="232"/>
          </reference>
        </references>
      </pivotArea>
    </format>
    <format dxfId="686">
      <pivotArea collapsedLevelsAreSubtotals="1" fieldPosition="0">
        <references count="1">
          <reference field="16" count="1" selected="0">
            <x v="233"/>
          </reference>
        </references>
      </pivotArea>
    </format>
    <format dxfId="687">
      <pivotArea collapsedLevelsAreSubtotals="1" fieldPosition="0">
        <references count="1">
          <reference field="16" count="1" selected="0">
            <x v="234"/>
          </reference>
        </references>
      </pivotArea>
    </format>
    <format dxfId="688">
      <pivotArea collapsedLevelsAreSubtotals="1" fieldPosition="0">
        <references count="1">
          <reference field="16" count="1" selected="0">
            <x v="235"/>
          </reference>
        </references>
      </pivotArea>
    </format>
    <format dxfId="689">
      <pivotArea collapsedLevelsAreSubtotals="1" fieldPosition="0">
        <references count="1">
          <reference field="16" count="1" selected="0">
            <x v="236"/>
          </reference>
        </references>
      </pivotArea>
    </format>
    <format dxfId="690">
      <pivotArea collapsedLevelsAreSubtotals="1" fieldPosition="0">
        <references count="1">
          <reference field="16" count="1" selected="0">
            <x v="237"/>
          </reference>
        </references>
      </pivotArea>
    </format>
    <format dxfId="691">
      <pivotArea collapsedLevelsAreSubtotals="1" fieldPosition="0">
        <references count="1">
          <reference field="16" count="1" selected="0">
            <x v="238"/>
          </reference>
        </references>
      </pivotArea>
    </format>
    <format dxfId="692">
      <pivotArea collapsedLevelsAreSubtotals="1" fieldPosition="0">
        <references count="1">
          <reference field="16" count="1" selected="0">
            <x v="239"/>
          </reference>
        </references>
      </pivotArea>
    </format>
    <format dxfId="693">
      <pivotArea collapsedLevelsAreSubtotals="1" fieldPosition="0">
        <references count="1">
          <reference field="16" count="1" selected="0">
            <x v="240"/>
          </reference>
        </references>
      </pivotArea>
    </format>
    <format dxfId="694">
      <pivotArea collapsedLevelsAreSubtotals="1" fieldPosition="0">
        <references count="1">
          <reference field="16" count="1" selected="0">
            <x v="241"/>
          </reference>
        </references>
      </pivotArea>
    </format>
    <format dxfId="695">
      <pivotArea collapsedLevelsAreSubtotals="1" fieldPosition="0">
        <references count="1">
          <reference field="16" count="1" selected="0">
            <x v="242"/>
          </reference>
        </references>
      </pivotArea>
    </format>
    <format dxfId="696">
      <pivotArea collapsedLevelsAreSubtotals="1" fieldPosition="0">
        <references count="1">
          <reference field="16" count="1" selected="0">
            <x v="243"/>
          </reference>
        </references>
      </pivotArea>
    </format>
    <format dxfId="697">
      <pivotArea collapsedLevelsAreSubtotals="1" fieldPosition="0">
        <references count="1">
          <reference field="16" count="1" selected="0">
            <x v="244"/>
          </reference>
        </references>
      </pivotArea>
    </format>
    <format dxfId="698">
      <pivotArea collapsedLevelsAreSubtotals="1" fieldPosition="0">
        <references count="1">
          <reference field="16" count="1" selected="0">
            <x v="245"/>
          </reference>
        </references>
      </pivotArea>
    </format>
    <format dxfId="699">
      <pivotArea collapsedLevelsAreSubtotals="1" fieldPosition="0">
        <references count="1">
          <reference field="16" count="1" selected="0">
            <x v="246"/>
          </reference>
        </references>
      </pivotArea>
    </format>
    <format dxfId="700">
      <pivotArea collapsedLevelsAreSubtotals="1" fieldPosition="0">
        <references count="1">
          <reference field="16" count="1" selected="0">
            <x v="247"/>
          </reference>
        </references>
      </pivotArea>
    </format>
    <format dxfId="701">
      <pivotArea collapsedLevelsAreSubtotals="1" fieldPosition="0">
        <references count="1">
          <reference field="16" count="1" selected="0">
            <x v="248"/>
          </reference>
        </references>
      </pivotArea>
    </format>
    <format dxfId="702">
      <pivotArea collapsedLevelsAreSubtotals="1" fieldPosition="0">
        <references count="1">
          <reference field="16" count="1" selected="0">
            <x v="249"/>
          </reference>
        </references>
      </pivotArea>
    </format>
    <format dxfId="703">
      <pivotArea collapsedLevelsAreSubtotals="1" fieldPosition="0">
        <references count="1">
          <reference field="16" count="1" selected="0">
            <x v="250"/>
          </reference>
        </references>
      </pivotArea>
    </format>
    <format dxfId="704">
      <pivotArea collapsedLevelsAreSubtotals="1" fieldPosition="0">
        <references count="1">
          <reference field="16" count="1" selected="0">
            <x v="251"/>
          </reference>
        </references>
      </pivotArea>
    </format>
    <format dxfId="705">
      <pivotArea collapsedLevelsAreSubtotals="1" fieldPosition="0">
        <references count="1">
          <reference field="16" count="1" selected="0">
            <x v="252"/>
          </reference>
        </references>
      </pivotArea>
    </format>
    <format dxfId="706">
      <pivotArea collapsedLevelsAreSubtotals="1" fieldPosition="0">
        <references count="1">
          <reference field="16" count="1" selected="0">
            <x v="253"/>
          </reference>
        </references>
      </pivotArea>
    </format>
    <format dxfId="707">
      <pivotArea collapsedLevelsAreSubtotals="1" fieldPosition="0">
        <references count="1">
          <reference field="16" count="1" selected="0">
            <x v="254"/>
          </reference>
        </references>
      </pivotArea>
    </format>
    <format dxfId="708">
      <pivotArea collapsedLevelsAreSubtotals="1" fieldPosition="0">
        <references count="1">
          <reference field="16" count="1" selected="0">
            <x v="255"/>
          </reference>
        </references>
      </pivotArea>
    </format>
    <format dxfId="709">
      <pivotArea collapsedLevelsAreSubtotals="1" fieldPosition="0">
        <references count="1">
          <reference field="16" count="1" selected="0">
            <x v="256"/>
          </reference>
        </references>
      </pivotArea>
    </format>
    <format dxfId="710">
      <pivotArea collapsedLevelsAreSubtotals="1" fieldPosition="0">
        <references count="1">
          <reference field="16" count="1" selected="0">
            <x v="257"/>
          </reference>
        </references>
      </pivotArea>
    </format>
    <format dxfId="711">
      <pivotArea collapsedLevelsAreSubtotals="1" fieldPosition="0">
        <references count="1">
          <reference field="16" count="1" selected="0">
            <x v="258"/>
          </reference>
        </references>
      </pivotArea>
    </format>
    <format dxfId="712">
      <pivotArea collapsedLevelsAreSubtotals="1" fieldPosition="0">
        <references count="1">
          <reference field="16" count="1" selected="0">
            <x v="259"/>
          </reference>
        </references>
      </pivotArea>
    </format>
    <format dxfId="713">
      <pivotArea collapsedLevelsAreSubtotals="1" fieldPosition="0">
        <references count="1">
          <reference field="16" count="1" selected="0">
            <x v="260"/>
          </reference>
        </references>
      </pivotArea>
    </format>
    <format dxfId="714">
      <pivotArea collapsedLevelsAreSubtotals="1" fieldPosition="0">
        <references count="1">
          <reference field="16" count="1" selected="0">
            <x v="261"/>
          </reference>
        </references>
      </pivotArea>
    </format>
    <format dxfId="715">
      <pivotArea collapsedLevelsAreSubtotals="1" fieldPosition="0">
        <references count="1">
          <reference field="16" count="1" selected="0">
            <x v="262"/>
          </reference>
        </references>
      </pivotArea>
    </format>
    <format dxfId="716">
      <pivotArea collapsedLevelsAreSubtotals="1" fieldPosition="0">
        <references count="1">
          <reference field="16" count="1" selected="0">
            <x v="263"/>
          </reference>
        </references>
      </pivotArea>
    </format>
    <format dxfId="717">
      <pivotArea collapsedLevelsAreSubtotals="1" fieldPosition="0">
        <references count="1">
          <reference field="16" count="1" selected="0">
            <x v="264"/>
          </reference>
        </references>
      </pivotArea>
    </format>
    <format dxfId="718">
      <pivotArea collapsedLevelsAreSubtotals="1" fieldPosition="0">
        <references count="1">
          <reference field="16" count="1" selected="0">
            <x v="265"/>
          </reference>
        </references>
      </pivotArea>
    </format>
    <format dxfId="719">
      <pivotArea collapsedLevelsAreSubtotals="1" fieldPosition="0">
        <references count="1">
          <reference field="16" count="1" selected="0">
            <x v="266"/>
          </reference>
        </references>
      </pivotArea>
    </format>
    <format dxfId="720">
      <pivotArea collapsedLevelsAreSubtotals="1" fieldPosition="0">
        <references count="1">
          <reference field="16" count="1" selected="0">
            <x v="267"/>
          </reference>
        </references>
      </pivotArea>
    </format>
    <format dxfId="721">
      <pivotArea collapsedLevelsAreSubtotals="1" fieldPosition="0">
        <references count="1">
          <reference field="16" count="1" selected="0">
            <x v="268"/>
          </reference>
        </references>
      </pivotArea>
    </format>
    <format dxfId="722">
      <pivotArea collapsedLevelsAreSubtotals="1" fieldPosition="0">
        <references count="1">
          <reference field="16" count="1" selected="0">
            <x v="269"/>
          </reference>
        </references>
      </pivotArea>
    </format>
    <format dxfId="723">
      <pivotArea collapsedLevelsAreSubtotals="1" fieldPosition="0">
        <references count="1">
          <reference field="16" count="1" selected="0">
            <x v="270"/>
          </reference>
        </references>
      </pivotArea>
    </format>
    <format dxfId="724">
      <pivotArea collapsedLevelsAreSubtotals="1" fieldPosition="0">
        <references count="1">
          <reference field="16" count="1" selected="0">
            <x v="271"/>
          </reference>
        </references>
      </pivotArea>
    </format>
    <format dxfId="725">
      <pivotArea collapsedLevelsAreSubtotals="1" fieldPosition="0">
        <references count="1">
          <reference field="16" count="1" selected="0">
            <x v="272"/>
          </reference>
        </references>
      </pivotArea>
    </format>
    <format dxfId="726">
      <pivotArea collapsedLevelsAreSubtotals="1" fieldPosition="0">
        <references count="1">
          <reference field="16" count="1" selected="0">
            <x v="273"/>
          </reference>
        </references>
      </pivotArea>
    </format>
    <format dxfId="727">
      <pivotArea collapsedLevelsAreSubtotals="1" fieldPosition="0">
        <references count="1">
          <reference field="16" count="1" selected="0">
            <x v="274"/>
          </reference>
        </references>
      </pivotArea>
    </format>
    <format dxfId="728">
      <pivotArea collapsedLevelsAreSubtotals="1" fieldPosition="0">
        <references count="1">
          <reference field="16" count="1" selected="0">
            <x v="275"/>
          </reference>
        </references>
      </pivotArea>
    </format>
    <format dxfId="729">
      <pivotArea collapsedLevelsAreSubtotals="1" fieldPosition="0">
        <references count="1">
          <reference field="16" count="1" selected="0">
            <x v="276"/>
          </reference>
        </references>
      </pivotArea>
    </format>
    <format dxfId="730">
      <pivotArea collapsedLevelsAreSubtotals="1" fieldPosition="0">
        <references count="1">
          <reference field="16" count="1" selected="0">
            <x v="277"/>
          </reference>
        </references>
      </pivotArea>
    </format>
    <format dxfId="731">
      <pivotArea collapsedLevelsAreSubtotals="1" fieldPosition="0">
        <references count="1">
          <reference field="16" count="1" selected="0">
            <x v="278"/>
          </reference>
        </references>
      </pivotArea>
    </format>
    <format dxfId="732">
      <pivotArea collapsedLevelsAreSubtotals="1" fieldPosition="0">
        <references count="1">
          <reference field="16" count="1" selected="0">
            <x v="279"/>
          </reference>
        </references>
      </pivotArea>
    </format>
    <format dxfId="733">
      <pivotArea collapsedLevelsAreSubtotals="1" fieldPosition="0">
        <references count="1">
          <reference field="16" count="1" selected="0">
            <x v="280"/>
          </reference>
        </references>
      </pivotArea>
    </format>
    <format dxfId="734">
      <pivotArea collapsedLevelsAreSubtotals="1" fieldPosition="0">
        <references count="1">
          <reference field="16" count="1" selected="0">
            <x v="281"/>
          </reference>
        </references>
      </pivotArea>
    </format>
    <format dxfId="735">
      <pivotArea collapsedLevelsAreSubtotals="1" fieldPosition="0">
        <references count="1">
          <reference field="16" count="1" selected="0">
            <x v="282"/>
          </reference>
        </references>
      </pivotArea>
    </format>
    <format dxfId="736">
      <pivotArea collapsedLevelsAreSubtotals="1" fieldPosition="0">
        <references count="1">
          <reference field="16" count="1" selected="0">
            <x v="283"/>
          </reference>
        </references>
      </pivotArea>
    </format>
    <format dxfId="737">
      <pivotArea collapsedLevelsAreSubtotals="1" fieldPosition="0">
        <references count="1">
          <reference field="16" count="1" selected="0">
            <x v="284"/>
          </reference>
        </references>
      </pivotArea>
    </format>
    <format dxfId="738">
      <pivotArea collapsedLevelsAreSubtotals="1" fieldPosition="0">
        <references count="1">
          <reference field="16" count="1" selected="0">
            <x v="285"/>
          </reference>
        </references>
      </pivotArea>
    </format>
    <format dxfId="739">
      <pivotArea collapsedLevelsAreSubtotals="1" fieldPosition="0">
        <references count="1">
          <reference field="16" count="1" selected="0">
            <x v="286"/>
          </reference>
        </references>
      </pivotArea>
    </format>
    <format dxfId="740">
      <pivotArea collapsedLevelsAreSubtotals="1" fieldPosition="0">
        <references count="1">
          <reference field="16" count="1" selected="0">
            <x v="287"/>
          </reference>
        </references>
      </pivotArea>
    </format>
    <format dxfId="741">
      <pivotArea collapsedLevelsAreSubtotals="1" fieldPosition="0">
        <references count="1">
          <reference field="16" count="1" selected="0">
            <x v="288"/>
          </reference>
        </references>
      </pivotArea>
    </format>
    <format dxfId="742">
      <pivotArea collapsedLevelsAreSubtotals="1" fieldPosition="0">
        <references count="1">
          <reference field="16" count="1" selected="0">
            <x v="289"/>
          </reference>
        </references>
      </pivotArea>
    </format>
    <format dxfId="743">
      <pivotArea collapsedLevelsAreSubtotals="1" fieldPosition="0">
        <references count="1">
          <reference field="16" count="1" selected="0">
            <x v="290"/>
          </reference>
        </references>
      </pivotArea>
    </format>
    <format dxfId="744">
      <pivotArea collapsedLevelsAreSubtotals="1" fieldPosition="0">
        <references count="1">
          <reference field="16" count="1" selected="0">
            <x v="291"/>
          </reference>
        </references>
      </pivotArea>
    </format>
    <format dxfId="745">
      <pivotArea collapsedLevelsAreSubtotals="1" fieldPosition="0">
        <references count="1">
          <reference field="16" count="1" selected="0">
            <x v="292"/>
          </reference>
        </references>
      </pivotArea>
    </format>
    <format dxfId="746">
      <pivotArea collapsedLevelsAreSubtotals="1" fieldPosition="0">
        <references count="1">
          <reference field="16" count="1" selected="0">
            <x v="293"/>
          </reference>
        </references>
      </pivotArea>
    </format>
    <format dxfId="747">
      <pivotArea collapsedLevelsAreSubtotals="1" fieldPosition="0">
        <references count="1">
          <reference field="16" count="1" selected="0">
            <x v="294"/>
          </reference>
        </references>
      </pivotArea>
    </format>
    <format dxfId="748">
      <pivotArea collapsedLevelsAreSubtotals="1" fieldPosition="0">
        <references count="1">
          <reference field="16" count="1" selected="0">
            <x v="295"/>
          </reference>
        </references>
      </pivotArea>
    </format>
    <format dxfId="749">
      <pivotArea collapsedLevelsAreSubtotals="1" fieldPosition="0">
        <references count="1">
          <reference field="16" count="1" selected="0">
            <x v="296"/>
          </reference>
        </references>
      </pivotArea>
    </format>
    <format dxfId="750">
      <pivotArea collapsedLevelsAreSubtotals="1" fieldPosition="0">
        <references count="1">
          <reference field="16" count="1" selected="0">
            <x v="297"/>
          </reference>
        </references>
      </pivotArea>
    </format>
    <format dxfId="751">
      <pivotArea collapsedLevelsAreSubtotals="1" fieldPosition="0">
        <references count="1">
          <reference field="16" count="1" selected="0">
            <x v="298"/>
          </reference>
        </references>
      </pivotArea>
    </format>
    <format dxfId="752">
      <pivotArea collapsedLevelsAreSubtotals="1" fieldPosition="0">
        <references count="1">
          <reference field="16" count="1" selected="0">
            <x v="299"/>
          </reference>
        </references>
      </pivotArea>
    </format>
    <format dxfId="753">
      <pivotArea collapsedLevelsAreSubtotals="1" fieldPosition="0">
        <references count="1">
          <reference field="16" count="1" selected="0">
            <x v="300"/>
          </reference>
        </references>
      </pivotArea>
    </format>
    <format dxfId="754">
      <pivotArea collapsedLevelsAreSubtotals="1" fieldPosition="0">
        <references count="1">
          <reference field="16" count="1" selected="0">
            <x v="301"/>
          </reference>
        </references>
      </pivotArea>
    </format>
    <format dxfId="755">
      <pivotArea collapsedLevelsAreSubtotals="1" fieldPosition="0">
        <references count="1">
          <reference field="16" count="1" selected="0">
            <x v="302"/>
          </reference>
        </references>
      </pivotArea>
    </format>
    <format dxfId="756">
      <pivotArea collapsedLevelsAreSubtotals="1" fieldPosition="0">
        <references count="1">
          <reference field="16" count="1" selected="0">
            <x v="303"/>
          </reference>
        </references>
      </pivotArea>
    </format>
    <format dxfId="757">
      <pivotArea collapsedLevelsAreSubtotals="1" fieldPosition="0">
        <references count="1">
          <reference field="16" count="1" selected="0">
            <x v="304"/>
          </reference>
        </references>
      </pivotArea>
    </format>
    <format dxfId="758">
      <pivotArea collapsedLevelsAreSubtotals="1" fieldPosition="0">
        <references count="1">
          <reference field="16" count="1" selected="0">
            <x v="305"/>
          </reference>
        </references>
      </pivotArea>
    </format>
    <format dxfId="759">
      <pivotArea collapsedLevelsAreSubtotals="1" fieldPosition="0">
        <references count="1">
          <reference field="16" count="1" selected="0">
            <x v="306"/>
          </reference>
        </references>
      </pivotArea>
    </format>
    <format dxfId="760">
      <pivotArea collapsedLevelsAreSubtotals="1" fieldPosition="0">
        <references count="1">
          <reference field="16" count="1" selected="0">
            <x v="307"/>
          </reference>
        </references>
      </pivotArea>
    </format>
    <format dxfId="761">
      <pivotArea collapsedLevelsAreSubtotals="1" fieldPosition="0">
        <references count="1">
          <reference field="16" count="1" selected="0">
            <x v="308"/>
          </reference>
        </references>
      </pivotArea>
    </format>
    <format dxfId="762">
      <pivotArea collapsedLevelsAreSubtotals="1" fieldPosition="0">
        <references count="1">
          <reference field="16" count="1" selected="0">
            <x v="309"/>
          </reference>
        </references>
      </pivotArea>
    </format>
    <format dxfId="763">
      <pivotArea collapsedLevelsAreSubtotals="1" fieldPosition="0">
        <references count="1">
          <reference field="16" count="1" selected="0">
            <x v="310"/>
          </reference>
        </references>
      </pivotArea>
    </format>
    <format dxfId="764">
      <pivotArea collapsedLevelsAreSubtotals="1" fieldPosition="0">
        <references count="1">
          <reference field="16" count="1" selected="0">
            <x v="311"/>
          </reference>
        </references>
      </pivotArea>
    </format>
    <format dxfId="765">
      <pivotArea collapsedLevelsAreSubtotals="1" fieldPosition="0">
        <references count="1">
          <reference field="16" count="1" selected="0">
            <x v="312"/>
          </reference>
        </references>
      </pivotArea>
    </format>
    <format dxfId="766">
      <pivotArea collapsedLevelsAreSubtotals="1" fieldPosition="0">
        <references count="1">
          <reference field="16" count="1" selected="0">
            <x v="313"/>
          </reference>
        </references>
      </pivotArea>
    </format>
    <format dxfId="767">
      <pivotArea collapsedLevelsAreSubtotals="1" fieldPosition="0">
        <references count="1">
          <reference field="16" count="1" selected="0">
            <x v="314"/>
          </reference>
        </references>
      </pivotArea>
    </format>
    <format dxfId="768">
      <pivotArea collapsedLevelsAreSubtotals="1" fieldPosition="0">
        <references count="1">
          <reference field="16" count="1" selected="0">
            <x v="315"/>
          </reference>
        </references>
      </pivotArea>
    </format>
    <format dxfId="769">
      <pivotArea collapsedLevelsAreSubtotals="1" fieldPosition="0">
        <references count="1">
          <reference field="16" count="1" selected="0">
            <x v="316"/>
          </reference>
        </references>
      </pivotArea>
    </format>
    <format dxfId="770">
      <pivotArea collapsedLevelsAreSubtotals="1" fieldPosition="0">
        <references count="1">
          <reference field="16" count="1" selected="0">
            <x v="317"/>
          </reference>
        </references>
      </pivotArea>
    </format>
    <format dxfId="771">
      <pivotArea collapsedLevelsAreSubtotals="1" fieldPosition="0">
        <references count="1">
          <reference field="16" count="1" selected="0">
            <x v="318"/>
          </reference>
        </references>
      </pivotArea>
    </format>
    <format dxfId="772">
      <pivotArea collapsedLevelsAreSubtotals="1" fieldPosition="0">
        <references count="1">
          <reference field="16" count="1" selected="0">
            <x v="319"/>
          </reference>
        </references>
      </pivotArea>
    </format>
    <format dxfId="773">
      <pivotArea collapsedLevelsAreSubtotals="1" fieldPosition="0">
        <references count="1">
          <reference field="16" count="1" selected="0">
            <x v="320"/>
          </reference>
        </references>
      </pivotArea>
    </format>
    <format dxfId="774">
      <pivotArea collapsedLevelsAreSubtotals="1" fieldPosition="0">
        <references count="1">
          <reference field="16" count="1" selected="0">
            <x v="321"/>
          </reference>
        </references>
      </pivotArea>
    </format>
    <format dxfId="775">
      <pivotArea collapsedLevelsAreSubtotals="1" fieldPosition="0">
        <references count="1">
          <reference field="16" count="1" selected="0">
            <x v="322"/>
          </reference>
        </references>
      </pivotArea>
    </format>
    <format dxfId="776">
      <pivotArea collapsedLevelsAreSubtotals="1" fieldPosition="0">
        <references count="1">
          <reference field="16" count="1" selected="0">
            <x v="323"/>
          </reference>
        </references>
      </pivotArea>
    </format>
    <format dxfId="777">
      <pivotArea collapsedLevelsAreSubtotals="1" fieldPosition="0">
        <references count="1">
          <reference field="16" count="1" selected="0">
            <x v="324"/>
          </reference>
        </references>
      </pivotArea>
    </format>
    <format dxfId="778">
      <pivotArea collapsedLevelsAreSubtotals="1" fieldPosition="0">
        <references count="1">
          <reference field="16" count="1" selected="0">
            <x v="325"/>
          </reference>
        </references>
      </pivotArea>
    </format>
    <format dxfId="779">
      <pivotArea collapsedLevelsAreSubtotals="1" fieldPosition="0">
        <references count="1">
          <reference field="16" count="1" selected="0">
            <x v="326"/>
          </reference>
        </references>
      </pivotArea>
    </format>
    <format dxfId="780">
      <pivotArea collapsedLevelsAreSubtotals="1" fieldPosition="0">
        <references count="1">
          <reference field="16" count="1" selected="0">
            <x v="327"/>
          </reference>
        </references>
      </pivotArea>
    </format>
    <format dxfId="781">
      <pivotArea collapsedLevelsAreSubtotals="1" fieldPosition="0">
        <references count="1">
          <reference field="16" count="1" selected="0">
            <x v="328"/>
          </reference>
        </references>
      </pivotArea>
    </format>
    <format dxfId="782">
      <pivotArea collapsedLevelsAreSubtotals="1" fieldPosition="0">
        <references count="1">
          <reference field="16" count="1" selected="0">
            <x v="329"/>
          </reference>
        </references>
      </pivotArea>
    </format>
    <format dxfId="783">
      <pivotArea collapsedLevelsAreSubtotals="1" fieldPosition="0">
        <references count="1">
          <reference field="16" count="1" selected="0">
            <x v="330"/>
          </reference>
        </references>
      </pivotArea>
    </format>
    <format dxfId="784">
      <pivotArea collapsedLevelsAreSubtotals="1" fieldPosition="0">
        <references count="1">
          <reference field="16" count="1" selected="0">
            <x v="331"/>
          </reference>
        </references>
      </pivotArea>
    </format>
    <format dxfId="785">
      <pivotArea collapsedLevelsAreSubtotals="1" fieldPosition="0">
        <references count="1">
          <reference field="16" count="1" selected="0">
            <x v="332"/>
          </reference>
        </references>
      </pivotArea>
    </format>
    <format dxfId="786">
      <pivotArea collapsedLevelsAreSubtotals="1" fieldPosition="0">
        <references count="1">
          <reference field="16" count="1" selected="0">
            <x v="333"/>
          </reference>
        </references>
      </pivotArea>
    </format>
    <format dxfId="787">
      <pivotArea collapsedLevelsAreSubtotals="1" fieldPosition="0">
        <references count="1">
          <reference field="16" count="1" selected="0">
            <x v="334"/>
          </reference>
        </references>
      </pivotArea>
    </format>
    <format dxfId="788">
      <pivotArea collapsedLevelsAreSubtotals="1" fieldPosition="0">
        <references count="1">
          <reference field="16" count="1" selected="0">
            <x v="335"/>
          </reference>
        </references>
      </pivotArea>
    </format>
    <format dxfId="789">
      <pivotArea collapsedLevelsAreSubtotals="1" fieldPosition="0">
        <references count="1">
          <reference field="16" count="1" selected="0">
            <x v="336"/>
          </reference>
        </references>
      </pivotArea>
    </format>
    <format dxfId="790">
      <pivotArea collapsedLevelsAreSubtotals="1" fieldPosition="0">
        <references count="1">
          <reference field="16" count="1" selected="0">
            <x v="337"/>
          </reference>
        </references>
      </pivotArea>
    </format>
    <format dxfId="791">
      <pivotArea collapsedLevelsAreSubtotals="1" fieldPosition="0">
        <references count="1">
          <reference field="16" count="1" selected="0">
            <x v="338"/>
          </reference>
        </references>
      </pivotArea>
    </format>
    <format dxfId="792">
      <pivotArea collapsedLevelsAreSubtotals="1" fieldPosition="0">
        <references count="1">
          <reference field="16" count="1" selected="0">
            <x v="339"/>
          </reference>
        </references>
      </pivotArea>
    </format>
    <format dxfId="793">
      <pivotArea collapsedLevelsAreSubtotals="1" fieldPosition="0">
        <references count="1">
          <reference field="16" count="1" selected="0">
            <x v="340"/>
          </reference>
        </references>
      </pivotArea>
    </format>
    <format dxfId="794">
      <pivotArea collapsedLevelsAreSubtotals="1" fieldPosition="0">
        <references count="1">
          <reference field="16" count="1" selected="0">
            <x v="341"/>
          </reference>
        </references>
      </pivotArea>
    </format>
    <format dxfId="795">
      <pivotArea collapsedLevelsAreSubtotals="1" fieldPosition="0">
        <references count="1">
          <reference field="16" count="1" selected="0">
            <x v="342"/>
          </reference>
        </references>
      </pivotArea>
    </format>
    <format dxfId="796">
      <pivotArea collapsedLevelsAreSubtotals="1" fieldPosition="0">
        <references count="1">
          <reference field="16" count="1" selected="0">
            <x v="343"/>
          </reference>
        </references>
      </pivotArea>
    </format>
    <format dxfId="797">
      <pivotArea collapsedLevelsAreSubtotals="1" fieldPosition="0">
        <references count="1">
          <reference field="16" count="1" selected="0">
            <x v="344"/>
          </reference>
        </references>
      </pivotArea>
    </format>
    <format dxfId="798">
      <pivotArea collapsedLevelsAreSubtotals="1" fieldPosition="0">
        <references count="1">
          <reference field="16" count="1" selected="0">
            <x v="345"/>
          </reference>
        </references>
      </pivotArea>
    </format>
    <format dxfId="799">
      <pivotArea collapsedLevelsAreSubtotals="1" fieldPosition="0">
        <references count="1">
          <reference field="16" count="1" selected="0">
            <x v="346"/>
          </reference>
        </references>
      </pivotArea>
    </format>
    <format dxfId="800">
      <pivotArea collapsedLevelsAreSubtotals="1" fieldPosition="0">
        <references count="1">
          <reference field="16" count="1" selected="0">
            <x v="347"/>
          </reference>
        </references>
      </pivotArea>
    </format>
    <format dxfId="801">
      <pivotArea collapsedLevelsAreSubtotals="1" fieldPosition="0">
        <references count="1">
          <reference field="16" count="1" selected="0">
            <x v="348"/>
          </reference>
        </references>
      </pivotArea>
    </format>
    <format dxfId="802">
      <pivotArea collapsedLevelsAreSubtotals="1" fieldPosition="0">
        <references count="1">
          <reference field="16" count="1" selected="0">
            <x v="349"/>
          </reference>
        </references>
      </pivotArea>
    </format>
    <format dxfId="803">
      <pivotArea collapsedLevelsAreSubtotals="1" fieldPosition="0">
        <references count="1">
          <reference field="16" count="1" selected="0">
            <x v="350"/>
          </reference>
        </references>
      </pivotArea>
    </format>
    <format dxfId="804">
      <pivotArea collapsedLevelsAreSubtotals="1" fieldPosition="0">
        <references count="1">
          <reference field="16" count="1" selected="0">
            <x v="351"/>
          </reference>
        </references>
      </pivotArea>
    </format>
    <format dxfId="805">
      <pivotArea collapsedLevelsAreSubtotals="1" fieldPosition="0">
        <references count="1">
          <reference field="16" count="1" selected="0">
            <x v="352"/>
          </reference>
        </references>
      </pivotArea>
    </format>
    <format dxfId="806">
      <pivotArea collapsedLevelsAreSubtotals="1" fieldPosition="0">
        <references count="1">
          <reference field="16" count="1" selected="0">
            <x v="353"/>
          </reference>
        </references>
      </pivotArea>
    </format>
    <format dxfId="807">
      <pivotArea collapsedLevelsAreSubtotals="1" fieldPosition="0">
        <references count="1">
          <reference field="16" count="1" selected="0">
            <x v="354"/>
          </reference>
        </references>
      </pivotArea>
    </format>
    <format dxfId="808">
      <pivotArea collapsedLevelsAreSubtotals="1" fieldPosition="0">
        <references count="1">
          <reference field="16" count="1" selected="0">
            <x v="355"/>
          </reference>
        </references>
      </pivotArea>
    </format>
    <format dxfId="809">
      <pivotArea collapsedLevelsAreSubtotals="1" fieldPosition="0">
        <references count="1">
          <reference field="16" count="1" selected="0">
            <x v="356"/>
          </reference>
        </references>
      </pivotArea>
    </format>
    <format dxfId="810">
      <pivotArea collapsedLevelsAreSubtotals="1" fieldPosition="0">
        <references count="1">
          <reference field="16" count="1" selected="0">
            <x v="357"/>
          </reference>
        </references>
      </pivotArea>
    </format>
    <format dxfId="811">
      <pivotArea collapsedLevelsAreSubtotals="1" fieldPosition="0">
        <references count="1">
          <reference field="16" count="1" selected="0">
            <x v="358"/>
          </reference>
        </references>
      </pivotArea>
    </format>
    <format dxfId="812">
      <pivotArea collapsedLevelsAreSubtotals="1" fieldPosition="0">
        <references count="1">
          <reference field="16" count="1" selected="0">
            <x v="359"/>
          </reference>
        </references>
      </pivotArea>
    </format>
    <format dxfId="813">
      <pivotArea collapsedLevelsAreSubtotals="1" fieldPosition="0">
        <references count="1">
          <reference field="16" count="1" selected="0">
            <x v="360"/>
          </reference>
        </references>
      </pivotArea>
    </format>
    <format dxfId="814">
      <pivotArea collapsedLevelsAreSubtotals="1" fieldPosition="0">
        <references count="1">
          <reference field="16" count="1" selected="0">
            <x v="361"/>
          </reference>
        </references>
      </pivotArea>
    </format>
    <format dxfId="815">
      <pivotArea collapsedLevelsAreSubtotals="1" fieldPosition="0">
        <references count="1">
          <reference field="16" count="1" selected="0">
            <x v="362"/>
          </reference>
        </references>
      </pivotArea>
    </format>
    <format dxfId="816">
      <pivotArea collapsedLevelsAreSubtotals="1" fieldPosition="0">
        <references count="1">
          <reference field="16" count="1" selected="0">
            <x v="363"/>
          </reference>
        </references>
      </pivotArea>
    </format>
    <format dxfId="817">
      <pivotArea collapsedLevelsAreSubtotals="1" fieldPosition="0">
        <references count="1">
          <reference field="16" count="1" selected="0">
            <x v="364"/>
          </reference>
        </references>
      </pivotArea>
    </format>
    <format dxfId="818">
      <pivotArea collapsedLevelsAreSubtotals="1" fieldPosition="0">
        <references count="1">
          <reference field="16" count="1" selected="0">
            <x v="365"/>
          </reference>
        </references>
      </pivotArea>
    </format>
    <format dxfId="819">
      <pivotArea collapsedLevelsAreSubtotals="1" fieldPosition="0">
        <references count="1">
          <reference field="16" count="1" selected="0">
            <x v="366"/>
          </reference>
        </references>
      </pivotArea>
    </format>
    <format dxfId="820">
      <pivotArea collapsedLevelsAreSubtotals="1" fieldPosition="0">
        <references count="1">
          <reference field="16" count="1" selected="0">
            <x v="367"/>
          </reference>
        </references>
      </pivotArea>
    </format>
    <format dxfId="821">
      <pivotArea collapsedLevelsAreSubtotals="1" fieldPosition="0">
        <references count="1">
          <reference field="16" count="1" selected="0">
            <x v="368"/>
          </reference>
        </references>
      </pivotArea>
    </format>
    <format dxfId="822">
      <pivotArea collapsedLevelsAreSubtotals="1" fieldPosition="0">
        <references count="1">
          <reference field="16" count="1" selected="0">
            <x v="369"/>
          </reference>
        </references>
      </pivotArea>
    </format>
    <format dxfId="823">
      <pivotArea collapsedLevelsAreSubtotals="1" fieldPosition="0">
        <references count="1">
          <reference field="16" count="1" selected="0">
            <x v="370"/>
          </reference>
        </references>
      </pivotArea>
    </format>
    <format dxfId="824">
      <pivotArea collapsedLevelsAreSubtotals="1" fieldPosition="0">
        <references count="1">
          <reference field="16" count="1" selected="0">
            <x v="371"/>
          </reference>
        </references>
      </pivotArea>
    </format>
    <format dxfId="825">
      <pivotArea collapsedLevelsAreSubtotals="1" fieldPosition="0">
        <references count="1">
          <reference field="16" count="1" selected="0">
            <x v="372"/>
          </reference>
        </references>
      </pivotArea>
    </format>
    <format dxfId="826">
      <pivotArea collapsedLevelsAreSubtotals="1" fieldPosition="0">
        <references count="1">
          <reference field="16" count="1" selected="0">
            <x v="373"/>
          </reference>
        </references>
      </pivotArea>
    </format>
    <format dxfId="827">
      <pivotArea collapsedLevelsAreSubtotals="1" fieldPosition="0">
        <references count="1">
          <reference field="16" count="1" selected="0">
            <x v="374"/>
          </reference>
        </references>
      </pivotArea>
    </format>
    <format dxfId="828">
      <pivotArea collapsedLevelsAreSubtotals="1" fieldPosition="0">
        <references count="1">
          <reference field="16" count="1" selected="0">
            <x v="375"/>
          </reference>
        </references>
      </pivotArea>
    </format>
    <format dxfId="829">
      <pivotArea collapsedLevelsAreSubtotals="1" fieldPosition="0">
        <references count="1">
          <reference field="16" count="1" selected="0">
            <x v="376"/>
          </reference>
        </references>
      </pivotArea>
    </format>
    <format dxfId="830">
      <pivotArea collapsedLevelsAreSubtotals="1" fieldPosition="0">
        <references count="1">
          <reference field="16" count="1" selected="0">
            <x v="377"/>
          </reference>
        </references>
      </pivotArea>
    </format>
    <format dxfId="831">
      <pivotArea collapsedLevelsAreSubtotals="1" fieldPosition="0">
        <references count="1">
          <reference field="16" count="1" selected="0">
            <x v="378"/>
          </reference>
        </references>
      </pivotArea>
    </format>
    <format dxfId="832">
      <pivotArea collapsedLevelsAreSubtotals="1" fieldPosition="0">
        <references count="1">
          <reference field="16" count="1" selected="0">
            <x v="379"/>
          </reference>
        </references>
      </pivotArea>
    </format>
    <format dxfId="833">
      <pivotArea collapsedLevelsAreSubtotals="1" fieldPosition="0">
        <references count="1">
          <reference field="16" count="1" selected="0">
            <x v="380"/>
          </reference>
        </references>
      </pivotArea>
    </format>
    <format dxfId="834">
      <pivotArea collapsedLevelsAreSubtotals="1" fieldPosition="0">
        <references count="1">
          <reference field="16" count="1" selected="0">
            <x v="381"/>
          </reference>
        </references>
      </pivotArea>
    </format>
    <format dxfId="835">
      <pivotArea collapsedLevelsAreSubtotals="1" fieldPosition="0">
        <references count="1">
          <reference field="16" count="1" selected="0">
            <x v="382"/>
          </reference>
        </references>
      </pivotArea>
    </format>
    <format dxfId="836">
      <pivotArea collapsedLevelsAreSubtotals="1" fieldPosition="0">
        <references count="1">
          <reference field="16" count="1" selected="0">
            <x v="383"/>
          </reference>
        </references>
      </pivotArea>
    </format>
    <format dxfId="837">
      <pivotArea collapsedLevelsAreSubtotals="1" fieldPosition="0">
        <references count="1">
          <reference field="16" count="1" selected="0">
            <x v="384"/>
          </reference>
        </references>
      </pivotArea>
    </format>
    <format dxfId="838">
      <pivotArea collapsedLevelsAreSubtotals="1" fieldPosition="0">
        <references count="1">
          <reference field="16" count="1" selected="0">
            <x v="385"/>
          </reference>
        </references>
      </pivotArea>
    </format>
    <format dxfId="839">
      <pivotArea collapsedLevelsAreSubtotals="1" fieldPosition="0">
        <references count="1">
          <reference field="16" count="1" selected="0">
            <x v="386"/>
          </reference>
        </references>
      </pivotArea>
    </format>
    <format dxfId="840">
      <pivotArea collapsedLevelsAreSubtotals="1" fieldPosition="0">
        <references count="1">
          <reference field="16" count="1" selected="0">
            <x v="387"/>
          </reference>
        </references>
      </pivotArea>
    </format>
    <format dxfId="841">
      <pivotArea collapsedLevelsAreSubtotals="1" fieldPosition="0">
        <references count="1">
          <reference field="16" count="1" selected="0">
            <x v="388"/>
          </reference>
        </references>
      </pivotArea>
    </format>
    <format dxfId="842">
      <pivotArea collapsedLevelsAreSubtotals="1" fieldPosition="0">
        <references count="1">
          <reference field="16" count="1" selected="0">
            <x v="389"/>
          </reference>
        </references>
      </pivotArea>
    </format>
    <format dxfId="843">
      <pivotArea collapsedLevelsAreSubtotals="1" fieldPosition="0">
        <references count="1">
          <reference field="16" count="1" selected="0">
            <x v="390"/>
          </reference>
        </references>
      </pivotArea>
    </format>
    <format dxfId="844">
      <pivotArea collapsedLevelsAreSubtotals="1" fieldPosition="0">
        <references count="1">
          <reference field="16" count="1" selected="0">
            <x v="391"/>
          </reference>
        </references>
      </pivotArea>
    </format>
    <format dxfId="845">
      <pivotArea collapsedLevelsAreSubtotals="1" fieldPosition="0">
        <references count="1">
          <reference field="16" count="1" selected="0">
            <x v="392"/>
          </reference>
        </references>
      </pivotArea>
    </format>
    <format dxfId="846">
      <pivotArea collapsedLevelsAreSubtotals="1" fieldPosition="0">
        <references count="1">
          <reference field="16" count="1" selected="0">
            <x v="393"/>
          </reference>
        </references>
      </pivotArea>
    </format>
    <format dxfId="847">
      <pivotArea collapsedLevelsAreSubtotals="1" fieldPosition="0">
        <references count="1">
          <reference field="16" count="1" selected="0">
            <x v="394"/>
          </reference>
        </references>
      </pivotArea>
    </format>
    <format dxfId="848">
      <pivotArea collapsedLevelsAreSubtotals="1" fieldPosition="0">
        <references count="1">
          <reference field="16" count="1" selected="0">
            <x v="395"/>
          </reference>
        </references>
      </pivotArea>
    </format>
    <format dxfId="849">
      <pivotArea collapsedLevelsAreSubtotals="1" fieldPosition="0">
        <references count="1">
          <reference field="16" count="1" selected="0">
            <x v="396"/>
          </reference>
        </references>
      </pivotArea>
    </format>
    <format dxfId="850">
      <pivotArea collapsedLevelsAreSubtotals="1" fieldPosition="0">
        <references count="1">
          <reference field="16" count="1" selected="0">
            <x v="397"/>
          </reference>
        </references>
      </pivotArea>
    </format>
    <format dxfId="851">
      <pivotArea collapsedLevelsAreSubtotals="1" fieldPosition="0">
        <references count="1">
          <reference field="16" count="1" selected="0">
            <x v="398"/>
          </reference>
        </references>
      </pivotArea>
    </format>
    <format dxfId="852">
      <pivotArea collapsedLevelsAreSubtotals="1" fieldPosition="0">
        <references count="1">
          <reference field="16" count="1" selected="0">
            <x v="399"/>
          </reference>
        </references>
      </pivotArea>
    </format>
    <format dxfId="853">
      <pivotArea collapsedLevelsAreSubtotals="1" fieldPosition="0">
        <references count="1">
          <reference field="16" count="1" selected="0">
            <x v="400"/>
          </reference>
        </references>
      </pivotArea>
    </format>
    <format dxfId="854">
      <pivotArea collapsedLevelsAreSubtotals="1" fieldPosition="0">
        <references count="1">
          <reference field="16" count="1" selected="0">
            <x v="401"/>
          </reference>
        </references>
      </pivotArea>
    </format>
    <format dxfId="855">
      <pivotArea collapsedLevelsAreSubtotals="1" fieldPosition="0">
        <references count="1">
          <reference field="16" count="1" selected="0">
            <x v="402"/>
          </reference>
        </references>
      </pivotArea>
    </format>
    <format dxfId="856">
      <pivotArea collapsedLevelsAreSubtotals="1" fieldPosition="0">
        <references count="1">
          <reference field="16" count="1" selected="0">
            <x v="403"/>
          </reference>
        </references>
      </pivotArea>
    </format>
    <format dxfId="857">
      <pivotArea collapsedLevelsAreSubtotals="1" fieldPosition="0">
        <references count="1">
          <reference field="16" count="1" selected="0">
            <x v="404"/>
          </reference>
        </references>
      </pivotArea>
    </format>
    <format dxfId="858">
      <pivotArea collapsedLevelsAreSubtotals="1" fieldPosition="0">
        <references count="1">
          <reference field="16" count="1" selected="0">
            <x v="405"/>
          </reference>
        </references>
      </pivotArea>
    </format>
    <format dxfId="859">
      <pivotArea collapsedLevelsAreSubtotals="1" fieldPosition="0">
        <references count="1">
          <reference field="16" count="1" selected="0">
            <x v="406"/>
          </reference>
        </references>
      </pivotArea>
    </format>
    <format dxfId="860">
      <pivotArea collapsedLevelsAreSubtotals="1" fieldPosition="0">
        <references count="1">
          <reference field="16" count="1" selected="0">
            <x v="407"/>
          </reference>
        </references>
      </pivotArea>
    </format>
    <format dxfId="861">
      <pivotArea collapsedLevelsAreSubtotals="1" fieldPosition="0">
        <references count="1">
          <reference field="16" count="1" selected="0">
            <x v="408"/>
          </reference>
        </references>
      </pivotArea>
    </format>
    <format dxfId="862">
      <pivotArea collapsedLevelsAreSubtotals="1" fieldPosition="0">
        <references count="1">
          <reference field="16" count="1" selected="0">
            <x v="409"/>
          </reference>
        </references>
      </pivotArea>
    </format>
    <format dxfId="863">
      <pivotArea collapsedLevelsAreSubtotals="1" fieldPosition="0">
        <references count="1">
          <reference field="16" count="1" selected="0">
            <x v="410"/>
          </reference>
        </references>
      </pivotArea>
    </format>
    <format dxfId="864">
      <pivotArea collapsedLevelsAreSubtotals="1" fieldPosition="0">
        <references count="1">
          <reference field="16" count="1" selected="0">
            <x v="411"/>
          </reference>
        </references>
      </pivotArea>
    </format>
    <format dxfId="865">
      <pivotArea collapsedLevelsAreSubtotals="1" fieldPosition="0">
        <references count="1">
          <reference field="16" count="1" selected="0">
            <x v="412"/>
          </reference>
        </references>
      </pivotArea>
    </format>
    <format dxfId="866">
      <pivotArea collapsedLevelsAreSubtotals="1" fieldPosition="0">
        <references count="1">
          <reference field="16" count="1" selected="0">
            <x v="413"/>
          </reference>
        </references>
      </pivotArea>
    </format>
    <format dxfId="867">
      <pivotArea collapsedLevelsAreSubtotals="1" fieldPosition="0">
        <references count="1">
          <reference field="16" count="1" selected="0">
            <x v="414"/>
          </reference>
        </references>
      </pivotArea>
    </format>
    <format dxfId="868">
      <pivotArea collapsedLevelsAreSubtotals="1" fieldPosition="0">
        <references count="1">
          <reference field="16" count="1" selected="0">
            <x v="415"/>
          </reference>
        </references>
      </pivotArea>
    </format>
    <format dxfId="869">
      <pivotArea collapsedLevelsAreSubtotals="1" fieldPosition="0">
        <references count="1">
          <reference field="16" count="1" selected="0">
            <x v="416"/>
          </reference>
        </references>
      </pivotArea>
    </format>
    <format dxfId="870">
      <pivotArea collapsedLevelsAreSubtotals="1" fieldPosition="0">
        <references count="1">
          <reference field="16" count="1" selected="0">
            <x v="417"/>
          </reference>
        </references>
      </pivotArea>
    </format>
    <format dxfId="871">
      <pivotArea collapsedLevelsAreSubtotals="1" fieldPosition="0">
        <references count="1">
          <reference field="16" count="1" selected="0">
            <x v="418"/>
          </reference>
        </references>
      </pivotArea>
    </format>
    <format dxfId="872">
      <pivotArea collapsedLevelsAreSubtotals="1" fieldPosition="0">
        <references count="1">
          <reference field="16" count="1" selected="0">
            <x v="419"/>
          </reference>
        </references>
      </pivotArea>
    </format>
    <format dxfId="873">
      <pivotArea collapsedLevelsAreSubtotals="1" fieldPosition="0">
        <references count="1">
          <reference field="16" count="1" selected="0">
            <x v="420"/>
          </reference>
        </references>
      </pivotArea>
    </format>
    <format dxfId="874">
      <pivotArea collapsedLevelsAreSubtotals="1" fieldPosition="0">
        <references count="1">
          <reference field="16" count="1" selected="0">
            <x v="421"/>
          </reference>
        </references>
      </pivotArea>
    </format>
    <format dxfId="875">
      <pivotArea collapsedLevelsAreSubtotals="1" fieldPosition="0">
        <references count="1">
          <reference field="16" count="1" selected="0">
            <x v="422"/>
          </reference>
        </references>
      </pivotArea>
    </format>
    <format dxfId="876">
      <pivotArea collapsedLevelsAreSubtotals="1" fieldPosition="0">
        <references count="1">
          <reference field="16" count="1" selected="0">
            <x v="423"/>
          </reference>
        </references>
      </pivotArea>
    </format>
    <format dxfId="877">
      <pivotArea collapsedLevelsAreSubtotals="1" fieldPosition="0">
        <references count="1">
          <reference field="16" count="1" selected="0">
            <x v="424"/>
          </reference>
        </references>
      </pivotArea>
    </format>
    <format dxfId="878">
      <pivotArea collapsedLevelsAreSubtotals="1" fieldPosition="0">
        <references count="1">
          <reference field="16" count="1" selected="0">
            <x v="425"/>
          </reference>
        </references>
      </pivotArea>
    </format>
    <format dxfId="879">
      <pivotArea collapsedLevelsAreSubtotals="1" fieldPosition="0">
        <references count="1">
          <reference field="16" count="1" selected="0">
            <x v="426"/>
          </reference>
        </references>
      </pivotArea>
    </format>
    <format dxfId="880">
      <pivotArea collapsedLevelsAreSubtotals="1" fieldPosition="0">
        <references count="1">
          <reference field="16" count="1" selected="0">
            <x v="427"/>
          </reference>
        </references>
      </pivotArea>
    </format>
    <format dxfId="881">
      <pivotArea collapsedLevelsAreSubtotals="1" fieldPosition="0">
        <references count="1">
          <reference field="16" count="1" selected="0">
            <x v="428"/>
          </reference>
        </references>
      </pivotArea>
    </format>
    <format dxfId="882">
      <pivotArea collapsedLevelsAreSubtotals="1" fieldPosition="0">
        <references count="1">
          <reference field="16" count="1" selected="0">
            <x v="429"/>
          </reference>
        </references>
      </pivotArea>
    </format>
    <format dxfId="883">
      <pivotArea collapsedLevelsAreSubtotals="1" fieldPosition="0">
        <references count="1">
          <reference field="16" count="1" selected="0">
            <x v="430"/>
          </reference>
        </references>
      </pivotArea>
    </format>
    <format dxfId="884">
      <pivotArea collapsedLevelsAreSubtotals="1" fieldPosition="0">
        <references count="1">
          <reference field="16" count="1" selected="0">
            <x v="431"/>
          </reference>
        </references>
      </pivotArea>
    </format>
    <format dxfId="885">
      <pivotArea collapsedLevelsAreSubtotals="1" fieldPosition="0">
        <references count="1">
          <reference field="16" count="1" selected="0">
            <x v="432"/>
          </reference>
        </references>
      </pivotArea>
    </format>
    <format dxfId="886">
      <pivotArea collapsedLevelsAreSubtotals="1" fieldPosition="0">
        <references count="1">
          <reference field="16" count="1" selected="0">
            <x v="433"/>
          </reference>
        </references>
      </pivotArea>
    </format>
    <format dxfId="887">
      <pivotArea collapsedLevelsAreSubtotals="1" fieldPosition="0">
        <references count="1">
          <reference field="16" count="1" selected="0">
            <x v="434"/>
          </reference>
        </references>
      </pivotArea>
    </format>
    <format dxfId="888">
      <pivotArea collapsedLevelsAreSubtotals="1" fieldPosition="0">
        <references count="1">
          <reference field="16" count="1" selected="0">
            <x v="435"/>
          </reference>
        </references>
      </pivotArea>
    </format>
    <format dxfId="889">
      <pivotArea collapsedLevelsAreSubtotals="1" fieldPosition="0">
        <references count="1">
          <reference field="16" count="1" selected="0">
            <x v="436"/>
          </reference>
        </references>
      </pivotArea>
    </format>
    <format dxfId="890">
      <pivotArea collapsedLevelsAreSubtotals="1" fieldPosition="0">
        <references count="1">
          <reference field="16" count="1" selected="0">
            <x v="437"/>
          </reference>
        </references>
      </pivotArea>
    </format>
    <format dxfId="891">
      <pivotArea collapsedLevelsAreSubtotals="1" fieldPosition="0">
        <references count="1">
          <reference field="16" count="1" selected="0">
            <x v="438"/>
          </reference>
        </references>
      </pivotArea>
    </format>
    <format dxfId="892">
      <pivotArea collapsedLevelsAreSubtotals="1" fieldPosition="0">
        <references count="1">
          <reference field="16" count="1" selected="0">
            <x v="439"/>
          </reference>
        </references>
      </pivotArea>
    </format>
    <format dxfId="893">
      <pivotArea collapsedLevelsAreSubtotals="1" fieldPosition="0">
        <references count="1">
          <reference field="16" count="1" selected="0">
            <x v="440"/>
          </reference>
        </references>
      </pivotArea>
    </format>
    <format dxfId="894">
      <pivotArea collapsedLevelsAreSubtotals="1" fieldPosition="0">
        <references count="1">
          <reference field="16" count="1" selected="0">
            <x v="441"/>
          </reference>
        </references>
      </pivotArea>
    </format>
    <format dxfId="895">
      <pivotArea collapsedLevelsAreSubtotals="1" fieldPosition="0">
        <references count="1">
          <reference field="16" count="1" selected="0">
            <x v="442"/>
          </reference>
        </references>
      </pivotArea>
    </format>
    <format dxfId="896">
      <pivotArea collapsedLevelsAreSubtotals="1" fieldPosition="0">
        <references count="1">
          <reference field="16" count="1" selected="0">
            <x v="443"/>
          </reference>
        </references>
      </pivotArea>
    </format>
    <format dxfId="897">
      <pivotArea collapsedLevelsAreSubtotals="1" fieldPosition="0">
        <references count="1">
          <reference field="16" count="1" selected="0">
            <x v="444"/>
          </reference>
        </references>
      </pivotArea>
    </format>
    <format dxfId="898">
      <pivotArea collapsedLevelsAreSubtotals="1" fieldPosition="0">
        <references count="1">
          <reference field="16" count="1" selected="0">
            <x v="445"/>
          </reference>
        </references>
      </pivotArea>
    </format>
    <format dxfId="899">
      <pivotArea collapsedLevelsAreSubtotals="1" fieldPosition="0">
        <references count="1">
          <reference field="16" count="1" selected="0">
            <x v="446"/>
          </reference>
        </references>
      </pivotArea>
    </format>
    <format dxfId="900">
      <pivotArea collapsedLevelsAreSubtotals="1" fieldPosition="0">
        <references count="1">
          <reference field="16" count="1" selected="0">
            <x v="447"/>
          </reference>
        </references>
      </pivotArea>
    </format>
    <format dxfId="901">
      <pivotArea collapsedLevelsAreSubtotals="1" fieldPosition="0">
        <references count="1">
          <reference field="16" count="1" selected="0">
            <x v="448"/>
          </reference>
        </references>
      </pivotArea>
    </format>
    <format dxfId="902">
      <pivotArea collapsedLevelsAreSubtotals="1" fieldPosition="0">
        <references count="1">
          <reference field="16" count="1" selected="0">
            <x v="449"/>
          </reference>
        </references>
      </pivotArea>
    </format>
    <format dxfId="903">
      <pivotArea collapsedLevelsAreSubtotals="1" fieldPosition="0">
        <references count="1">
          <reference field="16" count="1" selected="0">
            <x v="450"/>
          </reference>
        </references>
      </pivotArea>
    </format>
    <format dxfId="904">
      <pivotArea collapsedLevelsAreSubtotals="1" fieldPosition="0">
        <references count="1">
          <reference field="16" count="1" selected="0">
            <x v="451"/>
          </reference>
        </references>
      </pivotArea>
    </format>
    <format dxfId="905">
      <pivotArea collapsedLevelsAreSubtotals="1" fieldPosition="0">
        <references count="1">
          <reference field="16" count="1" selected="0">
            <x v="452"/>
          </reference>
        </references>
      </pivotArea>
    </format>
    <format dxfId="906">
      <pivotArea collapsedLevelsAreSubtotals="1" fieldPosition="0">
        <references count="1">
          <reference field="16" count="1" selected="0">
            <x v="453"/>
          </reference>
        </references>
      </pivotArea>
    </format>
    <format dxfId="907">
      <pivotArea collapsedLevelsAreSubtotals="1" fieldPosition="0">
        <references count="1">
          <reference field="16" count="1" selected="0">
            <x v="454"/>
          </reference>
        </references>
      </pivotArea>
    </format>
    <format dxfId="908">
      <pivotArea collapsedLevelsAreSubtotals="1" fieldPosition="0">
        <references count="1">
          <reference field="16" count="1" selected="0">
            <x v="455"/>
          </reference>
        </references>
      </pivotArea>
    </format>
    <format dxfId="909">
      <pivotArea collapsedLevelsAreSubtotals="1" fieldPosition="0">
        <references count="1">
          <reference field="16" count="1" selected="0">
            <x v="456"/>
          </reference>
        </references>
      </pivotArea>
    </format>
    <format dxfId="910">
      <pivotArea collapsedLevelsAreSubtotals="1" fieldPosition="0">
        <references count="1">
          <reference field="16" count="1" selected="0">
            <x v="457"/>
          </reference>
        </references>
      </pivotArea>
    </format>
    <format dxfId="911">
      <pivotArea collapsedLevelsAreSubtotals="1" fieldPosition="0">
        <references count="1">
          <reference field="16" count="1" selected="0">
            <x v="458"/>
          </reference>
        </references>
      </pivotArea>
    </format>
    <format dxfId="912">
      <pivotArea collapsedLevelsAreSubtotals="1" fieldPosition="0">
        <references count="1">
          <reference field="16" count="1" selected="0">
            <x v="459"/>
          </reference>
        </references>
      </pivotArea>
    </format>
    <format dxfId="913">
      <pivotArea collapsedLevelsAreSubtotals="1" fieldPosition="0">
        <references count="1">
          <reference field="16" count="1" selected="0">
            <x v="460"/>
          </reference>
        </references>
      </pivotArea>
    </format>
    <format dxfId="914">
      <pivotArea collapsedLevelsAreSubtotals="1" fieldPosition="0">
        <references count="1">
          <reference field="16" count="1" selected="0">
            <x v="461"/>
          </reference>
        </references>
      </pivotArea>
    </format>
    <format dxfId="915">
      <pivotArea collapsedLevelsAreSubtotals="1" fieldPosition="0">
        <references count="1">
          <reference field="16" count="1" selected="0">
            <x v="462"/>
          </reference>
        </references>
      </pivotArea>
    </format>
    <format dxfId="916">
      <pivotArea collapsedLevelsAreSubtotals="1" fieldPosition="0">
        <references count="1">
          <reference field="16" count="1" selected="0">
            <x v="463"/>
          </reference>
        </references>
      </pivotArea>
    </format>
    <format dxfId="917">
      <pivotArea collapsedLevelsAreSubtotals="1" fieldPosition="0">
        <references count="1">
          <reference field="16" count="1" selected="0">
            <x v="464"/>
          </reference>
        </references>
      </pivotArea>
    </format>
    <format dxfId="918">
      <pivotArea collapsedLevelsAreSubtotals="1" fieldPosition="0">
        <references count="1">
          <reference field="16" count="1" selected="0">
            <x v="465"/>
          </reference>
        </references>
      </pivotArea>
    </format>
    <format dxfId="919">
      <pivotArea collapsedLevelsAreSubtotals="1" fieldPosition="0">
        <references count="1">
          <reference field="16" count="1" selected="0">
            <x v="466"/>
          </reference>
        </references>
      </pivotArea>
    </format>
    <format dxfId="920">
      <pivotArea collapsedLevelsAreSubtotals="1" fieldPosition="0">
        <references count="1">
          <reference field="16" count="1" selected="0">
            <x v="467"/>
          </reference>
        </references>
      </pivotArea>
    </format>
    <format dxfId="921">
      <pivotArea collapsedLevelsAreSubtotals="1" fieldPosition="0">
        <references count="1">
          <reference field="16" count="1" selected="0">
            <x v="468"/>
          </reference>
        </references>
      </pivotArea>
    </format>
    <format dxfId="922">
      <pivotArea collapsedLevelsAreSubtotals="1" fieldPosition="0">
        <references count="1">
          <reference field="16" count="1" selected="0">
            <x v="469"/>
          </reference>
        </references>
      </pivotArea>
    </format>
    <format dxfId="923">
      <pivotArea collapsedLevelsAreSubtotals="1" fieldPosition="0">
        <references count="1">
          <reference field="16" count="1" selected="0">
            <x v="470"/>
          </reference>
        </references>
      </pivotArea>
    </format>
    <format dxfId="924">
      <pivotArea collapsedLevelsAreSubtotals="1" fieldPosition="0">
        <references count="1">
          <reference field="16" count="1" selected="0">
            <x v="471"/>
          </reference>
        </references>
      </pivotArea>
    </format>
    <format dxfId="925">
      <pivotArea collapsedLevelsAreSubtotals="1" fieldPosition="0">
        <references count="1">
          <reference field="16" count="1" selected="0">
            <x v="472"/>
          </reference>
        </references>
      </pivotArea>
    </format>
    <format dxfId="926">
      <pivotArea collapsedLevelsAreSubtotals="1" fieldPosition="0">
        <references count="1">
          <reference field="16" count="1" selected="0">
            <x v="473"/>
          </reference>
        </references>
      </pivotArea>
    </format>
    <format dxfId="927">
      <pivotArea collapsedLevelsAreSubtotals="1" fieldPosition="0">
        <references count="1">
          <reference field="16" count="1" selected="0">
            <x v="474"/>
          </reference>
        </references>
      </pivotArea>
    </format>
    <format dxfId="928">
      <pivotArea collapsedLevelsAreSubtotals="1" fieldPosition="0">
        <references count="1">
          <reference field="16" count="1" selected="0">
            <x v="475"/>
          </reference>
        </references>
      </pivotArea>
    </format>
    <format dxfId="929">
      <pivotArea collapsedLevelsAreSubtotals="1" fieldPosition="0">
        <references count="1">
          <reference field="16" count="1" selected="0">
            <x v="476"/>
          </reference>
        </references>
      </pivotArea>
    </format>
    <format dxfId="930">
      <pivotArea collapsedLevelsAreSubtotals="1" fieldPosition="0">
        <references count="1">
          <reference field="16" count="1" selected="0">
            <x v="477"/>
          </reference>
        </references>
      </pivotArea>
    </format>
    <format dxfId="931">
      <pivotArea collapsedLevelsAreSubtotals="1" fieldPosition="0">
        <references count="1">
          <reference field="16" count="1" selected="0">
            <x v="478"/>
          </reference>
        </references>
      </pivotArea>
    </format>
    <format dxfId="932">
      <pivotArea collapsedLevelsAreSubtotals="1" fieldPosition="0">
        <references count="1">
          <reference field="16" count="1" selected="0">
            <x v="479"/>
          </reference>
        </references>
      </pivotArea>
    </format>
    <format dxfId="933">
      <pivotArea collapsedLevelsAreSubtotals="1" fieldPosition="0">
        <references count="1">
          <reference field="16" count="1" selected="0">
            <x v="480"/>
          </reference>
        </references>
      </pivotArea>
    </format>
    <format dxfId="934">
      <pivotArea collapsedLevelsAreSubtotals="1" fieldPosition="0">
        <references count="1">
          <reference field="16" count="1" selected="0">
            <x v="481"/>
          </reference>
        </references>
      </pivotArea>
    </format>
    <format dxfId="935">
      <pivotArea collapsedLevelsAreSubtotals="1" fieldPosition="0">
        <references count="1">
          <reference field="16" count="1" selected="0">
            <x v="482"/>
          </reference>
        </references>
      </pivotArea>
    </format>
    <format dxfId="936">
      <pivotArea collapsedLevelsAreSubtotals="1" fieldPosition="0">
        <references count="1">
          <reference field="16" count="1" selected="0">
            <x v="483"/>
          </reference>
        </references>
      </pivotArea>
    </format>
    <format dxfId="937">
      <pivotArea collapsedLevelsAreSubtotals="1" fieldPosition="0">
        <references count="1">
          <reference field="16" count="1" selected="0">
            <x v="484"/>
          </reference>
        </references>
      </pivotArea>
    </format>
    <format dxfId="938">
      <pivotArea collapsedLevelsAreSubtotals="1" fieldPosition="0">
        <references count="1">
          <reference field="16" count="1" selected="0">
            <x v="485"/>
          </reference>
        </references>
      </pivotArea>
    </format>
    <format dxfId="939">
      <pivotArea collapsedLevelsAreSubtotals="1" fieldPosition="0">
        <references count="1">
          <reference field="16" count="1" selected="0">
            <x v="486"/>
          </reference>
        </references>
      </pivotArea>
    </format>
    <format dxfId="940">
      <pivotArea collapsedLevelsAreSubtotals="1" fieldPosition="0">
        <references count="1">
          <reference field="16" count="1" selected="0">
            <x v="487"/>
          </reference>
        </references>
      </pivotArea>
    </format>
    <format dxfId="941">
      <pivotArea collapsedLevelsAreSubtotals="1" fieldPosition="0">
        <references count="1">
          <reference field="16" count="1" selected="0">
            <x v="488"/>
          </reference>
        </references>
      </pivotArea>
    </format>
    <format dxfId="942">
      <pivotArea collapsedLevelsAreSubtotals="1" fieldPosition="0">
        <references count="1">
          <reference field="16" count="1" selected="0">
            <x v="489"/>
          </reference>
        </references>
      </pivotArea>
    </format>
    <format dxfId="943">
      <pivotArea collapsedLevelsAreSubtotals="1" fieldPosition="0">
        <references count="1">
          <reference field="16" count="1" selected="0">
            <x v="490"/>
          </reference>
        </references>
      </pivotArea>
    </format>
    <format dxfId="944">
      <pivotArea collapsedLevelsAreSubtotals="1" fieldPosition="0">
        <references count="1">
          <reference field="16" count="1" selected="0">
            <x v="491"/>
          </reference>
        </references>
      </pivotArea>
    </format>
    <format dxfId="945">
      <pivotArea collapsedLevelsAreSubtotals="1" fieldPosition="0">
        <references count="1">
          <reference field="16" count="1" selected="0">
            <x v="492"/>
          </reference>
        </references>
      </pivotArea>
    </format>
    <format dxfId="946">
      <pivotArea collapsedLevelsAreSubtotals="1" fieldPosition="0">
        <references count="1">
          <reference field="16" count="1" selected="0">
            <x v="493"/>
          </reference>
        </references>
      </pivotArea>
    </format>
    <format dxfId="947">
      <pivotArea collapsedLevelsAreSubtotals="1" fieldPosition="0">
        <references count="1">
          <reference field="16" count="1" selected="0">
            <x v="494"/>
          </reference>
        </references>
      </pivotArea>
    </format>
    <format dxfId="948">
      <pivotArea collapsedLevelsAreSubtotals="1" fieldPosition="0">
        <references count="1">
          <reference field="16" count="1" selected="0">
            <x v="495"/>
          </reference>
        </references>
      </pivotArea>
    </format>
    <format dxfId="949">
      <pivotArea collapsedLevelsAreSubtotals="1" fieldPosition="0">
        <references count="1">
          <reference field="16" count="1" selected="0">
            <x v="496"/>
          </reference>
        </references>
      </pivotArea>
    </format>
    <format dxfId="950">
      <pivotArea collapsedLevelsAreSubtotals="1" fieldPosition="0">
        <references count="1">
          <reference field="16" count="1" selected="0">
            <x v="497"/>
          </reference>
        </references>
      </pivotArea>
    </format>
    <format dxfId="951">
      <pivotArea collapsedLevelsAreSubtotals="1" fieldPosition="0">
        <references count="1">
          <reference field="16" count="1" selected="0">
            <x v="498"/>
          </reference>
        </references>
      </pivotArea>
    </format>
    <format dxfId="952">
      <pivotArea collapsedLevelsAreSubtotals="1" fieldPosition="0">
        <references count="1">
          <reference field="16" count="1" selected="0">
            <x v="499"/>
          </reference>
        </references>
      </pivotArea>
    </format>
    <format dxfId="953">
      <pivotArea collapsedLevelsAreSubtotals="1" fieldPosition="0">
        <references count="1">
          <reference field="16" count="1" selected="0">
            <x v="500"/>
          </reference>
        </references>
      </pivotArea>
    </format>
    <format dxfId="954">
      <pivotArea collapsedLevelsAreSubtotals="1" fieldPosition="0">
        <references count="1">
          <reference field="16" count="1" selected="0">
            <x v="501"/>
          </reference>
        </references>
      </pivotArea>
    </format>
    <format dxfId="955">
      <pivotArea collapsedLevelsAreSubtotals="1" fieldPosition="0">
        <references count="1">
          <reference field="16" count="1" selected="0">
            <x v="502"/>
          </reference>
        </references>
      </pivotArea>
    </format>
    <format dxfId="956">
      <pivotArea collapsedLevelsAreSubtotals="1" fieldPosition="0">
        <references count="1">
          <reference field="16" count="1" selected="0">
            <x v="503"/>
          </reference>
        </references>
      </pivotArea>
    </format>
    <format dxfId="957">
      <pivotArea collapsedLevelsAreSubtotals="1" fieldPosition="0">
        <references count="1">
          <reference field="16" count="1" selected="0">
            <x v="504"/>
          </reference>
        </references>
      </pivotArea>
    </format>
    <format dxfId="958">
      <pivotArea collapsedLevelsAreSubtotals="1" fieldPosition="0">
        <references count="1">
          <reference field="16" count="1" selected="0">
            <x v="505"/>
          </reference>
        </references>
      </pivotArea>
    </format>
    <format dxfId="959">
      <pivotArea collapsedLevelsAreSubtotals="1" fieldPosition="0">
        <references count="1">
          <reference field="16" count="1" selected="0">
            <x v="506"/>
          </reference>
        </references>
      </pivotArea>
    </format>
    <format dxfId="960">
      <pivotArea collapsedLevelsAreSubtotals="1" fieldPosition="0">
        <references count="1">
          <reference field="16" count="1" selected="0">
            <x v="507"/>
          </reference>
        </references>
      </pivotArea>
    </format>
    <format dxfId="961">
      <pivotArea collapsedLevelsAreSubtotals="1" fieldPosition="0">
        <references count="1">
          <reference field="16" count="1" selected="0">
            <x v="508"/>
          </reference>
        </references>
      </pivotArea>
    </format>
    <format dxfId="962">
      <pivotArea collapsedLevelsAreSubtotals="1" fieldPosition="0">
        <references count="1">
          <reference field="16" count="1" selected="0">
            <x v="509"/>
          </reference>
        </references>
      </pivotArea>
    </format>
    <format dxfId="963">
      <pivotArea collapsedLevelsAreSubtotals="1" fieldPosition="0">
        <references count="1">
          <reference field="16" count="1" selected="0">
            <x v="510"/>
          </reference>
        </references>
      </pivotArea>
    </format>
    <format dxfId="964">
      <pivotArea collapsedLevelsAreSubtotals="1" fieldPosition="0">
        <references count="1">
          <reference field="16" count="1" selected="0">
            <x v="511"/>
          </reference>
        </references>
      </pivotArea>
    </format>
    <format dxfId="965">
      <pivotArea collapsedLevelsAreSubtotals="1" fieldPosition="0">
        <references count="1">
          <reference field="16" count="1" selected="0">
            <x v="512"/>
          </reference>
        </references>
      </pivotArea>
    </format>
    <format dxfId="966">
      <pivotArea collapsedLevelsAreSubtotals="1" fieldPosition="0">
        <references count="1">
          <reference field="16" count="1" selected="0">
            <x v="513"/>
          </reference>
        </references>
      </pivotArea>
    </format>
    <format dxfId="967">
      <pivotArea collapsedLevelsAreSubtotals="1" fieldPosition="0">
        <references count="1">
          <reference field="16" count="1" selected="0">
            <x v="514"/>
          </reference>
        </references>
      </pivotArea>
    </format>
    <format dxfId="968">
      <pivotArea collapsedLevelsAreSubtotals="1" fieldPosition="0">
        <references count="1">
          <reference field="16" count="1" selected="0">
            <x v="515"/>
          </reference>
        </references>
      </pivotArea>
    </format>
    <format dxfId="969">
      <pivotArea collapsedLevelsAreSubtotals="1" fieldPosition="0">
        <references count="1">
          <reference field="16" count="1" selected="0">
            <x v="516"/>
          </reference>
        </references>
      </pivotArea>
    </format>
    <format dxfId="970">
      <pivotArea collapsedLevelsAreSubtotals="1" fieldPosition="0">
        <references count="1">
          <reference field="16" count="1" selected="0">
            <x v="517"/>
          </reference>
        </references>
      </pivotArea>
    </format>
    <format dxfId="971">
      <pivotArea collapsedLevelsAreSubtotals="1" fieldPosition="0">
        <references count="1">
          <reference field="16" count="1" selected="0">
            <x v="518"/>
          </reference>
        </references>
      </pivotArea>
    </format>
    <format dxfId="972">
      <pivotArea collapsedLevelsAreSubtotals="1" fieldPosition="0">
        <references count="1">
          <reference field="16" count="1" selected="0">
            <x v="519"/>
          </reference>
        </references>
      </pivotArea>
    </format>
    <format dxfId="973">
      <pivotArea collapsedLevelsAreSubtotals="1" fieldPosition="0">
        <references count="1">
          <reference field="16" count="1" selected="0">
            <x v="520"/>
          </reference>
        </references>
      </pivotArea>
    </format>
    <format dxfId="974">
      <pivotArea collapsedLevelsAreSubtotals="1" fieldPosition="0">
        <references count="1">
          <reference field="16" count="1" selected="0">
            <x v="521"/>
          </reference>
        </references>
      </pivotArea>
    </format>
    <format dxfId="975">
      <pivotArea collapsedLevelsAreSubtotals="1" fieldPosition="0">
        <references count="1">
          <reference field="16" count="1" selected="0">
            <x v="522"/>
          </reference>
        </references>
      </pivotArea>
    </format>
    <format dxfId="976">
      <pivotArea collapsedLevelsAreSubtotals="1" fieldPosition="0">
        <references count="1">
          <reference field="16" count="1" selected="0">
            <x v="523"/>
          </reference>
        </references>
      </pivotArea>
    </format>
    <format dxfId="977">
      <pivotArea collapsedLevelsAreSubtotals="1" fieldPosition="0">
        <references count="1">
          <reference field="16" count="1" selected="0">
            <x v="524"/>
          </reference>
        </references>
      </pivotArea>
    </format>
    <format dxfId="978">
      <pivotArea collapsedLevelsAreSubtotals="1" fieldPosition="0">
        <references count="1">
          <reference field="16" count="1" selected="0">
            <x v="525"/>
          </reference>
        </references>
      </pivotArea>
    </format>
    <format dxfId="979">
      <pivotArea collapsedLevelsAreSubtotals="1" fieldPosition="0">
        <references count="1">
          <reference field="16" count="1" selected="0">
            <x v="526"/>
          </reference>
        </references>
      </pivotArea>
    </format>
    <format dxfId="980">
      <pivotArea collapsedLevelsAreSubtotals="1" fieldPosition="0">
        <references count="1">
          <reference field="16" count="1" selected="0">
            <x v="527"/>
          </reference>
        </references>
      </pivotArea>
    </format>
    <format dxfId="981">
      <pivotArea collapsedLevelsAreSubtotals="1" fieldPosition="0">
        <references count="1">
          <reference field="16" count="1" selected="0">
            <x v="528"/>
          </reference>
        </references>
      </pivotArea>
    </format>
    <format dxfId="982">
      <pivotArea collapsedLevelsAreSubtotals="1" fieldPosition="0">
        <references count="1">
          <reference field="16" count="1" selected="0">
            <x v="529"/>
          </reference>
        </references>
      </pivotArea>
    </format>
    <format dxfId="983">
      <pivotArea collapsedLevelsAreSubtotals="1" fieldPosition="0">
        <references count="1">
          <reference field="16" count="1" selected="0">
            <x v="530"/>
          </reference>
        </references>
      </pivotArea>
    </format>
    <format dxfId="984">
      <pivotArea collapsedLevelsAreSubtotals="1" fieldPosition="0">
        <references count="1">
          <reference field="16" count="1" selected="0">
            <x v="531"/>
          </reference>
        </references>
      </pivotArea>
    </format>
    <format dxfId="985">
      <pivotArea collapsedLevelsAreSubtotals="1" fieldPosition="0">
        <references count="1">
          <reference field="16" count="1" selected="0">
            <x v="532"/>
          </reference>
        </references>
      </pivotArea>
    </format>
    <format dxfId="986">
      <pivotArea collapsedLevelsAreSubtotals="1" fieldPosition="0">
        <references count="1">
          <reference field="16" count="1" selected="0">
            <x v="533"/>
          </reference>
        </references>
      </pivotArea>
    </format>
    <format dxfId="987">
      <pivotArea collapsedLevelsAreSubtotals="1" fieldPosition="0">
        <references count="1">
          <reference field="16" count="1" selected="0">
            <x v="534"/>
          </reference>
        </references>
      </pivotArea>
    </format>
    <format dxfId="988">
      <pivotArea collapsedLevelsAreSubtotals="1" fieldPosition="0">
        <references count="1">
          <reference field="16" count="1" selected="0">
            <x v="535"/>
          </reference>
        </references>
      </pivotArea>
    </format>
    <format dxfId="989">
      <pivotArea collapsedLevelsAreSubtotals="1" fieldPosition="0">
        <references count="1">
          <reference field="16" count="1" selected="0">
            <x v="536"/>
          </reference>
        </references>
      </pivotArea>
    </format>
    <format dxfId="990">
      <pivotArea collapsedLevelsAreSubtotals="1" fieldPosition="0">
        <references count="1">
          <reference field="16" count="1" selected="0">
            <x v="537"/>
          </reference>
        </references>
      </pivotArea>
    </format>
    <format dxfId="991">
      <pivotArea collapsedLevelsAreSubtotals="1" fieldPosition="0">
        <references count="1">
          <reference field="16" count="1" selected="0">
            <x v="538"/>
          </reference>
        </references>
      </pivotArea>
    </format>
    <format dxfId="992">
      <pivotArea collapsedLevelsAreSubtotals="1" fieldPosition="0">
        <references count="1">
          <reference field="16" count="1" selected="0">
            <x v="539"/>
          </reference>
        </references>
      </pivotArea>
    </format>
    <format dxfId="993">
      <pivotArea collapsedLevelsAreSubtotals="1" fieldPosition="0">
        <references count="1">
          <reference field="16" count="1" selected="0">
            <x v="540"/>
          </reference>
        </references>
      </pivotArea>
    </format>
    <format dxfId="994">
      <pivotArea collapsedLevelsAreSubtotals="1" fieldPosition="0">
        <references count="1">
          <reference field="16" count="1" selected="0">
            <x v="541"/>
          </reference>
        </references>
      </pivotArea>
    </format>
    <format dxfId="995">
      <pivotArea collapsedLevelsAreSubtotals="1" fieldPosition="0">
        <references count="1">
          <reference field="16" count="1" selected="0">
            <x v="542"/>
          </reference>
        </references>
      </pivotArea>
    </format>
    <format dxfId="996">
      <pivotArea collapsedLevelsAreSubtotals="1" fieldPosition="0">
        <references count="1">
          <reference field="16" count="1" selected="0">
            <x v="543"/>
          </reference>
        </references>
      </pivotArea>
    </format>
    <format dxfId="997">
      <pivotArea collapsedLevelsAreSubtotals="1" fieldPosition="0">
        <references count="1">
          <reference field="16" count="1" selected="0">
            <x v="544"/>
          </reference>
        </references>
      </pivotArea>
    </format>
    <format dxfId="998">
      <pivotArea collapsedLevelsAreSubtotals="1" fieldPosition="0">
        <references count="1">
          <reference field="16" count="1" selected="0">
            <x v="545"/>
          </reference>
        </references>
      </pivotArea>
    </format>
    <format dxfId="999">
      <pivotArea collapsedLevelsAreSubtotals="1" fieldPosition="0">
        <references count="1">
          <reference field="16" count="1" selected="0">
            <x v="546"/>
          </reference>
        </references>
      </pivotArea>
    </format>
    <format dxfId="1000">
      <pivotArea collapsedLevelsAreSubtotals="1" fieldPosition="0">
        <references count="1">
          <reference field="16" count="1" selected="0">
            <x v="547"/>
          </reference>
        </references>
      </pivotArea>
    </format>
    <format dxfId="1001">
      <pivotArea collapsedLevelsAreSubtotals="1" fieldPosition="0">
        <references count="1">
          <reference field="16" count="1" selected="0">
            <x v="548"/>
          </reference>
        </references>
      </pivotArea>
    </format>
    <format dxfId="1002">
      <pivotArea collapsedLevelsAreSubtotals="1" fieldPosition="0">
        <references count="1">
          <reference field="16" count="1" selected="0">
            <x v="549"/>
          </reference>
        </references>
      </pivotArea>
    </format>
    <format dxfId="1003">
      <pivotArea collapsedLevelsAreSubtotals="1" fieldPosition="0">
        <references count="1">
          <reference field="16" count="1" selected="0">
            <x v="550"/>
          </reference>
        </references>
      </pivotArea>
    </format>
    <format dxfId="1004">
      <pivotArea collapsedLevelsAreSubtotals="1" fieldPosition="0">
        <references count="1">
          <reference field="16" count="1" selected="0">
            <x v="551"/>
          </reference>
        </references>
      </pivotArea>
    </format>
    <format dxfId="1005">
      <pivotArea collapsedLevelsAreSubtotals="1" fieldPosition="0">
        <references count="1">
          <reference field="16" count="1" selected="0">
            <x v="552"/>
          </reference>
        </references>
      </pivotArea>
    </format>
    <format dxfId="1006">
      <pivotArea collapsedLevelsAreSubtotals="1" fieldPosition="0">
        <references count="1">
          <reference field="16" count="1" selected="0">
            <x v="553"/>
          </reference>
        </references>
      </pivotArea>
    </format>
    <format dxfId="1007">
      <pivotArea collapsedLevelsAreSubtotals="1" fieldPosition="0">
        <references count="1">
          <reference field="16" count="1" selected="0">
            <x v="554"/>
          </reference>
        </references>
      </pivotArea>
    </format>
    <format dxfId="1008">
      <pivotArea collapsedLevelsAreSubtotals="1" fieldPosition="0">
        <references count="1">
          <reference field="16" count="1" selected="0">
            <x v="555"/>
          </reference>
        </references>
      </pivotArea>
    </format>
    <format dxfId="1009">
      <pivotArea collapsedLevelsAreSubtotals="1" fieldPosition="0">
        <references count="1">
          <reference field="16" count="1" selected="0">
            <x v="556"/>
          </reference>
        </references>
      </pivotArea>
    </format>
    <format dxfId="1010">
      <pivotArea collapsedLevelsAreSubtotals="1" fieldPosition="0">
        <references count="1">
          <reference field="16" count="1" selected="0">
            <x v="557"/>
          </reference>
        </references>
      </pivotArea>
    </format>
    <format dxfId="1011">
      <pivotArea collapsedLevelsAreSubtotals="1" fieldPosition="0">
        <references count="1">
          <reference field="16" count="1" selected="0">
            <x v="558"/>
          </reference>
        </references>
      </pivotArea>
    </format>
    <format dxfId="1012">
      <pivotArea collapsedLevelsAreSubtotals="1" fieldPosition="0">
        <references count="1">
          <reference field="16" count="1" selected="0">
            <x v="559"/>
          </reference>
        </references>
      </pivotArea>
    </format>
    <format dxfId="1013">
      <pivotArea collapsedLevelsAreSubtotals="1" fieldPosition="0">
        <references count="1">
          <reference field="16" count="1" selected="0">
            <x v="560"/>
          </reference>
        </references>
      </pivotArea>
    </format>
    <format dxfId="1014">
      <pivotArea collapsedLevelsAreSubtotals="1" fieldPosition="0">
        <references count="1">
          <reference field="16" count="1" selected="0">
            <x v="561"/>
          </reference>
        </references>
      </pivotArea>
    </format>
    <format dxfId="1015">
      <pivotArea collapsedLevelsAreSubtotals="1" fieldPosition="0">
        <references count="1">
          <reference field="16" count="1" selected="0">
            <x v="562"/>
          </reference>
        </references>
      </pivotArea>
    </format>
    <format dxfId="1016">
      <pivotArea collapsedLevelsAreSubtotals="1" fieldPosition="0">
        <references count="1">
          <reference field="16" count="1" selected="0">
            <x v="563"/>
          </reference>
        </references>
      </pivotArea>
    </format>
    <format dxfId="1017">
      <pivotArea collapsedLevelsAreSubtotals="1" fieldPosition="0">
        <references count="1">
          <reference field="16" count="1" selected="0">
            <x v="564"/>
          </reference>
        </references>
      </pivotArea>
    </format>
    <format dxfId="1018">
      <pivotArea collapsedLevelsAreSubtotals="1" fieldPosition="0">
        <references count="1">
          <reference field="16" count="1" selected="0">
            <x v="565"/>
          </reference>
        </references>
      </pivotArea>
    </format>
    <format dxfId="1019">
      <pivotArea collapsedLevelsAreSubtotals="1" fieldPosition="0">
        <references count="1">
          <reference field="16" count="1" selected="0">
            <x v="566"/>
          </reference>
        </references>
      </pivotArea>
    </format>
    <format dxfId="1020">
      <pivotArea collapsedLevelsAreSubtotals="1" fieldPosition="0">
        <references count="1">
          <reference field="16" count="1" selected="0">
            <x v="567"/>
          </reference>
        </references>
      </pivotArea>
    </format>
    <format dxfId="1021">
      <pivotArea collapsedLevelsAreSubtotals="1" fieldPosition="0">
        <references count="1">
          <reference field="16" count="1" selected="0">
            <x v="568"/>
          </reference>
        </references>
      </pivotArea>
    </format>
    <format dxfId="1022">
      <pivotArea collapsedLevelsAreSubtotals="1" fieldPosition="0">
        <references count="1">
          <reference field="16" count="1" selected="0">
            <x v="569"/>
          </reference>
        </references>
      </pivotArea>
    </format>
    <format dxfId="1023">
      <pivotArea collapsedLevelsAreSubtotals="1" fieldPosition="0">
        <references count="1">
          <reference field="16" count="1" selected="0">
            <x v="570"/>
          </reference>
        </references>
      </pivotArea>
    </format>
    <format dxfId="1024">
      <pivotArea collapsedLevelsAreSubtotals="1" fieldPosition="0">
        <references count="1">
          <reference field="16" count="1" selected="0">
            <x v="571"/>
          </reference>
        </references>
      </pivotArea>
    </format>
    <format dxfId="1025">
      <pivotArea collapsedLevelsAreSubtotals="1" fieldPosition="0">
        <references count="1">
          <reference field="16" count="1" selected="0">
            <x v="572"/>
          </reference>
        </references>
      </pivotArea>
    </format>
    <format dxfId="1026">
      <pivotArea collapsedLevelsAreSubtotals="1" fieldPosition="0">
        <references count="1">
          <reference field="16" count="1" selected="0">
            <x v="573"/>
          </reference>
        </references>
      </pivotArea>
    </format>
    <format dxfId="1027">
      <pivotArea collapsedLevelsAreSubtotals="1" fieldPosition="0">
        <references count="1">
          <reference field="16" count="1" selected="0">
            <x v="574"/>
          </reference>
        </references>
      </pivotArea>
    </format>
    <format dxfId="1028">
      <pivotArea collapsedLevelsAreSubtotals="1" fieldPosition="0">
        <references count="1">
          <reference field="16" count="1" selected="0">
            <x v="575"/>
          </reference>
        </references>
      </pivotArea>
    </format>
    <format dxfId="1029">
      <pivotArea collapsedLevelsAreSubtotals="1" fieldPosition="0">
        <references count="1">
          <reference field="16" count="1" selected="0">
            <x v="576"/>
          </reference>
        </references>
      </pivotArea>
    </format>
    <format dxfId="1030">
      <pivotArea collapsedLevelsAreSubtotals="1" fieldPosition="0">
        <references count="1">
          <reference field="16" count="1" selected="0">
            <x v="577"/>
          </reference>
        </references>
      </pivotArea>
    </format>
    <format dxfId="1031">
      <pivotArea collapsedLevelsAreSubtotals="1" fieldPosition="0">
        <references count="1">
          <reference field="16" count="1" selected="0">
            <x v="578"/>
          </reference>
        </references>
      </pivotArea>
    </format>
    <format dxfId="1032">
      <pivotArea collapsedLevelsAreSubtotals="1" fieldPosition="0">
        <references count="1">
          <reference field="16" count="1" selected="0">
            <x v="579"/>
          </reference>
        </references>
      </pivotArea>
    </format>
    <format dxfId="1033">
      <pivotArea collapsedLevelsAreSubtotals="1" fieldPosition="0">
        <references count="1">
          <reference field="16" count="1" selected="0">
            <x v="580"/>
          </reference>
        </references>
      </pivotArea>
    </format>
    <format dxfId="1034">
      <pivotArea collapsedLevelsAreSubtotals="1" fieldPosition="0">
        <references count="1">
          <reference field="16" count="1" selected="0">
            <x v="581"/>
          </reference>
        </references>
      </pivotArea>
    </format>
    <format dxfId="1035">
      <pivotArea collapsedLevelsAreSubtotals="1" fieldPosition="0">
        <references count="1">
          <reference field="16" count="1" selected="0">
            <x v="582"/>
          </reference>
        </references>
      </pivotArea>
    </format>
    <format dxfId="1036">
      <pivotArea collapsedLevelsAreSubtotals="1" fieldPosition="0">
        <references count="1">
          <reference field="16" count="1" selected="0">
            <x v="583"/>
          </reference>
        </references>
      </pivotArea>
    </format>
    <format dxfId="1037">
      <pivotArea collapsedLevelsAreSubtotals="1" fieldPosition="0">
        <references count="1">
          <reference field="16" count="1" selected="0">
            <x v="584"/>
          </reference>
        </references>
      </pivotArea>
    </format>
    <format dxfId="1038">
      <pivotArea collapsedLevelsAreSubtotals="1" fieldPosition="0">
        <references count="1">
          <reference field="16" count="1" selected="0">
            <x v="585"/>
          </reference>
        </references>
      </pivotArea>
    </format>
    <format dxfId="1039">
      <pivotArea collapsedLevelsAreSubtotals="1" fieldPosition="0">
        <references count="1">
          <reference field="16" count="1" selected="0">
            <x v="586"/>
          </reference>
        </references>
      </pivotArea>
    </format>
    <format dxfId="1040">
      <pivotArea collapsedLevelsAreSubtotals="1" fieldPosition="0">
        <references count="1">
          <reference field="16" count="1" selected="0">
            <x v="587"/>
          </reference>
        </references>
      </pivotArea>
    </format>
    <format dxfId="1041">
      <pivotArea collapsedLevelsAreSubtotals="1" fieldPosition="0">
        <references count="1">
          <reference field="16" count="1" selected="0">
            <x v="588"/>
          </reference>
        </references>
      </pivotArea>
    </format>
    <format dxfId="1042">
      <pivotArea collapsedLevelsAreSubtotals="1" fieldPosition="0">
        <references count="1">
          <reference field="16" count="1" selected="0">
            <x v="589"/>
          </reference>
        </references>
      </pivotArea>
    </format>
    <format dxfId="1043">
      <pivotArea collapsedLevelsAreSubtotals="1" fieldPosition="0">
        <references count="1">
          <reference field="16" count="1" selected="0">
            <x v="590"/>
          </reference>
        </references>
      </pivotArea>
    </format>
    <format dxfId="1044">
      <pivotArea collapsedLevelsAreSubtotals="1" fieldPosition="0">
        <references count="1">
          <reference field="16" count="1" selected="0">
            <x v="591"/>
          </reference>
        </references>
      </pivotArea>
    </format>
    <format dxfId="1045">
      <pivotArea collapsedLevelsAreSubtotals="1" fieldPosition="0">
        <references count="1">
          <reference field="16" count="1" selected="0">
            <x v="592"/>
          </reference>
        </references>
      </pivotArea>
    </format>
    <format dxfId="1046">
      <pivotArea collapsedLevelsAreSubtotals="1" fieldPosition="0">
        <references count="1">
          <reference field="16" count="1" selected="0">
            <x v="593"/>
          </reference>
        </references>
      </pivotArea>
    </format>
    <format dxfId="1047">
      <pivotArea collapsedLevelsAreSubtotals="1" fieldPosition="0">
        <references count="1">
          <reference field="16" count="1" selected="0">
            <x v="594"/>
          </reference>
        </references>
      </pivotArea>
    </format>
    <format dxfId="1048">
      <pivotArea collapsedLevelsAreSubtotals="1" fieldPosition="0">
        <references count="1">
          <reference field="16" count="1" selected="0">
            <x v="595"/>
          </reference>
        </references>
      </pivotArea>
    </format>
    <format dxfId="1049">
      <pivotArea collapsedLevelsAreSubtotals="1" fieldPosition="0">
        <references count="1">
          <reference field="16" count="1" selected="0">
            <x v="596"/>
          </reference>
        </references>
      </pivotArea>
    </format>
    <format dxfId="1050">
      <pivotArea collapsedLevelsAreSubtotals="1" fieldPosition="0">
        <references count="1">
          <reference field="16" count="1" selected="0">
            <x v="597"/>
          </reference>
        </references>
      </pivotArea>
    </format>
    <format dxfId="1051">
      <pivotArea collapsedLevelsAreSubtotals="1" fieldPosition="0">
        <references count="1">
          <reference field="16" count="1" selected="0">
            <x v="598"/>
          </reference>
        </references>
      </pivotArea>
    </format>
    <format dxfId="1052">
      <pivotArea collapsedLevelsAreSubtotals="1" fieldPosition="0">
        <references count="1">
          <reference field="16" count="1" selected="0">
            <x v="599"/>
          </reference>
        </references>
      </pivotArea>
    </format>
    <format dxfId="1053">
      <pivotArea collapsedLevelsAreSubtotals="1" fieldPosition="0">
        <references count="1">
          <reference field="16" count="1" selected="0">
            <x v="600"/>
          </reference>
        </references>
      </pivotArea>
    </format>
    <format dxfId="1054">
      <pivotArea collapsedLevelsAreSubtotals="1" fieldPosition="0">
        <references count="1">
          <reference field="16" count="1" selected="0">
            <x v="601"/>
          </reference>
        </references>
      </pivotArea>
    </format>
    <format dxfId="1055">
      <pivotArea collapsedLevelsAreSubtotals="1" fieldPosition="0">
        <references count="1">
          <reference field="16" count="1" selected="0">
            <x v="602"/>
          </reference>
        </references>
      </pivotArea>
    </format>
    <format dxfId="1056">
      <pivotArea collapsedLevelsAreSubtotals="1" fieldPosition="0">
        <references count="1">
          <reference field="16" count="1" selected="0">
            <x v="603"/>
          </reference>
        </references>
      </pivotArea>
    </format>
    <format dxfId="1057">
      <pivotArea collapsedLevelsAreSubtotals="1" fieldPosition="0">
        <references count="1">
          <reference field="16" count="1" selected="0">
            <x v="604"/>
          </reference>
        </references>
      </pivotArea>
    </format>
    <format dxfId="1058">
      <pivotArea collapsedLevelsAreSubtotals="1" fieldPosition="0">
        <references count="1">
          <reference field="16" count="1" selected="0">
            <x v="605"/>
          </reference>
        </references>
      </pivotArea>
    </format>
    <format dxfId="1059">
      <pivotArea collapsedLevelsAreSubtotals="1" fieldPosition="0">
        <references count="1">
          <reference field="16" count="1" selected="0">
            <x v="606"/>
          </reference>
        </references>
      </pivotArea>
    </format>
    <format dxfId="1060">
      <pivotArea collapsedLevelsAreSubtotals="1" fieldPosition="0">
        <references count="1">
          <reference field="16" count="1" selected="0">
            <x v="607"/>
          </reference>
        </references>
      </pivotArea>
    </format>
    <format dxfId="1061">
      <pivotArea collapsedLevelsAreSubtotals="1" fieldPosition="0">
        <references count="1">
          <reference field="16" count="1" selected="0">
            <x v="608"/>
          </reference>
        </references>
      </pivotArea>
    </format>
    <format dxfId="1062">
      <pivotArea collapsedLevelsAreSubtotals="1" fieldPosition="0">
        <references count="1">
          <reference field="16" count="1" selected="0">
            <x v="609"/>
          </reference>
        </references>
      </pivotArea>
    </format>
    <format dxfId="1063">
      <pivotArea collapsedLevelsAreSubtotals="1" fieldPosition="0">
        <references count="1">
          <reference field="16" count="1" selected="0">
            <x v="610"/>
          </reference>
        </references>
      </pivotArea>
    </format>
    <format dxfId="1064">
      <pivotArea collapsedLevelsAreSubtotals="1" fieldPosition="0">
        <references count="1">
          <reference field="16" count="1" selected="0">
            <x v="611"/>
          </reference>
        </references>
      </pivotArea>
    </format>
    <format dxfId="1065">
      <pivotArea collapsedLevelsAreSubtotals="1" fieldPosition="0">
        <references count="1">
          <reference field="16" count="1" selected="0">
            <x v="612"/>
          </reference>
        </references>
      </pivotArea>
    </format>
    <format dxfId="1066">
      <pivotArea collapsedLevelsAreSubtotals="1" fieldPosition="0">
        <references count="1">
          <reference field="16" count="1" selected="0">
            <x v="613"/>
          </reference>
        </references>
      </pivotArea>
    </format>
    <format dxfId="1067">
      <pivotArea collapsedLevelsAreSubtotals="1" fieldPosition="0">
        <references count="1">
          <reference field="16" count="1" selected="0">
            <x v="614"/>
          </reference>
        </references>
      </pivotArea>
    </format>
    <format dxfId="1068">
      <pivotArea collapsedLevelsAreSubtotals="1" fieldPosition="0">
        <references count="1">
          <reference field="16" count="1" selected="0">
            <x v="615"/>
          </reference>
        </references>
      </pivotArea>
    </format>
    <format dxfId="1069">
      <pivotArea collapsedLevelsAreSubtotals="1" fieldPosition="0">
        <references count="1">
          <reference field="16" count="1" selected="0">
            <x v="616"/>
          </reference>
        </references>
      </pivotArea>
    </format>
    <format dxfId="1070">
      <pivotArea collapsedLevelsAreSubtotals="1" fieldPosition="0">
        <references count="1">
          <reference field="16" count="1" selected="0">
            <x v="617"/>
          </reference>
        </references>
      </pivotArea>
    </format>
    <format dxfId="1071">
      <pivotArea collapsedLevelsAreSubtotals="1" fieldPosition="0">
        <references count="1">
          <reference field="16" count="1" selected="0">
            <x v="618"/>
          </reference>
        </references>
      </pivotArea>
    </format>
    <format dxfId="1072">
      <pivotArea collapsedLevelsAreSubtotals="1" fieldPosition="0">
        <references count="1">
          <reference field="16" count="1" selected="0">
            <x v="619"/>
          </reference>
        </references>
      </pivotArea>
    </format>
    <format dxfId="1073">
      <pivotArea collapsedLevelsAreSubtotals="1" fieldPosition="0">
        <references count="1">
          <reference field="16" count="1" selected="0">
            <x v="620"/>
          </reference>
        </references>
      </pivotArea>
    </format>
    <format dxfId="1074">
      <pivotArea collapsedLevelsAreSubtotals="1" fieldPosition="0">
        <references count="1">
          <reference field="16" count="1" selected="0">
            <x v="621"/>
          </reference>
        </references>
      </pivotArea>
    </format>
    <format dxfId="1075">
      <pivotArea collapsedLevelsAreSubtotals="1" fieldPosition="0">
        <references count="1">
          <reference field="16" count="1" selected="0">
            <x v="622"/>
          </reference>
        </references>
      </pivotArea>
    </format>
    <format dxfId="1076">
      <pivotArea collapsedLevelsAreSubtotals="1" fieldPosition="0">
        <references count="1">
          <reference field="16" count="1" selected="0">
            <x v="623"/>
          </reference>
        </references>
      </pivotArea>
    </format>
    <format dxfId="1077">
      <pivotArea collapsedLevelsAreSubtotals="1" fieldPosition="0">
        <references count="1">
          <reference field="16" count="1" selected="0">
            <x v="624"/>
          </reference>
        </references>
      </pivotArea>
    </format>
    <format dxfId="1078">
      <pivotArea collapsedLevelsAreSubtotals="1" fieldPosition="0">
        <references count="1">
          <reference field="16" count="1" selected="0">
            <x v="625"/>
          </reference>
        </references>
      </pivotArea>
    </format>
    <format dxfId="1079">
      <pivotArea collapsedLevelsAreSubtotals="1" fieldPosition="0">
        <references count="1">
          <reference field="16" count="1" selected="0">
            <x v="626"/>
          </reference>
        </references>
      </pivotArea>
    </format>
    <format dxfId="1080">
      <pivotArea collapsedLevelsAreSubtotals="1" fieldPosition="0">
        <references count="1">
          <reference field="16" count="1" selected="0">
            <x v="627"/>
          </reference>
        </references>
      </pivotArea>
    </format>
    <format dxfId="1081">
      <pivotArea collapsedLevelsAreSubtotals="1" fieldPosition="0">
        <references count="1">
          <reference field="16" count="1" selected="0">
            <x v="628"/>
          </reference>
        </references>
      </pivotArea>
    </format>
    <format dxfId="1082">
      <pivotArea collapsedLevelsAreSubtotals="1" fieldPosition="0">
        <references count="1">
          <reference field="16" count="1" selected="0">
            <x v="629"/>
          </reference>
        </references>
      </pivotArea>
    </format>
  </formats>
  <pivotTableStyleInfo name="PivotStyleLight16" showRowHeaders="1" showColHeaders="1" showLastColumn="1"/>
  <filters count="1">
    <filter evalOrder="-1" fld="16" iMeasureFld="0" id="1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6" minRefreshableVersion="3" createdVersion="5" useAutoFormatting="1" compact="0" indent="0" outline="1" compactData="0" outlineData="1" showDrill="1" multipleFieldFilters="0" chartFormat="4">
  <location ref="A3:B35" firstHeaderRow="1" firstDataRow="1" firstDataCol="1"/>
  <pivotFields count="34">
    <pivotField axis="axisRow" measureFilter="1" compact="0" showAll="0">
      <items count="632">
        <item x="605"/>
        <item x="449"/>
        <item x="7"/>
        <item x="518"/>
        <item x="573"/>
        <item x="46"/>
        <item x="367"/>
        <item x="201"/>
        <item x="551"/>
        <item x="324"/>
        <item x="438"/>
        <item x="166"/>
        <item x="80"/>
        <item x="361"/>
        <item x="328"/>
        <item x="300"/>
        <item x="453"/>
        <item x="577"/>
        <item x="193"/>
        <item x="122"/>
        <item x="332"/>
        <item x="439"/>
        <item x="457"/>
        <item x="148"/>
        <item x="224"/>
        <item x="190"/>
        <item x="347"/>
        <item x="278"/>
        <item x="350"/>
        <item x="535"/>
        <item x="54"/>
        <item x="65"/>
        <item x="163"/>
        <item x="470"/>
        <item x="580"/>
        <item x="625"/>
        <item x="106"/>
        <item x="269"/>
        <item x="256"/>
        <item x="89"/>
        <item x="339"/>
        <item x="24"/>
        <item x="220"/>
        <item x="281"/>
        <item x="250"/>
        <item x="376"/>
        <item x="540"/>
        <item x="172"/>
        <item x="225"/>
        <item x="78"/>
        <item x="49"/>
        <item x="603"/>
        <item x="226"/>
        <item x="168"/>
        <item x="45"/>
        <item x="144"/>
        <item x="183"/>
        <item x="574"/>
        <item x="81"/>
        <item x="512"/>
        <item x="562"/>
        <item x="315"/>
        <item x="391"/>
        <item x="288"/>
        <item x="272"/>
        <item x="2"/>
        <item x="92"/>
        <item x="292"/>
        <item x="434"/>
        <item x="585"/>
        <item x="199"/>
        <item x="74"/>
        <item x="363"/>
        <item x="204"/>
        <item x="185"/>
        <item x="497"/>
        <item x="52"/>
        <item x="99"/>
        <item x="118"/>
        <item x="132"/>
        <item x="215"/>
        <item x="495"/>
        <item x="171"/>
        <item x="613"/>
        <item x="543"/>
        <item x="629"/>
        <item x="520"/>
        <item x="547"/>
        <item x="255"/>
        <item x="351"/>
        <item x="64"/>
        <item x="546"/>
        <item x="151"/>
        <item x="223"/>
        <item x="615"/>
        <item x="239"/>
        <item x="260"/>
        <item x="129"/>
        <item x="532"/>
        <item x="326"/>
        <item x="459"/>
        <item x="371"/>
        <item x="66"/>
        <item x="626"/>
        <item x="604"/>
        <item x="624"/>
        <item x="31"/>
        <item x="515"/>
        <item x="477"/>
        <item x="344"/>
        <item x="499"/>
        <item x="197"/>
        <item x="121"/>
        <item x="445"/>
        <item x="455"/>
        <item x="202"/>
        <item x="474"/>
        <item x="301"/>
        <item x="382"/>
        <item x="152"/>
        <item x="485"/>
        <item x="296"/>
        <item x="124"/>
        <item x="229"/>
        <item x="478"/>
        <item x="284"/>
        <item x="137"/>
        <item x="216"/>
        <item x="387"/>
        <item x="591"/>
        <item x="316"/>
        <item x="537"/>
        <item x="419"/>
        <item x="261"/>
        <item x="266"/>
        <item x="259"/>
        <item x="528"/>
        <item x="39"/>
        <item x="213"/>
        <item x="431"/>
        <item x="337"/>
        <item x="176"/>
        <item x="609"/>
        <item x="291"/>
        <item x="408"/>
        <item x="384"/>
        <item x="596"/>
        <item x="526"/>
        <item x="198"/>
        <item x="460"/>
        <item x="221"/>
        <item x="576"/>
        <item x="279"/>
        <item x="75"/>
        <item x="5"/>
        <item x="589"/>
        <item x="466"/>
        <item x="412"/>
        <item x="349"/>
        <item x="501"/>
        <item x="243"/>
        <item x="68"/>
        <item x="436"/>
        <item x="619"/>
        <item x="340"/>
        <item x="444"/>
        <item x="450"/>
        <item x="476"/>
        <item x="437"/>
        <item x="69"/>
        <item x="539"/>
        <item x="369"/>
        <item x="4"/>
        <item x="338"/>
        <item x="145"/>
        <item x="187"/>
        <item x="318"/>
        <item x="388"/>
        <item x="85"/>
        <item x="154"/>
        <item x="441"/>
        <item x="160"/>
        <item x="404"/>
        <item x="370"/>
        <item x="581"/>
        <item x="35"/>
        <item x="507"/>
        <item x="483"/>
        <item x="135"/>
        <item x="21"/>
        <item x="570"/>
        <item x="95"/>
        <item x="115"/>
        <item x="456"/>
        <item x="125"/>
        <item x="308"/>
        <item x="165"/>
        <item x="623"/>
        <item x="258"/>
        <item x="321"/>
        <item x="311"/>
        <item x="28"/>
        <item x="346"/>
        <item x="140"/>
        <item x="142"/>
        <item x="509"/>
        <item x="205"/>
        <item x="627"/>
        <item x="192"/>
        <item x="393"/>
        <item x="469"/>
        <item x="411"/>
        <item x="15"/>
        <item x="331"/>
        <item x="233"/>
        <item x="228"/>
        <item x="555"/>
        <item x="542"/>
        <item x="628"/>
        <item x="237"/>
        <item x="267"/>
        <item x="538"/>
        <item x="114"/>
        <item x="414"/>
        <item x="178"/>
        <item x="396"/>
        <item x="479"/>
        <item x="336"/>
        <item x="164"/>
        <item x="155"/>
        <item x="549"/>
        <item x="325"/>
        <item x="105"/>
        <item x="134"/>
        <item x="309"/>
        <item x="109"/>
        <item x="34"/>
        <item x="401"/>
        <item x="30"/>
        <item x="79"/>
        <item x="214"/>
        <item x="153"/>
        <item x="458"/>
        <item x="548"/>
        <item x="16"/>
        <item x="322"/>
        <item x="523"/>
        <item x="297"/>
        <item x="564"/>
        <item x="480"/>
        <item x="10"/>
        <item x="147"/>
        <item x="191"/>
        <item x="25"/>
        <item x="162"/>
        <item x="251"/>
        <item x="111"/>
        <item x="353"/>
        <item x="139"/>
        <item x="181"/>
        <item x="586"/>
        <item x="489"/>
        <item x="63"/>
        <item x="560"/>
        <item x="392"/>
        <item x="454"/>
        <item x="51"/>
        <item x="607"/>
        <item x="0"/>
        <item x="287"/>
        <item x="234"/>
        <item x="107"/>
        <item x="70"/>
        <item x="57"/>
        <item x="41"/>
        <item x="252"/>
        <item x="390"/>
        <item x="504"/>
        <item x="247"/>
        <item x="167"/>
        <item x="561"/>
        <item x="610"/>
        <item x="334"/>
        <item x="341"/>
        <item x="6"/>
        <item x="612"/>
        <item x="362"/>
        <item x="67"/>
        <item x="253"/>
        <item x="536"/>
        <item x="572"/>
        <item x="461"/>
        <item x="161"/>
        <item x="1"/>
        <item x="524"/>
        <item x="283"/>
        <item x="486"/>
        <item x="410"/>
        <item x="429"/>
        <item x="484"/>
        <item x="143"/>
        <item x="44"/>
        <item x="405"/>
        <item x="383"/>
        <item x="517"/>
        <item x="310"/>
        <item x="545"/>
        <item x="231"/>
        <item x="313"/>
        <item x="494"/>
        <item x="568"/>
        <item x="149"/>
        <item x="594"/>
        <item x="194"/>
        <item x="440"/>
        <item x="76"/>
        <item x="77"/>
        <item x="413"/>
        <item x="50"/>
        <item x="521"/>
        <item x="423"/>
        <item x="117"/>
        <item x="103"/>
        <item x="578"/>
        <item x="274"/>
        <item x="23"/>
        <item x="265"/>
        <item x="323"/>
        <item x="188"/>
        <item x="464"/>
        <item x="443"/>
        <item x="356"/>
        <item x="424"/>
        <item x="492"/>
        <item x="386"/>
        <item x="529"/>
        <item x="554"/>
        <item x="409"/>
        <item x="245"/>
        <item x="47"/>
        <item x="600"/>
        <item x="157"/>
        <item x="558"/>
        <item x="448"/>
        <item x="500"/>
        <item x="232"/>
        <item x="335"/>
        <item x="587"/>
        <item x="493"/>
        <item x="277"/>
        <item x="433"/>
        <item x="126"/>
        <item x="598"/>
        <item x="123"/>
        <item x="8"/>
        <item x="582"/>
        <item x="86"/>
        <item x="38"/>
        <item x="88"/>
        <item x="128"/>
        <item x="170"/>
        <item x="400"/>
        <item x="541"/>
        <item x="33"/>
        <item x="40"/>
        <item x="97"/>
        <item x="184"/>
        <item x="475"/>
        <item x="342"/>
        <item x="472"/>
        <item x="430"/>
        <item x="415"/>
        <item x="249"/>
        <item x="195"/>
        <item x="402"/>
        <item x="209"/>
        <item x="557"/>
        <item x="207"/>
        <item x="583"/>
        <item x="373"/>
        <item x="36"/>
        <item x="359"/>
        <item x="527"/>
        <item x="320"/>
        <item x="217"/>
        <item x="496"/>
        <item x="506"/>
        <item x="611"/>
        <item x="442"/>
        <item x="271"/>
        <item x="418"/>
        <item x="618"/>
        <item x="189"/>
        <item x="156"/>
        <item x="567"/>
        <item x="104"/>
        <item x="508"/>
        <item x="218"/>
        <item x="138"/>
        <item x="465"/>
        <item x="26"/>
        <item x="295"/>
        <item x="490"/>
        <item x="108"/>
        <item x="20"/>
        <item x="73"/>
        <item x="235"/>
        <item x="427"/>
        <item x="621"/>
        <item x="365"/>
        <item x="319"/>
        <item x="522"/>
        <item x="273"/>
        <item x="136"/>
        <item x="432"/>
        <item x="608"/>
        <item x="101"/>
        <item x="451"/>
        <item x="244"/>
        <item x="27"/>
        <item x="254"/>
        <item x="286"/>
        <item x="242"/>
        <item x="374"/>
        <item x="559"/>
        <item x="303"/>
        <item x="268"/>
        <item x="447"/>
        <item x="13"/>
        <item x="358"/>
        <item x="519"/>
        <item x="343"/>
        <item x="238"/>
        <item x="345"/>
        <item x="141"/>
        <item x="60"/>
        <item x="599"/>
        <item x="110"/>
        <item x="352"/>
        <item x="112"/>
        <item x="354"/>
        <item x="312"/>
        <item x="616"/>
        <item x="72"/>
        <item x="169"/>
        <item x="592"/>
        <item x="275"/>
        <item x="177"/>
        <item x="510"/>
        <item x="357"/>
        <item x="511"/>
        <item x="48"/>
        <item x="196"/>
        <item x="174"/>
        <item x="435"/>
        <item x="398"/>
        <item x="487"/>
        <item x="565"/>
        <item x="211"/>
        <item x="426"/>
        <item x="93"/>
        <item x="42"/>
        <item x="200"/>
        <item x="82"/>
        <item x="364"/>
        <item x="236"/>
        <item x="513"/>
        <item x="304"/>
        <item x="206"/>
        <item x="534"/>
        <item x="617"/>
        <item x="579"/>
        <item x="3"/>
        <item x="569"/>
        <item x="571"/>
        <item x="120"/>
        <item x="257"/>
        <item x="375"/>
        <item x="601"/>
        <item x="299"/>
        <item x="379"/>
        <item x="417"/>
        <item x="314"/>
        <item x="17"/>
        <item x="146"/>
        <item x="150"/>
        <item x="584"/>
        <item x="248"/>
        <item x="482"/>
        <item x="488"/>
        <item x="606"/>
        <item x="96"/>
        <item x="372"/>
        <item x="420"/>
        <item x="302"/>
        <item x="588"/>
        <item x="575"/>
        <item x="227"/>
        <item x="462"/>
        <item x="368"/>
        <item x="533"/>
        <item x="333"/>
        <item x="100"/>
        <item x="84"/>
        <item x="502"/>
        <item x="553"/>
        <item x="552"/>
        <item x="133"/>
        <item x="306"/>
        <item x="294"/>
        <item x="416"/>
        <item x="307"/>
        <item x="481"/>
        <item x="452"/>
        <item x="159"/>
        <item x="550"/>
        <item x="263"/>
        <item x="525"/>
        <item x="446"/>
        <item x="505"/>
        <item x="32"/>
        <item x="348"/>
        <item x="270"/>
        <item x="389"/>
        <item x="394"/>
        <item x="293"/>
        <item x="12"/>
        <item x="83"/>
        <item x="463"/>
        <item x="131"/>
        <item x="240"/>
        <item x="407"/>
        <item x="11"/>
        <item x="62"/>
        <item x="91"/>
        <item x="614"/>
        <item x="127"/>
        <item x="285"/>
        <item x="98"/>
        <item x="186"/>
        <item x="29"/>
        <item x="212"/>
        <item x="53"/>
        <item x="22"/>
        <item x="210"/>
        <item x="397"/>
        <item x="360"/>
        <item x="399"/>
        <item x="366"/>
        <item x="90"/>
        <item x="208"/>
        <item x="514"/>
        <item x="377"/>
        <item x="58"/>
        <item x="71"/>
        <item x="241"/>
        <item x="113"/>
        <item x="622"/>
        <item x="130"/>
        <item x="421"/>
        <item x="179"/>
        <item x="329"/>
        <item x="563"/>
        <item x="102"/>
        <item x="180"/>
        <item x="428"/>
        <item x="395"/>
        <item x="276"/>
        <item x="222"/>
        <item x="503"/>
        <item x="473"/>
        <item x="597"/>
        <item x="280"/>
        <item x="116"/>
        <item x="173"/>
        <item x="491"/>
        <item x="595"/>
        <item x="37"/>
        <item x="94"/>
        <item x="630"/>
        <item x="330"/>
        <item x="19"/>
        <item x="602"/>
        <item x="290"/>
        <item x="230"/>
        <item x="219"/>
        <item x="59"/>
        <item x="55"/>
        <item x="158"/>
        <item x="531"/>
        <item x="327"/>
        <item x="61"/>
        <item x="471"/>
        <item x="381"/>
        <item x="467"/>
        <item x="425"/>
        <item x="43"/>
        <item x="380"/>
        <item x="498"/>
        <item x="516"/>
        <item x="422"/>
        <item x="14"/>
        <item x="18"/>
        <item x="175"/>
        <item x="593"/>
        <item x="317"/>
        <item x="87"/>
        <item x="385"/>
        <item x="556"/>
        <item x="406"/>
        <item x="264"/>
        <item x="182"/>
        <item x="620"/>
        <item x="262"/>
        <item x="403"/>
        <item x="378"/>
        <item x="289"/>
        <item x="530"/>
        <item x="566"/>
        <item x="56"/>
        <item x="298"/>
        <item x="305"/>
        <item x="246"/>
        <item x="468"/>
        <item x="355"/>
        <item x="119"/>
        <item x="544"/>
        <item x="203"/>
        <item x="282"/>
        <item x="590"/>
        <item x="9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showAll="0">
      <items count="13">
        <item x="4"/>
        <item x="2"/>
        <item x="0"/>
        <item x="7"/>
        <item x="5"/>
        <item x="9"/>
        <item x="8"/>
        <item x="11"/>
        <item x="6"/>
        <item x="1"/>
        <item x="10"/>
        <item x="3"/>
        <item t="default"/>
      </items>
    </pivotField>
    <pivotField compact="0" showAll="0">
      <items count="469">
        <item x="5"/>
        <item x="455"/>
        <item x="271"/>
        <item x="415"/>
        <item x="181"/>
        <item x="7"/>
        <item x="371"/>
        <item x="184"/>
        <item x="119"/>
        <item x="424"/>
        <item x="122"/>
        <item x="171"/>
        <item x="180"/>
        <item x="312"/>
        <item x="23"/>
        <item x="77"/>
        <item x="426"/>
        <item x="62"/>
        <item x="152"/>
        <item x="147"/>
        <item x="361"/>
        <item x="29"/>
        <item x="159"/>
        <item x="452"/>
        <item x="2"/>
        <item x="107"/>
        <item x="432"/>
        <item x="226"/>
        <item x="336"/>
        <item x="206"/>
        <item x="315"/>
        <item x="211"/>
        <item x="342"/>
        <item x="64"/>
        <item x="278"/>
        <item x="150"/>
        <item x="33"/>
        <item x="50"/>
        <item x="451"/>
        <item x="163"/>
        <item x="89"/>
        <item x="458"/>
        <item x="125"/>
        <item x="290"/>
        <item x="27"/>
        <item x="387"/>
        <item x="153"/>
        <item x="43"/>
        <item x="67"/>
        <item x="460"/>
        <item x="15"/>
        <item x="441"/>
        <item x="410"/>
        <item x="129"/>
        <item x="449"/>
        <item x="177"/>
        <item x="275"/>
        <item x="239"/>
        <item x="406"/>
        <item x="20"/>
        <item x="382"/>
        <item x="362"/>
        <item x="72"/>
        <item x="207"/>
        <item x="373"/>
        <item x="234"/>
        <item x="328"/>
        <item x="408"/>
        <item x="446"/>
        <item x="308"/>
        <item x="109"/>
        <item x="280"/>
        <item x="367"/>
        <item x="75"/>
        <item x="251"/>
        <item x="37"/>
        <item x="264"/>
        <item x="169"/>
        <item x="44"/>
        <item x="87"/>
        <item x="85"/>
        <item x="306"/>
        <item x="186"/>
        <item x="140"/>
        <item x="133"/>
        <item x="422"/>
        <item x="425"/>
        <item x="376"/>
        <item x="47"/>
        <item x="289"/>
        <item x="386"/>
        <item x="256"/>
        <item x="172"/>
        <item x="370"/>
        <item x="245"/>
        <item x="288"/>
        <item x="131"/>
        <item x="203"/>
        <item x="443"/>
        <item x="242"/>
        <item x="235"/>
        <item x="174"/>
        <item x="389"/>
        <item x="115"/>
        <item x="183"/>
        <item x="419"/>
        <item x="66"/>
        <item x="114"/>
        <item x="260"/>
        <item x="417"/>
        <item x="343"/>
        <item x="200"/>
        <item x="161"/>
        <item x="345"/>
        <item x="52"/>
        <item x="429"/>
        <item x="137"/>
        <item x="459"/>
        <item x="73"/>
        <item x="216"/>
        <item x="364"/>
        <item x="158"/>
        <item x="199"/>
        <item x="323"/>
        <item x="204"/>
        <item x="231"/>
        <item x="155"/>
        <item x="327"/>
        <item x="233"/>
        <item x="348"/>
        <item x="176"/>
        <item x="358"/>
        <item x="259"/>
        <item x="282"/>
        <item x="391"/>
        <item x="324"/>
        <item x="250"/>
        <item x="143"/>
        <item x="193"/>
        <item x="276"/>
        <item x="285"/>
        <item x="112"/>
        <item x="106"/>
        <item x="214"/>
        <item x="134"/>
        <item x="294"/>
        <item x="297"/>
        <item x="63"/>
        <item x="374"/>
        <item x="4"/>
        <item x="141"/>
        <item x="340"/>
        <item x="380"/>
        <item x="202"/>
        <item x="195"/>
        <item x="295"/>
        <item x="81"/>
        <item x="240"/>
        <item x="311"/>
        <item x="423"/>
        <item x="113"/>
        <item x="360"/>
        <item x="300"/>
        <item x="279"/>
        <item x="435"/>
        <item x="241"/>
        <item x="39"/>
        <item x="182"/>
        <item x="94"/>
        <item x="347"/>
        <item x="303"/>
        <item x="13"/>
        <item x="84"/>
        <item x="436"/>
        <item x="247"/>
        <item x="10"/>
        <item x="145"/>
        <item x="162"/>
        <item x="383"/>
        <item x="437"/>
        <item x="179"/>
        <item x="128"/>
        <item x="221"/>
        <item x="292"/>
        <item x="142"/>
        <item x="351"/>
        <item x="439"/>
        <item x="354"/>
        <item x="352"/>
        <item x="194"/>
        <item x="397"/>
        <item x="263"/>
        <item x="314"/>
        <item x="428"/>
        <item x="220"/>
        <item x="34"/>
        <item x="307"/>
        <item x="58"/>
        <item x="0"/>
        <item x="450"/>
        <item x="227"/>
        <item x="246"/>
        <item x="68"/>
        <item x="363"/>
        <item x="265"/>
        <item x="248"/>
        <item x="215"/>
        <item x="244"/>
        <item x="149"/>
        <item x="136"/>
        <item x="403"/>
        <item x="82"/>
        <item x="286"/>
        <item x="70"/>
        <item x="413"/>
        <item x="31"/>
        <item x="36"/>
        <item x="395"/>
        <item x="412"/>
        <item x="400"/>
        <item x="230"/>
        <item x="372"/>
        <item x="8"/>
        <item x="375"/>
        <item x="322"/>
        <item x="385"/>
        <item x="393"/>
        <item x="45"/>
        <item x="313"/>
        <item x="22"/>
        <item x="173"/>
        <item x="42"/>
        <item x="98"/>
        <item x="65"/>
        <item x="154"/>
        <item x="398"/>
        <item x="91"/>
        <item x="118"/>
        <item x="101"/>
        <item x="368"/>
        <item x="151"/>
        <item x="416"/>
        <item x="344"/>
        <item x="116"/>
        <item x="274"/>
        <item x="102"/>
        <item x="103"/>
        <item x="369"/>
        <item x="132"/>
        <item x="249"/>
        <item x="269"/>
        <item x="304"/>
        <item x="463"/>
        <item x="104"/>
        <item x="24"/>
        <item x="411"/>
        <item x="287"/>
        <item x="293"/>
        <item x="157"/>
        <item x="320"/>
        <item x="26"/>
        <item x="334"/>
        <item x="19"/>
        <item x="465"/>
        <item x="228"/>
        <item x="453"/>
        <item x="447"/>
        <item x="399"/>
        <item x="144"/>
        <item x="298"/>
        <item x="326"/>
        <item x="175"/>
        <item x="99"/>
        <item x="421"/>
        <item x="456"/>
        <item x="353"/>
        <item x="396"/>
        <item x="365"/>
        <item x="32"/>
        <item x="38"/>
        <item x="74"/>
        <item x="341"/>
        <item x="434"/>
        <item x="225"/>
        <item x="209"/>
        <item x="210"/>
        <item x="331"/>
        <item x="255"/>
        <item x="191"/>
        <item x="187"/>
        <item x="212"/>
        <item x="97"/>
        <item x="197"/>
        <item x="178"/>
        <item x="138"/>
        <item x="366"/>
        <item x="189"/>
        <item x="166"/>
        <item x="88"/>
        <item x="238"/>
        <item x="156"/>
        <item x="407"/>
        <item x="196"/>
        <item x="464"/>
        <item x="46"/>
        <item x="100"/>
        <item x="49"/>
        <item x="462"/>
        <item x="168"/>
        <item x="1"/>
        <item x="404"/>
        <item x="40"/>
        <item x="229"/>
        <item x="291"/>
        <item x="148"/>
        <item x="356"/>
        <item x="61"/>
        <item x="273"/>
        <item x="333"/>
        <item x="48"/>
        <item x="299"/>
        <item x="223"/>
        <item x="444"/>
        <item x="405"/>
        <item x="392"/>
        <item x="127"/>
        <item x="76"/>
        <item x="379"/>
        <item x="302"/>
        <item x="461"/>
        <item x="25"/>
        <item x="219"/>
        <item x="96"/>
        <item x="430"/>
        <item x="390"/>
        <item x="16"/>
        <item x="330"/>
        <item x="126"/>
        <item x="71"/>
        <item x="55"/>
        <item x="337"/>
        <item x="124"/>
        <item x="130"/>
        <item x="359"/>
        <item x="6"/>
        <item x="357"/>
        <item x="272"/>
        <item x="11"/>
        <item x="409"/>
        <item x="316"/>
        <item x="123"/>
        <item x="420"/>
        <item x="283"/>
        <item x="170"/>
        <item x="105"/>
        <item x="335"/>
        <item x="51"/>
        <item x="266"/>
        <item x="93"/>
        <item x="192"/>
        <item x="318"/>
        <item x="167"/>
        <item x="185"/>
        <item x="317"/>
        <item x="414"/>
        <item x="54"/>
        <item x="120"/>
        <item x="146"/>
        <item x="433"/>
        <item x="454"/>
        <item x="243"/>
        <item x="338"/>
        <item x="349"/>
        <item x="467"/>
        <item x="121"/>
        <item x="12"/>
        <item x="339"/>
        <item x="402"/>
        <item x="418"/>
        <item x="252"/>
        <item x="310"/>
        <item x="309"/>
        <item x="381"/>
        <item x="401"/>
        <item x="80"/>
        <item x="3"/>
        <item x="258"/>
        <item x="95"/>
        <item x="277"/>
        <item x="254"/>
        <item x="53"/>
        <item x="28"/>
        <item x="69"/>
        <item x="377"/>
        <item x="261"/>
        <item x="332"/>
        <item x="440"/>
        <item x="160"/>
        <item x="139"/>
        <item x="448"/>
        <item x="222"/>
        <item x="79"/>
        <item x="208"/>
        <item x="60"/>
        <item x="86"/>
        <item x="57"/>
        <item x="355"/>
        <item x="267"/>
        <item x="321"/>
        <item x="78"/>
        <item x="394"/>
        <item x="217"/>
        <item x="253"/>
        <item x="270"/>
        <item x="281"/>
        <item x="9"/>
        <item x="329"/>
        <item x="41"/>
        <item x="262"/>
        <item x="108"/>
        <item x="346"/>
        <item x="56"/>
        <item x="21"/>
        <item x="325"/>
        <item x="296"/>
        <item x="111"/>
        <item x="236"/>
        <item x="268"/>
        <item x="35"/>
        <item x="305"/>
        <item x="438"/>
        <item x="232"/>
        <item x="350"/>
        <item x="110"/>
        <item x="445"/>
        <item x="190"/>
        <item x="201"/>
        <item x="213"/>
        <item x="466"/>
        <item x="18"/>
        <item x="188"/>
        <item x="92"/>
        <item x="319"/>
        <item x="30"/>
        <item x="378"/>
        <item x="90"/>
        <item x="218"/>
        <item x="442"/>
        <item x="117"/>
        <item x="431"/>
        <item x="83"/>
        <item x="205"/>
        <item x="457"/>
        <item x="384"/>
        <item x="301"/>
        <item x="427"/>
        <item x="164"/>
        <item x="198"/>
        <item x="257"/>
        <item x="388"/>
        <item x="14"/>
        <item x="237"/>
        <item x="17"/>
        <item x="59"/>
        <item x="135"/>
        <item x="224"/>
        <item x="284"/>
        <item x="165"/>
        <item t="default"/>
      </items>
    </pivotField>
    <pivotField compact="0" showAll="0">
      <items count="5">
        <item x="0"/>
        <item x="2"/>
        <item x="3"/>
        <item x="1"/>
        <item t="default"/>
      </items>
    </pivotField>
    <pivotField compact="0" numFmtId="181" showAll="0">
      <items count="470">
        <item x="5"/>
        <item x="7"/>
        <item x="185"/>
        <item x="199"/>
        <item x="411"/>
        <item x="270"/>
        <item x="125"/>
        <item x="128"/>
        <item x="187"/>
        <item x="441"/>
        <item x="78"/>
        <item x="24"/>
        <item x="419"/>
        <item x="183"/>
        <item x="62"/>
        <item x="279"/>
        <item x="174"/>
        <item x="152"/>
        <item x="111"/>
        <item x="422"/>
        <item x="297"/>
        <item x="162"/>
        <item x="157"/>
        <item x="384"/>
        <item x="96"/>
        <item x="223"/>
        <item x="2"/>
        <item x="155"/>
        <item x="214"/>
        <item x="211"/>
        <item x="314"/>
        <item x="50"/>
        <item x="339"/>
        <item x="310"/>
        <item x="64"/>
        <item x="290"/>
        <item x="132"/>
        <item x="277"/>
        <item x="166"/>
        <item x="130"/>
        <item x="357"/>
        <item x="400"/>
        <item x="15"/>
        <item x="453"/>
        <item x="450"/>
        <item x="437"/>
        <item x="92"/>
        <item x="189"/>
        <item x="43"/>
        <item x="430"/>
        <item x="235"/>
        <item x="206"/>
        <item x="67"/>
        <item x="184"/>
        <item x="28"/>
        <item x="295"/>
        <item x="72"/>
        <item x="370"/>
        <item x="426"/>
        <item x="379"/>
        <item x="383"/>
        <item x="180"/>
        <item x="408"/>
        <item x="21"/>
        <item x="281"/>
        <item x="435"/>
        <item x="359"/>
        <item x="103"/>
        <item x="403"/>
        <item x="212"/>
        <item x="374"/>
        <item x="76"/>
        <item x="282"/>
        <item x="114"/>
        <item x="326"/>
        <item x="367"/>
        <item x="271"/>
        <item x="90"/>
        <item x="37"/>
        <item x="305"/>
        <item x="440"/>
        <item x="87"/>
        <item x="44"/>
        <item x="393"/>
        <item x="260"/>
        <item x="420"/>
        <item x="416"/>
        <item x="438"/>
        <item x="418"/>
        <item x="138"/>
        <item x="467"/>
        <item x="373"/>
        <item x="172"/>
        <item x="264"/>
        <item x="145"/>
        <item x="175"/>
        <item x="47"/>
        <item x="464"/>
        <item x="208"/>
        <item x="254"/>
        <item x="241"/>
        <item x="238"/>
        <item x="386"/>
        <item x="289"/>
        <item x="177"/>
        <item x="170"/>
        <item x="230"/>
        <item x="136"/>
        <item x="466"/>
        <item x="52"/>
        <item x="286"/>
        <item x="120"/>
        <item x="121"/>
        <item x="66"/>
        <item x="204"/>
        <item x="165"/>
        <item x="79"/>
        <item x="340"/>
        <item x="460"/>
        <item x="142"/>
        <item x="380"/>
        <item x="413"/>
        <item x="258"/>
        <item x="360"/>
        <item x="203"/>
        <item x="322"/>
        <item x="227"/>
        <item x="73"/>
        <item x="308"/>
        <item x="161"/>
        <item x="456"/>
        <item x="229"/>
        <item x="355"/>
        <item x="353"/>
        <item x="159"/>
        <item x="325"/>
        <item x="395"/>
        <item x="209"/>
        <item x="406"/>
        <item x="263"/>
        <item x="147"/>
        <item x="323"/>
        <item x="257"/>
        <item x="179"/>
        <item x="247"/>
        <item x="284"/>
        <item x="388"/>
        <item x="196"/>
        <item x="139"/>
        <item x="275"/>
        <item x="110"/>
        <item x="287"/>
        <item x="217"/>
        <item x="371"/>
        <item x="369"/>
        <item x="117"/>
        <item x="298"/>
        <item x="293"/>
        <item x="336"/>
        <item x="207"/>
        <item x="83"/>
        <item x="63"/>
        <item x="4"/>
        <item x="236"/>
        <item x="436"/>
        <item x="309"/>
        <item x="296"/>
        <item x="358"/>
        <item x="429"/>
        <item x="362"/>
        <item x="198"/>
        <item x="385"/>
        <item x="465"/>
        <item x="118"/>
        <item x="98"/>
        <item x="237"/>
        <item x="86"/>
        <item x="243"/>
        <item x="186"/>
        <item x="253"/>
        <item x="454"/>
        <item x="39"/>
        <item x="303"/>
        <item x="431"/>
        <item x="250"/>
        <item x="414"/>
        <item x="10"/>
        <item x="344"/>
        <item x="13"/>
        <item x="134"/>
        <item x="176"/>
        <item x="433"/>
        <item x="149"/>
        <item x="381"/>
        <item x="391"/>
        <item x="182"/>
        <item x="146"/>
        <item x="348"/>
        <item x="351"/>
        <item x="280"/>
        <item x="259"/>
        <item x="312"/>
        <item x="68"/>
        <item x="447"/>
        <item x="402"/>
        <item x="34"/>
        <item x="221"/>
        <item x="427"/>
        <item x="197"/>
        <item x="375"/>
        <item x="261"/>
        <item x="0"/>
        <item x="154"/>
        <item x="58"/>
        <item x="244"/>
        <item x="242"/>
        <item x="240"/>
        <item x="288"/>
        <item x="301"/>
        <item x="141"/>
        <item x="84"/>
        <item x="410"/>
        <item x="36"/>
        <item x="70"/>
        <item x="32"/>
        <item x="409"/>
        <item x="321"/>
        <item x="365"/>
        <item x="372"/>
        <item x="226"/>
        <item x="338"/>
        <item x="428"/>
        <item x="23"/>
        <item x="390"/>
        <item x="94"/>
        <item x="102"/>
        <item x="45"/>
        <item x="8"/>
        <item x="42"/>
        <item x="163"/>
        <item x="65"/>
        <item x="105"/>
        <item x="421"/>
        <item x="107"/>
        <item x="124"/>
        <item x="158"/>
        <item x="307"/>
        <item x="156"/>
        <item x="392"/>
        <item x="278"/>
        <item x="266"/>
        <item x="443"/>
        <item x="412"/>
        <item x="273"/>
        <item x="304"/>
        <item x="122"/>
        <item x="75"/>
        <item x="455"/>
        <item x="246"/>
        <item x="137"/>
        <item x="106"/>
        <item x="364"/>
        <item x="292"/>
        <item x="25"/>
        <item x="160"/>
        <item x="27"/>
        <item x="446"/>
        <item x="20"/>
        <item x="108"/>
        <item x="224"/>
        <item x="294"/>
        <item x="423"/>
        <item x="319"/>
        <item x="332"/>
        <item x="442"/>
        <item x="331"/>
        <item x="148"/>
        <item x="299"/>
        <item x="33"/>
        <item x="462"/>
        <item x="417"/>
        <item x="448"/>
        <item x="178"/>
        <item x="104"/>
        <item x="337"/>
        <item x="252"/>
        <item x="213"/>
        <item x="350"/>
        <item x="394"/>
        <item x="150"/>
        <item x="38"/>
        <item x="74"/>
        <item x="425"/>
        <item x="181"/>
        <item x="215"/>
        <item x="361"/>
        <item x="330"/>
        <item x="101"/>
        <item x="191"/>
        <item x="234"/>
        <item x="168"/>
        <item x="201"/>
        <item x="143"/>
        <item x="1"/>
        <item x="193"/>
        <item x="459"/>
        <item x="399"/>
        <item x="171"/>
        <item x="91"/>
        <item x="291"/>
        <item x="272"/>
        <item x="49"/>
        <item x="432"/>
        <item x="46"/>
        <item x="200"/>
        <item x="352"/>
        <item x="40"/>
        <item x="61"/>
        <item x="225"/>
        <item x="401"/>
        <item x="48"/>
        <item x="153"/>
        <item x="300"/>
        <item x="389"/>
        <item x="119"/>
        <item x="302"/>
        <item x="387"/>
        <item x="341"/>
        <item x="220"/>
        <item x="133"/>
        <item x="55"/>
        <item x="354"/>
        <item x="71"/>
        <item x="77"/>
        <item x="452"/>
        <item x="129"/>
        <item x="100"/>
        <item x="368"/>
        <item x="26"/>
        <item x="113"/>
        <item x="404"/>
        <item x="16"/>
        <item x="135"/>
        <item x="131"/>
        <item x="356"/>
        <item x="6"/>
        <item x="30"/>
        <item x="457"/>
        <item x="315"/>
        <item x="262"/>
        <item x="11"/>
        <item x="109"/>
        <item x="333"/>
        <item x="269"/>
        <item x="195"/>
        <item x="173"/>
        <item x="190"/>
        <item x="97"/>
        <item x="51"/>
        <item x="316"/>
        <item x="188"/>
        <item x="444"/>
        <item x="126"/>
        <item x="54"/>
        <item x="169"/>
        <item x="239"/>
        <item x="468"/>
        <item x="335"/>
        <item x="345"/>
        <item x="334"/>
        <item x="127"/>
        <item x="397"/>
        <item x="268"/>
        <item x="398"/>
        <item x="248"/>
        <item x="12"/>
        <item x="3"/>
        <item x="99"/>
        <item x="256"/>
        <item x="343"/>
        <item x="306"/>
        <item x="311"/>
        <item x="29"/>
        <item x="267"/>
        <item x="251"/>
        <item x="434"/>
        <item x="82"/>
        <item x="376"/>
        <item x="81"/>
        <item x="232"/>
        <item x="276"/>
        <item x="363"/>
        <item x="53"/>
        <item x="222"/>
        <item x="461"/>
        <item x="164"/>
        <item x="69"/>
        <item x="415"/>
        <item x="57"/>
        <item x="88"/>
        <item x="144"/>
        <item x="283"/>
        <item x="449"/>
        <item x="19"/>
        <item x="80"/>
        <item x="60"/>
        <item x="320"/>
        <item x="218"/>
        <item x="249"/>
        <item x="407"/>
        <item x="378"/>
        <item x="274"/>
        <item x="327"/>
        <item x="9"/>
        <item x="112"/>
        <item x="342"/>
        <item x="56"/>
        <item x="41"/>
        <item x="451"/>
        <item x="366"/>
        <item x="89"/>
        <item x="231"/>
        <item x="22"/>
        <item x="324"/>
        <item x="228"/>
        <item x="346"/>
        <item x="265"/>
        <item x="35"/>
        <item x="313"/>
        <item x="116"/>
        <item x="245"/>
        <item x="458"/>
        <item x="205"/>
        <item x="115"/>
        <item x="216"/>
        <item x="463"/>
        <item x="439"/>
        <item x="194"/>
        <item x="18"/>
        <item x="31"/>
        <item x="192"/>
        <item x="219"/>
        <item x="123"/>
        <item x="377"/>
        <item x="93"/>
        <item x="318"/>
        <item x="95"/>
        <item x="85"/>
        <item x="151"/>
        <item x="424"/>
        <item x="255"/>
        <item x="405"/>
        <item x="210"/>
        <item x="382"/>
        <item x="349"/>
        <item x="317"/>
        <item x="233"/>
        <item x="59"/>
        <item x="328"/>
        <item x="17"/>
        <item x="167"/>
        <item x="445"/>
        <item x="329"/>
        <item x="202"/>
        <item x="347"/>
        <item x="285"/>
        <item x="140"/>
        <item x="14"/>
        <item x="396"/>
        <item t="default"/>
      </items>
    </pivotField>
    <pivotField compact="0" numFmtId="181" showAll="0">
      <items count="473">
        <item x="5"/>
        <item x="185"/>
        <item x="7"/>
        <item x="412"/>
        <item x="199"/>
        <item x="123"/>
        <item x="126"/>
        <item x="187"/>
        <item x="443"/>
        <item x="78"/>
        <item x="24"/>
        <item x="420"/>
        <item x="183"/>
        <item x="62"/>
        <item x="174"/>
        <item x="152"/>
        <item x="109"/>
        <item x="424"/>
        <item x="276"/>
        <item x="294"/>
        <item x="162"/>
        <item x="157"/>
        <item x="381"/>
        <item x="95"/>
        <item x="222"/>
        <item x="2"/>
        <item x="155"/>
        <item x="214"/>
        <item x="211"/>
        <item x="311"/>
        <item x="50"/>
        <item x="335"/>
        <item x="307"/>
        <item x="64"/>
        <item x="130"/>
        <item x="273"/>
        <item x="166"/>
        <item x="128"/>
        <item x="382"/>
        <item x="287"/>
        <item x="34"/>
        <item x="457"/>
        <item x="454"/>
        <item x="440"/>
        <item x="91"/>
        <item x="189"/>
        <item x="15"/>
        <item x="433"/>
        <item x="206"/>
        <item x="67"/>
        <item x="184"/>
        <item x="28"/>
        <item x="292"/>
        <item x="133"/>
        <item x="366"/>
        <item x="428"/>
        <item x="376"/>
        <item x="380"/>
        <item x="180"/>
        <item x="72"/>
        <item x="21"/>
        <item x="278"/>
        <item x="438"/>
        <item x="354"/>
        <item x="102"/>
        <item x="403"/>
        <item x="212"/>
        <item x="370"/>
        <item x="76"/>
        <item x="279"/>
        <item x="112"/>
        <item x="322"/>
        <item x="363"/>
        <item x="246"/>
        <item x="38"/>
        <item x="302"/>
        <item x="89"/>
        <item x="86"/>
        <item x="44"/>
        <item x="392"/>
        <item x="258"/>
        <item x="421"/>
        <item x="417"/>
        <item x="441"/>
        <item x="419"/>
        <item x="137"/>
        <item x="470"/>
        <item x="369"/>
        <item x="172"/>
        <item x="262"/>
        <item x="144"/>
        <item x="360"/>
        <item x="175"/>
        <item x="47"/>
        <item x="208"/>
        <item x="252"/>
        <item x="239"/>
        <item x="236"/>
        <item x="385"/>
        <item x="286"/>
        <item x="177"/>
        <item x="170"/>
        <item x="229"/>
        <item x="135"/>
        <item x="469"/>
        <item x="52"/>
        <item x="283"/>
        <item x="118"/>
        <item x="119"/>
        <item x="66"/>
        <item x="204"/>
        <item x="165"/>
        <item x="79"/>
        <item x="336"/>
        <item x="464"/>
        <item x="141"/>
        <item x="377"/>
        <item x="414"/>
        <item x="256"/>
        <item x="355"/>
        <item x="203"/>
        <item x="318"/>
        <item x="226"/>
        <item x="73"/>
        <item x="305"/>
        <item x="161"/>
        <item x="460"/>
        <item x="228"/>
        <item x="351"/>
        <item x="349"/>
        <item x="159"/>
        <item x="321"/>
        <item x="394"/>
        <item x="209"/>
        <item x="406"/>
        <item x="261"/>
        <item x="147"/>
        <item x="319"/>
        <item x="255"/>
        <item x="179"/>
        <item x="245"/>
        <item x="281"/>
        <item x="387"/>
        <item x="196"/>
        <item x="271"/>
        <item x="108"/>
        <item x="284"/>
        <item x="138"/>
        <item x="367"/>
        <item x="365"/>
        <item x="115"/>
        <item x="145"/>
        <item x="295"/>
        <item x="290"/>
        <item x="332"/>
        <item x="207"/>
        <item x="82"/>
        <item x="63"/>
        <item x="4"/>
        <item x="234"/>
        <item x="439"/>
        <item x="306"/>
        <item x="293"/>
        <item x="353"/>
        <item x="275"/>
        <item x="432"/>
        <item x="357"/>
        <item x="198"/>
        <item x="383"/>
        <item x="468"/>
        <item x="116"/>
        <item x="97"/>
        <item x="235"/>
        <item x="85"/>
        <item x="241"/>
        <item x="186"/>
        <item x="251"/>
        <item x="458"/>
        <item x="40"/>
        <item x="300"/>
        <item x="434"/>
        <item x="248"/>
        <item x="415"/>
        <item x="10"/>
        <item x="340"/>
        <item x="13"/>
        <item x="132"/>
        <item x="176"/>
        <item x="436"/>
        <item x="149"/>
        <item x="378"/>
        <item x="182"/>
        <item x="146"/>
        <item x="344"/>
        <item x="390"/>
        <item x="347"/>
        <item x="277"/>
        <item x="257"/>
        <item x="309"/>
        <item x="68"/>
        <item x="451"/>
        <item x="402"/>
        <item x="35"/>
        <item x="220"/>
        <item x="430"/>
        <item x="197"/>
        <item x="371"/>
        <item x="259"/>
        <item x="0"/>
        <item x="154"/>
        <item x="58"/>
        <item x="242"/>
        <item x="240"/>
        <item x="238"/>
        <item x="285"/>
        <item x="298"/>
        <item x="140"/>
        <item x="83"/>
        <item x="411"/>
        <item x="396"/>
        <item x="37"/>
        <item x="70"/>
        <item x="32"/>
        <item x="410"/>
        <item x="317"/>
        <item x="361"/>
        <item x="368"/>
        <item x="225"/>
        <item x="334"/>
        <item x="431"/>
        <item x="23"/>
        <item x="389"/>
        <item x="408"/>
        <item x="101"/>
        <item x="45"/>
        <item x="8"/>
        <item x="43"/>
        <item x="163"/>
        <item x="93"/>
        <item x="65"/>
        <item x="104"/>
        <item x="422"/>
        <item x="105"/>
        <item x="122"/>
        <item x="158"/>
        <item x="304"/>
        <item x="156"/>
        <item x="391"/>
        <item x="274"/>
        <item x="264"/>
        <item x="445"/>
        <item x="413"/>
        <item x="269"/>
        <item x="301"/>
        <item x="120"/>
        <item x="374"/>
        <item x="459"/>
        <item x="244"/>
        <item x="136"/>
        <item x="75"/>
        <item x="359"/>
        <item x="409"/>
        <item x="25"/>
        <item x="160"/>
        <item x="27"/>
        <item x="289"/>
        <item x="448"/>
        <item x="106"/>
        <item x="223"/>
        <item x="20"/>
        <item x="291"/>
        <item x="425"/>
        <item x="316"/>
        <item x="328"/>
        <item x="444"/>
        <item x="327"/>
        <item x="148"/>
        <item x="296"/>
        <item x="466"/>
        <item x="450"/>
        <item x="418"/>
        <item x="33"/>
        <item x="452"/>
        <item x="178"/>
        <item x="103"/>
        <item x="333"/>
        <item x="250"/>
        <item x="213"/>
        <item x="346"/>
        <item x="393"/>
        <item x="150"/>
        <item x="39"/>
        <item x="74"/>
        <item x="427"/>
        <item x="181"/>
        <item x="215"/>
        <item x="356"/>
        <item x="326"/>
        <item x="100"/>
        <item x="191"/>
        <item x="233"/>
        <item x="168"/>
        <item x="201"/>
        <item x="142"/>
        <item x="193"/>
        <item x="463"/>
        <item x="400"/>
        <item x="171"/>
        <item x="1"/>
        <item x="90"/>
        <item x="288"/>
        <item x="268"/>
        <item x="49"/>
        <item x="435"/>
        <item x="46"/>
        <item x="200"/>
        <item x="348"/>
        <item x="41"/>
        <item x="61"/>
        <item x="224"/>
        <item x="401"/>
        <item x="48"/>
        <item x="153"/>
        <item x="297"/>
        <item x="388"/>
        <item x="117"/>
        <item x="299"/>
        <item x="386"/>
        <item x="337"/>
        <item x="219"/>
        <item x="131"/>
        <item x="55"/>
        <item x="350"/>
        <item x="71"/>
        <item x="77"/>
        <item x="456"/>
        <item x="127"/>
        <item x="99"/>
        <item x="364"/>
        <item x="26"/>
        <item x="111"/>
        <item x="404"/>
        <item x="16"/>
        <item x="134"/>
        <item x="129"/>
        <item x="352"/>
        <item x="6"/>
        <item x="30"/>
        <item x="461"/>
        <item x="312"/>
        <item x="260"/>
        <item x="11"/>
        <item x="107"/>
        <item x="329"/>
        <item x="267"/>
        <item x="195"/>
        <item x="173"/>
        <item x="190"/>
        <item x="96"/>
        <item x="51"/>
        <item x="313"/>
        <item x="449"/>
        <item x="188"/>
        <item x="446"/>
        <item x="124"/>
        <item x="54"/>
        <item x="169"/>
        <item x="237"/>
        <item x="471"/>
        <item x="331"/>
        <item x="341"/>
        <item x="330"/>
        <item x="125"/>
        <item x="397"/>
        <item x="266"/>
        <item x="398"/>
        <item x="247"/>
        <item x="12"/>
        <item x="3"/>
        <item x="98"/>
        <item x="254"/>
        <item x="339"/>
        <item x="303"/>
        <item x="308"/>
        <item x="29"/>
        <item x="265"/>
        <item x="249"/>
        <item x="437"/>
        <item x="81"/>
        <item x="372"/>
        <item x="231"/>
        <item x="272"/>
        <item x="358"/>
        <item x="53"/>
        <item x="221"/>
        <item x="465"/>
        <item x="164"/>
        <item x="69"/>
        <item x="416"/>
        <item x="57"/>
        <item x="87"/>
        <item x="143"/>
        <item x="399"/>
        <item x="453"/>
        <item x="384"/>
        <item x="429"/>
        <item x="80"/>
        <item x="60"/>
        <item x="280"/>
        <item x="217"/>
        <item x="19"/>
        <item x="407"/>
        <item x="375"/>
        <item x="270"/>
        <item x="323"/>
        <item x="9"/>
        <item x="110"/>
        <item x="338"/>
        <item x="56"/>
        <item x="42"/>
        <item x="455"/>
        <item x="362"/>
        <item x="88"/>
        <item x="230"/>
        <item x="22"/>
        <item x="320"/>
        <item x="227"/>
        <item x="342"/>
        <item x="263"/>
        <item x="36"/>
        <item x="310"/>
        <item x="114"/>
        <item x="243"/>
        <item x="462"/>
        <item x="205"/>
        <item x="113"/>
        <item x="216"/>
        <item x="467"/>
        <item x="442"/>
        <item x="194"/>
        <item x="18"/>
        <item x="31"/>
        <item x="192"/>
        <item x="218"/>
        <item x="121"/>
        <item x="373"/>
        <item x="92"/>
        <item x="315"/>
        <item x="94"/>
        <item x="84"/>
        <item x="151"/>
        <item x="426"/>
        <item x="423"/>
        <item x="405"/>
        <item x="210"/>
        <item x="379"/>
        <item x="253"/>
        <item x="345"/>
        <item x="314"/>
        <item x="232"/>
        <item x="59"/>
        <item x="324"/>
        <item x="17"/>
        <item x="167"/>
        <item x="447"/>
        <item x="325"/>
        <item x="202"/>
        <item x="343"/>
        <item x="282"/>
        <item x="139"/>
        <item x="14"/>
        <item x="395"/>
        <item t="default"/>
      </items>
    </pivotField>
    <pivotField compact="0" numFmtId="1" showAll="0">
      <items count="32">
        <item x="18"/>
        <item x="25"/>
        <item x="24"/>
        <item x="4"/>
        <item x="3"/>
        <item x="15"/>
        <item x="30"/>
        <item x="1"/>
        <item x="11"/>
        <item x="26"/>
        <item x="23"/>
        <item x="22"/>
        <item x="7"/>
        <item x="19"/>
        <item x="16"/>
        <item x="14"/>
        <item x="12"/>
        <item x="13"/>
        <item x="5"/>
        <item x="6"/>
        <item x="8"/>
        <item x="28"/>
        <item x="21"/>
        <item x="20"/>
        <item x="9"/>
        <item x="2"/>
        <item x="0"/>
        <item x="29"/>
        <item x="27"/>
        <item x="10"/>
        <item x="17"/>
        <item t="default"/>
      </items>
    </pivotField>
    <pivotField compact="0" showAll="0">
      <items count="4">
        <item m="1" x="2"/>
        <item x="0"/>
        <item x="1"/>
        <item t="default"/>
      </items>
    </pivotField>
    <pivotField compact="0" showAll="0">
      <items count="5">
        <item x="0"/>
        <item x="2"/>
        <item x="1"/>
        <item x="3"/>
        <item t="default"/>
      </items>
    </pivotField>
    <pivotField compact="0" showAll="0">
      <items count="13">
        <item x="5"/>
        <item x="3"/>
        <item x="9"/>
        <item x="7"/>
        <item x="6"/>
        <item x="4"/>
        <item x="2"/>
        <item x="0"/>
        <item x="1"/>
        <item x="11"/>
        <item x="8"/>
        <item x="10"/>
        <item t="default"/>
      </items>
    </pivotField>
    <pivotField compact="0" showAll="0">
      <items count="41">
        <item x="7"/>
        <item x="36"/>
        <item x="38"/>
        <item x="6"/>
        <item x="9"/>
        <item x="12"/>
        <item x="10"/>
        <item x="33"/>
        <item x="15"/>
        <item x="18"/>
        <item x="25"/>
        <item x="37"/>
        <item x="34"/>
        <item x="20"/>
        <item x="0"/>
        <item x="3"/>
        <item x="21"/>
        <item x="17"/>
        <item x="31"/>
        <item x="11"/>
        <item x="13"/>
        <item x="19"/>
        <item x="29"/>
        <item x="22"/>
        <item x="32"/>
        <item x="2"/>
        <item x="16"/>
        <item x="39"/>
        <item x="4"/>
        <item x="28"/>
        <item x="1"/>
        <item x="30"/>
        <item x="24"/>
        <item x="8"/>
        <item x="23"/>
        <item x="14"/>
        <item x="27"/>
        <item x="5"/>
        <item x="35"/>
        <item x="26"/>
        <item t="default"/>
      </items>
    </pivotField>
    <pivotField compact="0" showAll="0">
      <items count="7">
        <item x="3"/>
        <item x="0"/>
        <item x="1"/>
        <item x="5"/>
        <item x="2"/>
        <item x="4"/>
        <item t="default"/>
      </items>
    </pivotField>
    <pivotField compact="0" showAll="0">
      <items count="7">
        <item x="4"/>
        <item x="3"/>
        <item x="2"/>
        <item x="5"/>
        <item x="1"/>
        <item x="0"/>
        <item t="default"/>
      </items>
    </pivotField>
    <pivotField compact="0" showAll="0">
      <items count="17">
        <item x="8"/>
        <item x="5"/>
        <item x="0"/>
        <item x="14"/>
        <item x="6"/>
        <item x="9"/>
        <item x="3"/>
        <item x="10"/>
        <item x="2"/>
        <item x="1"/>
        <item x="11"/>
        <item x="4"/>
        <item x="12"/>
        <item x="13"/>
        <item x="7"/>
        <item x="15"/>
        <item t="default"/>
      </items>
    </pivotField>
    <pivotField compact="0" showAll="0">
      <items count="8">
        <item x="6"/>
        <item x="0"/>
        <item x="4"/>
        <item x="5"/>
        <item x="2"/>
        <item x="3"/>
        <item x="1"/>
        <item t="default"/>
      </items>
    </pivotField>
    <pivotField compact="0" showAll="0">
      <items count="631">
        <item x="139"/>
        <item x="621"/>
        <item x="333"/>
        <item x="415"/>
        <item x="340"/>
        <item x="394"/>
        <item x="441"/>
        <item x="293"/>
        <item x="491"/>
        <item x="587"/>
        <item x="207"/>
        <item x="14"/>
        <item x="478"/>
        <item x="58"/>
        <item x="261"/>
        <item x="59"/>
        <item x="325"/>
        <item x="103"/>
        <item x="170"/>
        <item x="70"/>
        <item x="497"/>
        <item x="416"/>
        <item x="312"/>
        <item x="319"/>
        <item x="489"/>
        <item x="332"/>
        <item x="355"/>
        <item x="516"/>
        <item x="185"/>
        <item x="545"/>
        <item x="221"/>
        <item x="259"/>
        <item x="450"/>
        <item x="521"/>
        <item x="576"/>
        <item x="270"/>
        <item x="22"/>
        <item x="158"/>
        <item x="131"/>
        <item x="154"/>
        <item x="290"/>
        <item x="76"/>
        <item x="113"/>
        <item x="569"/>
        <item x="187"/>
        <item x="618"/>
        <item x="588"/>
        <item x="227"/>
        <item x="552"/>
        <item x="551"/>
        <item x="97"/>
        <item x="460"/>
        <item x="214"/>
        <item x="352"/>
        <item x="299"/>
        <item x="57"/>
        <item x="288"/>
        <item x="50"/>
        <item x="147"/>
        <item x="437"/>
        <item x="346"/>
        <item x="180"/>
        <item x="358"/>
        <item x="142"/>
        <item x="493"/>
        <item x="557"/>
        <item x="465"/>
        <item x="604"/>
        <item x="360"/>
        <item x="592"/>
        <item x="10"/>
        <item x="277"/>
        <item x="18"/>
        <item x="338"/>
        <item x="541"/>
        <item x="292"/>
        <item x="454"/>
        <item x="25"/>
        <item x="209"/>
        <item x="93"/>
        <item x="66"/>
        <item x="77"/>
        <item x="554"/>
        <item x="536"/>
        <item x="306"/>
        <item x="182"/>
        <item x="408"/>
        <item x="109"/>
        <item x="75"/>
        <item x="169"/>
        <item x="513"/>
        <item x="471"/>
        <item x="579"/>
        <item x="607"/>
        <item x="624"/>
        <item x="34"/>
        <item x="172"/>
        <item x="627"/>
        <item x="401"/>
        <item x="126"/>
        <item x="391"/>
        <item x="124"/>
        <item x="484"/>
        <item x="523"/>
        <item x="377"/>
        <item x="24"/>
        <item x="87"/>
        <item x="82"/>
        <item x="324"/>
        <item x="510"/>
        <item x="367"/>
        <item x="458"/>
        <item x="12"/>
        <item x="136"/>
        <item x="9"/>
        <item x="294"/>
        <item x="157"/>
        <item x="464"/>
        <item x="210"/>
        <item x="315"/>
        <item x="467"/>
        <item x="85"/>
        <item x="161"/>
        <item x="260"/>
        <item x="348"/>
        <item x="256"/>
        <item x="573"/>
        <item x="220"/>
        <item x="617"/>
        <item x="594"/>
        <item x="326"/>
        <item x="74"/>
        <item x="171"/>
        <item x="589"/>
        <item x="490"/>
        <item x="518"/>
        <item x="463"/>
        <item x="78"/>
        <item x="519"/>
        <item x="564"/>
        <item x="44"/>
        <item x="127"/>
        <item x="125"/>
        <item x="110"/>
        <item x="568"/>
        <item x="504"/>
        <item x="459"/>
        <item x="451"/>
        <item x="397"/>
        <item x="30"/>
        <item x="230"/>
        <item x="61"/>
        <item x="365"/>
        <item x="222"/>
        <item x="206"/>
        <item x="69"/>
        <item x="250"/>
        <item x="36"/>
        <item x="60"/>
        <item x="105"/>
        <item x="511"/>
        <item x="101"/>
        <item x="86"/>
        <item x="234"/>
        <item x="0"/>
        <item x="37"/>
        <item x="393"/>
        <item x="436"/>
        <item x="403"/>
        <item x="289"/>
        <item x="476"/>
        <item x="237"/>
        <item x="585"/>
        <item x="177"/>
        <item x="300"/>
        <item x="267"/>
        <item x="559"/>
        <item x="323"/>
        <item x="475"/>
        <item x="477"/>
        <item x="533"/>
        <item x="166"/>
        <item x="145"/>
        <item x="295"/>
        <item x="15"/>
        <item x="527"/>
        <item x="445"/>
        <item x="582"/>
        <item x="539"/>
        <item x="349"/>
        <item x="119"/>
        <item x="279"/>
        <item x="246"/>
        <item x="384"/>
        <item x="239"/>
        <item x="370"/>
        <item x="629"/>
        <item x="481"/>
        <item x="146"/>
        <item x="19"/>
        <item x="64"/>
        <item x="264"/>
        <item x="507"/>
        <item x="571"/>
        <item x="345"/>
        <item x="99"/>
        <item x="53"/>
        <item x="362"/>
        <item x="514"/>
        <item x="581"/>
        <item x="71"/>
        <item x="309"/>
        <item x="304"/>
        <item x="542"/>
        <item x="242"/>
        <item x="457"/>
        <item x="603"/>
        <item x="23"/>
        <item x="255"/>
        <item x="508"/>
        <item x="104"/>
        <item x="190"/>
        <item x="563"/>
        <item x="387"/>
        <item x="251"/>
        <item x="151"/>
        <item x="520"/>
        <item x="593"/>
        <item x="368"/>
        <item x="56"/>
        <item x="409"/>
        <item x="275"/>
        <item x="173"/>
        <item x="102"/>
        <item x="388"/>
        <item x="534"/>
        <item x="565"/>
        <item x="425"/>
        <item x="52"/>
        <item x="192"/>
        <item x="407"/>
        <item x="117"/>
        <item x="396"/>
        <item x="424"/>
        <item x="72"/>
        <item x="5"/>
        <item x="598"/>
        <item x="430"/>
        <item x="421"/>
        <item x="283"/>
        <item x="329"/>
        <item x="386"/>
        <item x="111"/>
        <item x="224"/>
        <item x="132"/>
        <item x="20"/>
        <item x="402"/>
        <item x="284"/>
        <item x="33"/>
        <item x="339"/>
        <item x="566"/>
        <item x="314"/>
        <item x="271"/>
        <item x="591"/>
        <item x="216"/>
        <item x="186"/>
        <item x="205"/>
        <item x="96"/>
        <item x="404"/>
        <item x="167"/>
        <item x="140"/>
        <item x="68"/>
        <item x="472"/>
        <item x="509"/>
        <item x="217"/>
        <item x="115"/>
        <item x="247"/>
        <item x="597"/>
        <item x="89"/>
        <item x="328"/>
        <item x="249"/>
        <item x="135"/>
        <item x="273"/>
        <item x="427"/>
        <item x="83"/>
        <item x="398"/>
        <item x="121"/>
        <item x="625"/>
        <item x="418"/>
        <item x="615"/>
        <item x="189"/>
        <item x="351"/>
        <item x="549"/>
        <item x="297"/>
        <item x="51"/>
        <item x="252"/>
        <item x="372"/>
        <item x="432"/>
        <item x="499"/>
        <item x="55"/>
        <item x="204"/>
        <item x="456"/>
        <item x="130"/>
        <item x="63"/>
        <item x="233"/>
        <item x="178"/>
        <item x="305"/>
        <item x="447"/>
        <item x="280"/>
        <item x="298"/>
        <item x="183"/>
        <item x="363"/>
        <item x="389"/>
        <item x="561"/>
        <item x="572"/>
        <item x="522"/>
        <item x="547"/>
        <item x="310"/>
        <item x="195"/>
        <item x="165"/>
        <item x="67"/>
        <item x="453"/>
        <item x="8"/>
        <item x="175"/>
        <item x="556"/>
        <item x="446"/>
        <item x="580"/>
        <item x="191"/>
        <item x="168"/>
        <item x="383"/>
        <item x="258"/>
        <item x="211"/>
        <item x="188"/>
        <item x="79"/>
        <item x="610"/>
        <item x="544"/>
        <item x="6"/>
        <item x="272"/>
        <item x="540"/>
        <item x="431"/>
        <item x="184"/>
        <item x="494"/>
        <item x="254"/>
        <item x="88"/>
        <item x="118"/>
        <item x="531"/>
        <item x="163"/>
        <item x="498"/>
        <item x="318"/>
        <item x="395"/>
        <item x="266"/>
        <item x="160"/>
        <item x="40"/>
        <item x="496"/>
        <item x="311"/>
        <item x="495"/>
        <item x="590"/>
        <item x="380"/>
        <item x="41"/>
        <item x="223"/>
        <item x="226"/>
        <item x="302"/>
        <item x="98"/>
        <item x="341"/>
        <item x="73"/>
        <item x="479"/>
        <item x="90"/>
        <item x="45"/>
        <item x="47"/>
        <item x="144"/>
        <item x="257"/>
        <item x="623"/>
        <item x="438"/>
        <item x="562"/>
        <item x="248"/>
        <item x="483"/>
        <item x="577"/>
        <item x="114"/>
        <item x="21"/>
        <item x="399"/>
        <item x="198"/>
        <item x="376"/>
        <item x="575"/>
        <item x="506"/>
        <item x="307"/>
        <item x="574"/>
        <item x="382"/>
        <item x="357"/>
        <item x="317"/>
        <item x="129"/>
        <item x="517"/>
        <item x="112"/>
        <item x="548"/>
        <item x="321"/>
        <item x="620"/>
        <item x="622"/>
        <item x="80"/>
        <item x="322"/>
        <item x="543"/>
        <item x="48"/>
        <item x="462"/>
        <item x="612"/>
        <item x="379"/>
        <item x="276"/>
        <item x="194"/>
        <item x="611"/>
        <item x="466"/>
        <item x="203"/>
        <item x="600"/>
        <item x="503"/>
        <item x="120"/>
        <item x="108"/>
        <item x="535"/>
        <item x="413"/>
        <item x="84"/>
        <item x="550"/>
        <item x="215"/>
        <item x="378"/>
        <item x="155"/>
        <item x="32"/>
        <item x="433"/>
        <item x="502"/>
        <item x="281"/>
        <item x="123"/>
        <item x="619"/>
        <item x="156"/>
        <item x="538"/>
        <item x="614"/>
        <item x="353"/>
        <item x="331"/>
        <item x="262"/>
        <item x="567"/>
        <item x="529"/>
        <item x="344"/>
        <item x="2"/>
        <item x="29"/>
        <item x="435"/>
        <item x="287"/>
        <item x="54"/>
        <item x="420"/>
        <item x="17"/>
        <item x="282"/>
        <item x="347"/>
        <item x="213"/>
        <item x="343"/>
        <item x="28"/>
        <item x="560"/>
        <item x="512"/>
        <item x="202"/>
        <item x="371"/>
        <item x="327"/>
        <item x="107"/>
        <item x="448"/>
        <item x="238"/>
        <item x="482"/>
        <item x="231"/>
        <item x="422"/>
        <item x="133"/>
        <item x="530"/>
        <item x="268"/>
        <item x="426"/>
        <item x="200"/>
        <item x="392"/>
        <item x="91"/>
        <item x="241"/>
        <item x="286"/>
        <item x="263"/>
        <item x="334"/>
        <item x="412"/>
        <item x="440"/>
        <item x="128"/>
        <item x="570"/>
        <item x="3"/>
        <item x="583"/>
        <item x="149"/>
        <item x="65"/>
        <item x="626"/>
        <item x="245"/>
        <item x="31"/>
        <item x="375"/>
        <item x="197"/>
        <item x="303"/>
        <item x="584"/>
        <item x="361"/>
        <item x="162"/>
        <item x="452"/>
        <item x="428"/>
        <item x="406"/>
        <item x="485"/>
        <item x="553"/>
        <item x="316"/>
        <item x="330"/>
        <item x="488"/>
        <item x="455"/>
        <item x="285"/>
        <item x="278"/>
        <item x="27"/>
        <item x="366"/>
        <item x="94"/>
        <item x="11"/>
        <item x="244"/>
        <item x="225"/>
        <item x="605"/>
        <item x="181"/>
        <item x="578"/>
        <item x="336"/>
        <item x="492"/>
        <item x="122"/>
        <item x="374"/>
        <item x="137"/>
        <item x="141"/>
        <item x="532"/>
        <item x="62"/>
        <item x="100"/>
        <item x="419"/>
        <item x="411"/>
        <item x="505"/>
        <item x="236"/>
        <item x="434"/>
        <item x="106"/>
        <item x="500"/>
        <item x="628"/>
        <item x="159"/>
        <item x="320"/>
        <item x="473"/>
        <item x="586"/>
        <item x="196"/>
        <item x="501"/>
        <item x="335"/>
        <item x="232"/>
        <item x="390"/>
        <item x="474"/>
        <item x="265"/>
        <item x="486"/>
        <item x="49"/>
        <item x="526"/>
        <item x="537"/>
        <item x="410"/>
        <item x="515"/>
        <item x="525"/>
        <item x="439"/>
        <item x="228"/>
        <item x="313"/>
        <item x="449"/>
        <item x="555"/>
        <item x="429"/>
        <item x="46"/>
        <item x="524"/>
        <item x="219"/>
        <item x="253"/>
        <item x="308"/>
        <item x="212"/>
        <item x="42"/>
        <item x="468"/>
        <item x="364"/>
        <item x="369"/>
        <item x="174"/>
        <item x="480"/>
        <item x="164"/>
        <item x="26"/>
        <item x="148"/>
        <item x="143"/>
        <item x="35"/>
        <item x="528"/>
        <item x="595"/>
        <item x="134"/>
        <item x="442"/>
        <item x="342"/>
        <item x="609"/>
        <item x="138"/>
        <item x="193"/>
        <item x="240"/>
        <item x="602"/>
        <item x="176"/>
        <item x="613"/>
        <item x="337"/>
        <item x="243"/>
        <item x="606"/>
        <item x="400"/>
        <item x="218"/>
        <item x="616"/>
        <item x="487"/>
        <item x="417"/>
        <item x="381"/>
        <item x="208"/>
        <item x="601"/>
        <item x="150"/>
        <item x="7"/>
        <item x="423"/>
        <item x="116"/>
        <item x="92"/>
        <item x="301"/>
        <item x="39"/>
        <item x="558"/>
        <item x="359"/>
        <item x="269"/>
        <item x="16"/>
        <item x="461"/>
        <item x="199"/>
        <item x="229"/>
        <item x="470"/>
        <item x="153"/>
        <item x="38"/>
        <item x="350"/>
        <item x="235"/>
        <item x="296"/>
        <item x="444"/>
        <item x="4"/>
        <item x="179"/>
        <item x="152"/>
        <item x="13"/>
        <item x="201"/>
        <item x="373"/>
        <item x="274"/>
        <item x="291"/>
        <item x="385"/>
        <item x="95"/>
        <item x="608"/>
        <item x="1"/>
        <item x="405"/>
        <item x="469"/>
        <item x="356"/>
        <item x="443"/>
        <item x="546"/>
        <item x="81"/>
        <item x="43"/>
        <item x="599"/>
        <item x="596"/>
        <item x="354"/>
        <item x="414"/>
        <item t="default"/>
      </items>
    </pivotField>
    <pivotField compact="0" numFmtId="44" showAll="0">
      <items count="633">
        <item x="493"/>
        <item x="112"/>
        <item x="180"/>
        <item x="298"/>
        <item x="172"/>
        <item x="286"/>
        <item x="106"/>
        <item x="247"/>
        <item x="389"/>
        <item x="83"/>
        <item x="572"/>
        <item x="96"/>
        <item x="7"/>
        <item x="341"/>
        <item x="177"/>
        <item x="461"/>
        <item x="127"/>
        <item x="582"/>
        <item x="481"/>
        <item x="54"/>
        <item x="311"/>
        <item x="631"/>
        <item x="230"/>
        <item x="354"/>
        <item x="89"/>
        <item x="119"/>
        <item x="532"/>
        <item x="586"/>
        <item x="245"/>
        <item x="139"/>
        <item x="517"/>
        <item x="291"/>
        <item x="243"/>
        <item x="51"/>
        <item x="116"/>
        <item x="347"/>
        <item x="323"/>
        <item x="418"/>
        <item x="575"/>
        <item x="108"/>
        <item x="551"/>
        <item x="305"/>
        <item x="443"/>
        <item x="211"/>
        <item x="526"/>
        <item x="282"/>
        <item x="263"/>
        <item x="330"/>
        <item x="344"/>
        <item x="103"/>
        <item x="609"/>
        <item x="488"/>
        <item x="463"/>
        <item x="531"/>
        <item x="26"/>
        <item x="308"/>
        <item x="436"/>
        <item x="163"/>
        <item x="206"/>
        <item x="570"/>
        <item x="460"/>
        <item x="113"/>
        <item x="608"/>
        <item x="221"/>
        <item x="217"/>
        <item x="318"/>
        <item x="128"/>
        <item x="239"/>
        <item x="579"/>
        <item x="599"/>
        <item x="621"/>
        <item x="82"/>
        <item x="458"/>
        <item x="577"/>
        <item x="124"/>
        <item x="35"/>
        <item x="174"/>
        <item x="434"/>
        <item x="490"/>
        <item x="447"/>
        <item x="233"/>
        <item x="232"/>
        <item x="53"/>
        <item x="28"/>
        <item x="293"/>
        <item x="476"/>
        <item x="178"/>
        <item x="511"/>
        <item x="627"/>
        <item x="508"/>
        <item x="391"/>
        <item x="215"/>
        <item x="304"/>
        <item x="270"/>
        <item x="222"/>
        <item x="466"/>
        <item x="445"/>
        <item x="296"/>
        <item x="194"/>
        <item x="620"/>
        <item x="369"/>
        <item x="485"/>
        <item x="3"/>
        <item x="71"/>
        <item x="464"/>
        <item x="145"/>
        <item x="0"/>
        <item x="274"/>
        <item x="486"/>
        <item x="373"/>
        <item x="316"/>
        <item x="109"/>
        <item x="491"/>
        <item x="597"/>
        <item x="160"/>
        <item x="137"/>
        <item x="133"/>
        <item x="350"/>
        <item x="456"/>
        <item x="326"/>
        <item x="101"/>
        <item x="39"/>
        <item x="258"/>
        <item x="5"/>
        <item x="254"/>
        <item x="594"/>
        <item x="386"/>
        <item x="428"/>
        <item x="271"/>
        <item x="519"/>
        <item x="166"/>
        <item x="12"/>
        <item x="297"/>
        <item x="46"/>
        <item x="118"/>
        <item x="169"/>
        <item x="57"/>
        <item x="483"/>
        <item x="439"/>
        <item x="179"/>
        <item x="495"/>
        <item x="114"/>
        <item x="78"/>
        <item x="148"/>
        <item x="380"/>
        <item x="315"/>
        <item x="441"/>
        <item x="307"/>
        <item x="328"/>
        <item x="432"/>
        <item x="277"/>
        <item x="240"/>
        <item x="219"/>
        <item x="214"/>
        <item x="580"/>
        <item x="616"/>
        <item x="218"/>
        <item x="231"/>
        <item x="505"/>
        <item x="453"/>
        <item x="525"/>
        <item x="309"/>
        <item x="321"/>
        <item x="604"/>
        <item x="93"/>
        <item x="129"/>
        <item x="130"/>
        <item x="602"/>
        <item x="331"/>
        <item x="470"/>
        <item x="378"/>
        <item x="155"/>
        <item x="546"/>
        <item x="573"/>
        <item x="561"/>
        <item x="191"/>
        <item x="544"/>
        <item x="250"/>
        <item x="494"/>
        <item x="410"/>
        <item x="312"/>
        <item x="477"/>
        <item x="500"/>
        <item x="408"/>
        <item x="536"/>
        <item x="334"/>
        <item x="251"/>
        <item x="43"/>
        <item x="433"/>
        <item x="540"/>
        <item x="370"/>
        <item x="201"/>
        <item x="68"/>
        <item x="30"/>
        <item x="64"/>
        <item x="403"/>
        <item x="141"/>
        <item x="419"/>
        <item x="338"/>
        <item x="498"/>
        <item x="523"/>
        <item x="197"/>
        <item x="257"/>
        <item x="290"/>
        <item x="88"/>
        <item x="565"/>
        <item x="268"/>
        <item x="91"/>
        <item x="52"/>
        <item x="361"/>
        <item x="98"/>
        <item x="110"/>
        <item x="479"/>
        <item x="285"/>
        <item x="131"/>
        <item x="444"/>
        <item x="144"/>
        <item x="262"/>
        <item x="6"/>
        <item x="564"/>
        <item x="220"/>
        <item x="202"/>
        <item x="299"/>
        <item x="186"/>
        <item x="314"/>
        <item x="430"/>
        <item x="87"/>
        <item x="62"/>
        <item x="474"/>
        <item x="364"/>
        <item x="437"/>
        <item x="538"/>
        <item x="417"/>
        <item x="623"/>
        <item x="339"/>
        <item x="510"/>
        <item x="283"/>
        <item x="337"/>
        <item x="446"/>
        <item x="515"/>
        <item x="584"/>
        <item x="13"/>
        <item x="10"/>
        <item x="33"/>
        <item x="336"/>
        <item x="472"/>
        <item x="252"/>
        <item x="516"/>
        <item x="301"/>
        <item x="395"/>
        <item x="325"/>
        <item x="156"/>
        <item x="355"/>
        <item x="499"/>
        <item x="340"/>
        <item x="4"/>
        <item x="469"/>
        <item x="411"/>
        <item x="591"/>
        <item x="359"/>
        <item x="255"/>
        <item x="571"/>
        <item x="563"/>
        <item x="67"/>
        <item x="44"/>
        <item x="533"/>
        <item x="147"/>
        <item x="605"/>
        <item x="475"/>
        <item x="90"/>
        <item x="412"/>
        <item x="576"/>
        <item x="238"/>
        <item x="134"/>
        <item x="549"/>
        <item x="558"/>
        <item x="36"/>
        <item x="457"/>
        <item x="611"/>
        <item x="259"/>
        <item x="73"/>
        <item x="585"/>
        <item x="269"/>
        <item x="372"/>
        <item x="617"/>
        <item x="535"/>
        <item x="553"/>
        <item x="22"/>
        <item x="185"/>
        <item x="462"/>
        <item x="568"/>
        <item x="522"/>
        <item x="578"/>
        <item x="595"/>
        <item x="29"/>
        <item x="15"/>
        <item x="37"/>
        <item x="150"/>
        <item x="182"/>
        <item x="358"/>
        <item x="502"/>
        <item x="435"/>
        <item x="14"/>
        <item x="598"/>
        <item x="471"/>
        <item x="294"/>
        <item x="590"/>
        <item x="183"/>
        <item x="192"/>
        <item x="288"/>
        <item x="253"/>
        <item x="120"/>
        <item x="170"/>
        <item x="560"/>
        <item x="248"/>
        <item x="92"/>
        <item x="513"/>
        <item x="342"/>
        <item x="628"/>
        <item x="630"/>
        <item x="161"/>
        <item x="454"/>
        <item x="158"/>
        <item x="619"/>
        <item x="143"/>
        <item x="75"/>
        <item x="45"/>
        <item x="200"/>
        <item x="381"/>
        <item x="362"/>
        <item x="473"/>
        <item x="379"/>
        <item x="313"/>
        <item x="171"/>
        <item x="401"/>
        <item x="416"/>
        <item x="55"/>
        <item x="574"/>
        <item x="27"/>
        <item x="559"/>
        <item x="48"/>
        <item x="581"/>
        <item x="438"/>
        <item x="102"/>
        <item x="300"/>
        <item x="38"/>
        <item x="154"/>
        <item x="451"/>
        <item x="319"/>
        <item x="351"/>
        <item x="548"/>
        <item x="69"/>
        <item x="557"/>
        <item x="203"/>
        <item x="16"/>
        <item x="146"/>
        <item x="303"/>
        <item x="327"/>
        <item x="449"/>
        <item x="492"/>
        <item x="157"/>
        <item x="452"/>
        <item x="509"/>
        <item x="168"/>
        <item x="11"/>
        <item x="70"/>
        <item x="74"/>
        <item x="241"/>
        <item x="164"/>
        <item x="153"/>
        <item x="618"/>
        <item x="518"/>
        <item x="506"/>
        <item x="348"/>
        <item x="228"/>
        <item x="367"/>
        <item x="429"/>
        <item x="530"/>
        <item x="132"/>
        <item x="384"/>
        <item x="612"/>
        <item x="176"/>
        <item x="543"/>
        <item x="450"/>
        <item x="24"/>
        <item x="125"/>
        <item x="360"/>
        <item x="279"/>
        <item x="352"/>
        <item x="404"/>
        <item x="440"/>
        <item x="349"/>
        <item x="600"/>
        <item x="193"/>
        <item x="346"/>
        <item x="320"/>
        <item x="375"/>
        <item x="190"/>
        <item x="504"/>
        <item x="151"/>
        <item x="487"/>
        <item x="94"/>
        <item x="324"/>
        <item x="244"/>
        <item x="19"/>
        <item x="592"/>
        <item x="204"/>
        <item x="317"/>
        <item x="284"/>
        <item x="388"/>
        <item x="402"/>
        <item x="624"/>
        <item x="184"/>
        <item x="162"/>
        <item x="40"/>
        <item x="229"/>
        <item x="272"/>
        <item x="589"/>
        <item x="363"/>
        <item x="207"/>
        <item x="425"/>
        <item x="550"/>
        <item x="478"/>
        <item x="365"/>
        <item x="59"/>
        <item x="524"/>
        <item x="520"/>
        <item x="126"/>
        <item x="287"/>
        <item x="18"/>
        <item x="629"/>
        <item x="189"/>
        <item x="225"/>
        <item x="66"/>
        <item x="332"/>
        <item x="273"/>
        <item x="527"/>
        <item x="1"/>
        <item x="95"/>
        <item x="216"/>
        <item x="135"/>
        <item x="224"/>
        <item x="210"/>
        <item x="280"/>
        <item x="152"/>
        <item x="610"/>
        <item x="420"/>
        <item x="281"/>
        <item x="266"/>
        <item x="77"/>
        <item x="377"/>
        <item x="400"/>
        <item x="260"/>
        <item x="79"/>
        <item x="405"/>
        <item x="392"/>
        <item x="181"/>
        <item x="503"/>
        <item x="497"/>
        <item x="596"/>
        <item x="393"/>
        <item x="107"/>
        <item x="539"/>
        <item x="382"/>
        <item x="292"/>
        <item x="198"/>
        <item x="603"/>
        <item x="383"/>
        <item x="455"/>
        <item x="534"/>
        <item x="427"/>
        <item x="56"/>
        <item x="105"/>
        <item x="385"/>
        <item x="554"/>
        <item x="387"/>
        <item x="212"/>
        <item x="567"/>
        <item x="552"/>
        <item x="468"/>
        <item x="278"/>
        <item x="399"/>
        <item x="60"/>
        <item x="357"/>
        <item x="205"/>
        <item x="81"/>
        <item x="333"/>
        <item x="85"/>
        <item x="111"/>
        <item x="555"/>
        <item x="562"/>
        <item x="413"/>
        <item x="223"/>
        <item x="99"/>
        <item x="431"/>
        <item x="397"/>
        <item x="356"/>
        <item x="138"/>
        <item x="209"/>
        <item x="421"/>
        <item x="448"/>
        <item x="41"/>
        <item x="265"/>
        <item x="528"/>
        <item x="606"/>
        <item x="249"/>
        <item x="371"/>
        <item x="480"/>
        <item x="159"/>
        <item x="58"/>
        <item x="17"/>
        <item x="242"/>
        <item x="97"/>
        <item x="376"/>
        <item x="343"/>
        <item x="501"/>
        <item x="587"/>
        <item x="353"/>
        <item x="566"/>
        <item x="63"/>
        <item x="165"/>
        <item x="235"/>
        <item x="227"/>
        <item x="31"/>
        <item x="208"/>
        <item x="593"/>
        <item x="100"/>
        <item x="414"/>
        <item x="541"/>
        <item x="142"/>
        <item x="187"/>
        <item x="173"/>
        <item x="459"/>
        <item x="302"/>
        <item x="267"/>
        <item x="426"/>
        <item x="289"/>
        <item x="23"/>
        <item x="368"/>
        <item x="521"/>
        <item x="482"/>
        <item x="415"/>
        <item x="335"/>
        <item x="537"/>
        <item x="496"/>
        <item x="366"/>
        <item x="8"/>
        <item x="394"/>
        <item x="149"/>
        <item x="121"/>
        <item x="547"/>
        <item x="322"/>
        <item x="65"/>
        <item x="49"/>
        <item x="545"/>
        <item x="484"/>
        <item x="234"/>
        <item x="398"/>
        <item x="422"/>
        <item x="615"/>
        <item x="199"/>
        <item x="613"/>
        <item x="21"/>
        <item x="9"/>
        <item x="507"/>
        <item x="188"/>
        <item x="465"/>
        <item x="601"/>
        <item x="276"/>
        <item x="236"/>
        <item x="622"/>
        <item x="626"/>
        <item x="625"/>
        <item x="246"/>
        <item x="226"/>
        <item x="406"/>
        <item x="442"/>
        <item x="295"/>
        <item x="123"/>
        <item x="237"/>
        <item x="86"/>
        <item x="588"/>
        <item x="583"/>
        <item x="542"/>
        <item x="329"/>
        <item x="72"/>
        <item x="195"/>
        <item x="512"/>
        <item x="117"/>
        <item x="76"/>
        <item x="122"/>
        <item x="42"/>
        <item x="396"/>
        <item x="529"/>
        <item x="310"/>
        <item x="104"/>
        <item x="196"/>
        <item x="569"/>
        <item x="467"/>
        <item x="80"/>
        <item x="275"/>
        <item x="136"/>
        <item x="175"/>
        <item x="409"/>
        <item x="614"/>
        <item x="47"/>
        <item x="84"/>
        <item x="514"/>
        <item x="34"/>
        <item x="407"/>
        <item x="556"/>
        <item x="213"/>
        <item x="306"/>
        <item x="50"/>
        <item x="264"/>
        <item x="2"/>
        <item x="32"/>
        <item x="140"/>
        <item x="607"/>
        <item x="489"/>
        <item x="61"/>
        <item x="256"/>
        <item x="261"/>
        <item x="115"/>
        <item x="424"/>
        <item x="167"/>
        <item x="374"/>
        <item x="390"/>
        <item x="423"/>
        <item x="25"/>
        <item x="20"/>
        <item x="345"/>
        <item t="default"/>
      </items>
    </pivotField>
    <pivotField compact="0" numFmtId="44" showAll="0">
      <items count="631">
        <item x="615"/>
        <item x="2"/>
        <item x="58"/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numFmtId="44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631">
        <item x="297"/>
        <item x="112"/>
        <item x="179"/>
        <item x="285"/>
        <item x="171"/>
        <item x="491"/>
        <item x="106"/>
        <item x="96"/>
        <item x="176"/>
        <item x="246"/>
        <item x="54"/>
        <item x="388"/>
        <item x="83"/>
        <item x="127"/>
        <item x="629"/>
        <item x="7"/>
        <item x="570"/>
        <item x="229"/>
        <item x="116"/>
        <item x="310"/>
        <item x="459"/>
        <item x="322"/>
        <item x="530"/>
        <item x="340"/>
        <item x="89"/>
        <item x="139"/>
        <item x="580"/>
        <item x="119"/>
        <item x="479"/>
        <item x="262"/>
        <item x="51"/>
        <item x="281"/>
        <item x="573"/>
        <item x="524"/>
        <item x="290"/>
        <item x="242"/>
        <item x="584"/>
        <item x="607"/>
        <item x="353"/>
        <item x="210"/>
        <item x="529"/>
        <item x="515"/>
        <item x="346"/>
        <item x="244"/>
        <item x="417"/>
        <item x="461"/>
        <item x="108"/>
        <item x="486"/>
        <item x="26"/>
        <item x="205"/>
        <item x="433"/>
        <item x="442"/>
        <item x="35"/>
        <item x="458"/>
        <item x="549"/>
        <item x="304"/>
        <item x="113"/>
        <item x="474"/>
        <item x="307"/>
        <item x="329"/>
        <item x="317"/>
        <item x="220"/>
        <item x="606"/>
        <item x="53"/>
        <item x="103"/>
        <item x="343"/>
        <item x="173"/>
        <item x="114"/>
        <item x="372"/>
        <item x="3"/>
        <item x="238"/>
        <item x="597"/>
        <item x="431"/>
        <item x="435"/>
        <item x="124"/>
        <item x="568"/>
        <item x="483"/>
        <item x="517"/>
        <item x="162"/>
        <item x="488"/>
        <item x="446"/>
        <item x="214"/>
        <item x="368"/>
        <item x="231"/>
        <item x="577"/>
        <item x="509"/>
        <item x="269"/>
        <item x="101"/>
        <item x="216"/>
        <item x="575"/>
        <item x="109"/>
        <item x="475"/>
        <item x="128"/>
        <item x="193"/>
        <item x="538"/>
        <item x="52"/>
        <item x="82"/>
        <item x="165"/>
        <item x="137"/>
        <item x="427"/>
        <item x="360"/>
        <item x="232"/>
        <item x="178"/>
        <item x="618"/>
        <item x="619"/>
        <item x="456"/>
        <item x="98"/>
        <item x="320"/>
        <item x="506"/>
        <item x="28"/>
        <item x="337"/>
        <item x="39"/>
        <item x="349"/>
        <item x="295"/>
        <item x="131"/>
        <item x="315"/>
        <item x="438"/>
        <item x="578"/>
        <item x="481"/>
        <item x="444"/>
        <item x="267"/>
        <item x="221"/>
        <item x="177"/>
        <item x="217"/>
        <item x="296"/>
        <item x="292"/>
        <item x="159"/>
        <item x="155"/>
        <item x="559"/>
        <item x="407"/>
        <item x="133"/>
        <item x="303"/>
        <item x="168"/>
        <item x="270"/>
        <item x="379"/>
        <item x="625"/>
        <item x="73"/>
        <item x="12"/>
        <item x="46"/>
        <item x="258"/>
        <item x="306"/>
        <item x="390"/>
        <item x="150"/>
        <item x="440"/>
        <item x="600"/>
        <item x="134"/>
        <item x="298"/>
        <item x="464"/>
        <item x="5"/>
        <item x="385"/>
        <item x="588"/>
        <item x="558"/>
        <item x="484"/>
        <item x="68"/>
        <item x="239"/>
        <item x="462"/>
        <item x="0"/>
        <item x="325"/>
        <item x="71"/>
        <item x="118"/>
        <item x="200"/>
        <item x="273"/>
        <item x="145"/>
        <item x="14"/>
        <item x="30"/>
        <item x="492"/>
        <item x="534"/>
        <item x="489"/>
        <item x="132"/>
        <item x="603"/>
        <item x="87"/>
        <item x="257"/>
        <item x="11"/>
        <item x="125"/>
        <item x="477"/>
        <item x="592"/>
        <item x="10"/>
        <item x="57"/>
        <item x="78"/>
        <item x="452"/>
        <item x="615"/>
        <item x="595"/>
        <item x="562"/>
        <item x="146"/>
        <item x="284"/>
        <item x="369"/>
        <item x="148"/>
        <item x="313"/>
        <item x="314"/>
        <item x="490"/>
        <item x="256"/>
        <item x="493"/>
        <item x="571"/>
        <item x="64"/>
        <item x="455"/>
        <item x="27"/>
        <item x="253"/>
        <item x="1"/>
        <item x="363"/>
        <item x="308"/>
        <item x="213"/>
        <item x="192"/>
        <item x="416"/>
        <item x="4"/>
        <item x="357"/>
        <item x="251"/>
        <item x="418"/>
        <item x="410"/>
        <item x="311"/>
        <item x="523"/>
        <item x="508"/>
        <item x="541"/>
        <item x="394"/>
        <item x="152"/>
        <item x="6"/>
        <item x="15"/>
        <item x="196"/>
        <item x="621"/>
        <item x="574"/>
        <item x="237"/>
        <item x="409"/>
        <item x="384"/>
        <item x="403"/>
        <item x="199"/>
        <item x="330"/>
        <item x="191"/>
        <item x="184"/>
        <item x="499"/>
        <item x="276"/>
        <item x="383"/>
        <item x="572"/>
        <item x="415"/>
        <item x="614"/>
        <item x="268"/>
        <item x="434"/>
        <item x="91"/>
        <item x="250"/>
        <item x="468"/>
        <item x="228"/>
        <item x="141"/>
        <item x="264"/>
        <item x="36"/>
        <item x="243"/>
        <item x="324"/>
        <item x="230"/>
        <item x="218"/>
        <item x="589"/>
        <item x="147"/>
        <item x="327"/>
        <item x="460"/>
        <item x="551"/>
        <item x="602"/>
        <item x="498"/>
        <item x="190"/>
        <item x="93"/>
        <item x="503"/>
        <item x="387"/>
        <item x="201"/>
        <item x="514"/>
        <item x="495"/>
        <item x="55"/>
        <item x="624"/>
        <item x="520"/>
        <item x="302"/>
        <item x="432"/>
        <item x="513"/>
        <item x="288"/>
        <item x="44"/>
        <item x="569"/>
        <item x="144"/>
        <item x="467"/>
        <item x="129"/>
        <item x="247"/>
        <item x="617"/>
        <item x="249"/>
        <item x="185"/>
        <item x="110"/>
        <item x="130"/>
        <item x="610"/>
        <item x="443"/>
        <item x="377"/>
        <item x="16"/>
        <item x="261"/>
        <item x="448"/>
        <item x="544"/>
        <item x="528"/>
        <item x="511"/>
        <item x="293"/>
        <item x="616"/>
        <item x="223"/>
        <item x="94"/>
        <item x="350"/>
        <item x="282"/>
        <item x="547"/>
        <item x="75"/>
        <item x="88"/>
        <item x="576"/>
        <item x="582"/>
        <item x="380"/>
        <item x="362"/>
        <item x="400"/>
        <item x="583"/>
        <item x="43"/>
        <item x="333"/>
        <item x="542"/>
        <item x="65"/>
        <item x="496"/>
        <item x="332"/>
        <item x="411"/>
        <item x="316"/>
        <item x="318"/>
        <item x="401"/>
        <item x="521"/>
        <item x="402"/>
        <item x="374"/>
        <item x="364"/>
        <item x="502"/>
        <item x="160"/>
        <item x="169"/>
        <item x="437"/>
        <item x="58"/>
        <item x="67"/>
        <item x="436"/>
        <item x="563"/>
        <item x="66"/>
        <item x="289"/>
        <item x="188"/>
        <item x="22"/>
        <item x="62"/>
        <item x="215"/>
        <item x="546"/>
        <item x="151"/>
        <item x="70"/>
        <item x="599"/>
        <item x="531"/>
        <item x="382"/>
        <item x="90"/>
        <item x="85"/>
        <item x="473"/>
        <item x="399"/>
        <item x="219"/>
        <item x="189"/>
        <item x="336"/>
        <item x="445"/>
        <item x="33"/>
        <item x="354"/>
        <item x="338"/>
        <item x="429"/>
        <item x="211"/>
        <item x="240"/>
        <item x="161"/>
        <item x="472"/>
        <item x="74"/>
        <item x="154"/>
        <item x="183"/>
        <item x="596"/>
        <item x="300"/>
        <item x="335"/>
        <item x="182"/>
        <item x="358"/>
        <item x="470"/>
        <item x="406"/>
        <item x="105"/>
        <item x="186"/>
        <item x="167"/>
        <item x="38"/>
        <item x="45"/>
        <item x="604"/>
        <item x="92"/>
        <item x="591"/>
        <item x="326"/>
        <item x="536"/>
        <item x="525"/>
        <item x="299"/>
        <item x="608"/>
        <item x="234"/>
        <item x="123"/>
        <item x="626"/>
        <item x="271"/>
        <item x="59"/>
        <item x="13"/>
        <item x="396"/>
        <item x="552"/>
        <item x="351"/>
        <item x="381"/>
        <item x="72"/>
        <item x="227"/>
        <item x="2"/>
        <item x="197"/>
        <item x="143"/>
        <item x="389"/>
        <item x="556"/>
        <item x="226"/>
        <item x="422"/>
        <item x="312"/>
        <item x="81"/>
        <item x="518"/>
        <item x="163"/>
        <item x="283"/>
        <item x="370"/>
        <item x="564"/>
        <item x="202"/>
        <item x="620"/>
        <item x="533"/>
        <item x="195"/>
        <item x="453"/>
        <item x="371"/>
        <item x="40"/>
        <item x="471"/>
        <item x="233"/>
        <item x="426"/>
        <item x="287"/>
        <item x="526"/>
        <item x="609"/>
        <item x="386"/>
        <item x="376"/>
        <item x="504"/>
        <item x="516"/>
        <item x="497"/>
        <item x="136"/>
        <item x="339"/>
        <item x="398"/>
        <item x="142"/>
        <item x="561"/>
        <item x="359"/>
        <item x="274"/>
        <item x="156"/>
        <item x="248"/>
        <item x="557"/>
        <item x="29"/>
        <item x="254"/>
        <item x="500"/>
        <item x="86"/>
        <item x="122"/>
        <item x="392"/>
        <item x="420"/>
        <item x="594"/>
        <item x="419"/>
        <item x="543"/>
        <item x="585"/>
        <item x="37"/>
        <item x="405"/>
        <item x="41"/>
        <item x="235"/>
        <item x="272"/>
        <item x="361"/>
        <item x="510"/>
        <item x="593"/>
        <item x="49"/>
        <item x="241"/>
        <item x="31"/>
        <item x="111"/>
        <item x="598"/>
        <item x="207"/>
        <item x="84"/>
        <item x="252"/>
        <item x="341"/>
        <item x="48"/>
        <item x="566"/>
        <item x="560"/>
        <item x="469"/>
        <item x="126"/>
        <item x="166"/>
        <item x="628"/>
        <item x="138"/>
        <item x="507"/>
        <item x="457"/>
        <item x="69"/>
        <item x="97"/>
        <item x="613"/>
        <item x="378"/>
        <item x="60"/>
        <item x="63"/>
        <item x="181"/>
        <item x="175"/>
        <item x="501"/>
        <item x="482"/>
        <item x="425"/>
        <item x="522"/>
        <item x="194"/>
        <item x="102"/>
        <item x="120"/>
        <item x="408"/>
        <item x="555"/>
        <item x="157"/>
        <item x="347"/>
        <item x="305"/>
        <item x="263"/>
        <item x="79"/>
        <item x="99"/>
        <item x="342"/>
        <item x="550"/>
        <item x="345"/>
        <item x="404"/>
        <item x="164"/>
        <item x="170"/>
        <item x="208"/>
        <item x="579"/>
        <item x="278"/>
        <item x="259"/>
        <item x="301"/>
        <item x="454"/>
        <item x="485"/>
        <item x="428"/>
        <item x="24"/>
        <item x="77"/>
        <item x="450"/>
        <item x="291"/>
        <item x="565"/>
        <item x="352"/>
        <item x="451"/>
        <item x="449"/>
        <item x="391"/>
        <item x="153"/>
        <item x="19"/>
        <item x="279"/>
        <item x="466"/>
        <item x="465"/>
        <item x="375"/>
        <item x="587"/>
        <item x="356"/>
        <item x="180"/>
        <item x="540"/>
        <item x="447"/>
        <item x="245"/>
        <item x="439"/>
        <item x="275"/>
        <item x="107"/>
        <item x="140"/>
        <item x="203"/>
        <item x="187"/>
        <item x="172"/>
        <item x="622"/>
        <item x="348"/>
        <item x="366"/>
        <item x="581"/>
        <item x="9"/>
        <item x="537"/>
        <item x="424"/>
        <item x="135"/>
        <item x="277"/>
        <item x="590"/>
        <item x="209"/>
        <item x="18"/>
        <item x="548"/>
        <item x="627"/>
        <item x="149"/>
        <item x="319"/>
        <item x="331"/>
        <item x="355"/>
        <item x="204"/>
        <item x="545"/>
        <item x="266"/>
        <item x="95"/>
        <item x="323"/>
        <item x="265"/>
        <item x="412"/>
        <item x="224"/>
        <item x="8"/>
        <item x="476"/>
        <item x="158"/>
        <item x="23"/>
        <item x="255"/>
        <item x="206"/>
        <item x="286"/>
        <item x="260"/>
        <item x="554"/>
        <item x="25"/>
        <item x="61"/>
        <item x="505"/>
        <item x="50"/>
        <item x="32"/>
        <item x="623"/>
        <item x="198"/>
        <item x="535"/>
        <item x="463"/>
        <item x="212"/>
        <item x="225"/>
        <item x="17"/>
        <item x="414"/>
        <item x="280"/>
        <item x="478"/>
        <item x="121"/>
        <item x="334"/>
        <item x="601"/>
        <item x="236"/>
        <item x="80"/>
        <item x="430"/>
        <item x="480"/>
        <item x="487"/>
        <item x="344"/>
        <item x="612"/>
        <item x="56"/>
        <item x="539"/>
        <item x="532"/>
        <item x="567"/>
        <item x="397"/>
        <item x="421"/>
        <item x="21"/>
        <item x="393"/>
        <item x="222"/>
        <item x="553"/>
        <item x="104"/>
        <item x="494"/>
        <item x="365"/>
        <item x="512"/>
        <item x="34"/>
        <item x="586"/>
        <item x="367"/>
        <item x="413"/>
        <item x="519"/>
        <item x="100"/>
        <item x="395"/>
        <item x="76"/>
        <item x="321"/>
        <item x="309"/>
        <item x="328"/>
        <item x="423"/>
        <item x="42"/>
        <item x="611"/>
        <item x="174"/>
        <item x="294"/>
        <item x="527"/>
        <item x="441"/>
        <item x="115"/>
        <item x="117"/>
        <item x="373"/>
        <item x="47"/>
        <item x="605"/>
        <item x="20"/>
        <item t="default"/>
      </items>
    </pivotField>
    <pivotField compact="0" showAll="0">
      <items count="4">
        <item x="2"/>
        <item x="0"/>
        <item x="1"/>
        <item t="default"/>
      </items>
    </pivotField>
    <pivotField dataField="1" compact="0" numFmtId="184" showAll="0">
      <items count="229">
        <item x="5"/>
        <item x="140"/>
        <item x="10"/>
        <item x="20"/>
        <item x="99"/>
        <item x="19"/>
        <item x="84"/>
        <item x="170"/>
        <item x="212"/>
        <item x="108"/>
        <item x="205"/>
        <item x="113"/>
        <item x="106"/>
        <item x="118"/>
        <item x="109"/>
        <item x="179"/>
        <item x="134"/>
        <item x="71"/>
        <item x="8"/>
        <item x="195"/>
        <item x="76"/>
        <item x="42"/>
        <item x="32"/>
        <item x="16"/>
        <item x="188"/>
        <item x="208"/>
        <item x="174"/>
        <item x="89"/>
        <item x="221"/>
        <item x="107"/>
        <item x="215"/>
        <item x="58"/>
        <item x="216"/>
        <item x="54"/>
        <item x="130"/>
        <item x="114"/>
        <item x="223"/>
        <item x="133"/>
        <item x="121"/>
        <item x="92"/>
        <item x="193"/>
        <item x="163"/>
        <item x="227"/>
        <item x="96"/>
        <item x="201"/>
        <item x="176"/>
        <item x="72"/>
        <item x="143"/>
        <item x="55"/>
        <item x="90"/>
        <item x="68"/>
        <item x="88"/>
        <item x="3"/>
        <item x="93"/>
        <item x="13"/>
        <item x="43"/>
        <item x="171"/>
        <item x="202"/>
        <item x="117"/>
        <item x="164"/>
        <item x="226"/>
        <item x="104"/>
        <item x="200"/>
        <item x="26"/>
        <item x="147"/>
        <item x="24"/>
        <item x="167"/>
        <item x="25"/>
        <item x="168"/>
        <item x="119"/>
        <item x="77"/>
        <item x="142"/>
        <item x="12"/>
        <item x="148"/>
        <item x="73"/>
        <item x="224"/>
        <item x="199"/>
        <item x="74"/>
        <item x="165"/>
        <item x="27"/>
        <item x="4"/>
        <item x="172"/>
        <item x="67"/>
        <item x="52"/>
        <item x="192"/>
        <item x="105"/>
        <item x="86"/>
        <item x="14"/>
        <item x="46"/>
        <item x="95"/>
        <item x="0"/>
        <item x="139"/>
        <item x="60"/>
        <item x="158"/>
        <item x="144"/>
        <item x="85"/>
        <item x="45"/>
        <item x="18"/>
        <item x="173"/>
        <item x="153"/>
        <item x="82"/>
        <item x="213"/>
        <item x="22"/>
        <item x="38"/>
        <item x="110"/>
        <item x="137"/>
        <item x="31"/>
        <item x="49"/>
        <item x="2"/>
        <item x="191"/>
        <item x="112"/>
        <item x="61"/>
        <item x="157"/>
        <item x="29"/>
        <item x="81"/>
        <item x="159"/>
        <item x="23"/>
        <item x="78"/>
        <item x="169"/>
        <item x="56"/>
        <item x="17"/>
        <item x="41"/>
        <item x="180"/>
        <item x="34"/>
        <item x="6"/>
        <item x="135"/>
        <item x="9"/>
        <item x="209"/>
        <item x="102"/>
        <item x="136"/>
        <item x="125"/>
        <item x="69"/>
        <item x="131"/>
        <item x="161"/>
        <item x="87"/>
        <item x="181"/>
        <item x="129"/>
        <item x="75"/>
        <item x="64"/>
        <item x="196"/>
        <item x="156"/>
        <item x="211"/>
        <item x="150"/>
        <item x="21"/>
        <item x="36"/>
        <item x="189"/>
        <item x="225"/>
        <item x="145"/>
        <item x="122"/>
        <item x="155"/>
        <item x="30"/>
        <item x="166"/>
        <item x="120"/>
        <item x="94"/>
        <item x="79"/>
        <item x="111"/>
        <item x="35"/>
        <item x="15"/>
        <item x="50"/>
        <item x="57"/>
        <item x="63"/>
        <item x="37"/>
        <item x="70"/>
        <item x="51"/>
        <item x="197"/>
        <item x="98"/>
        <item x="7"/>
        <item x="124"/>
        <item x="115"/>
        <item x="47"/>
        <item x="138"/>
        <item x="91"/>
        <item x="53"/>
        <item x="44"/>
        <item x="162"/>
        <item x="222"/>
        <item x="219"/>
        <item x="182"/>
        <item x="126"/>
        <item x="123"/>
        <item x="207"/>
        <item x="66"/>
        <item x="154"/>
        <item x="203"/>
        <item x="218"/>
        <item x="97"/>
        <item x="217"/>
        <item x="152"/>
        <item x="204"/>
        <item x="83"/>
        <item x="214"/>
        <item x="127"/>
        <item x="146"/>
        <item x="128"/>
        <item x="1"/>
        <item x="149"/>
        <item x="177"/>
        <item x="183"/>
        <item x="65"/>
        <item x="28"/>
        <item x="103"/>
        <item x="220"/>
        <item x="11"/>
        <item x="116"/>
        <item x="48"/>
        <item x="194"/>
        <item x="62"/>
        <item x="132"/>
        <item x="101"/>
        <item x="187"/>
        <item x="151"/>
        <item x="100"/>
        <item x="141"/>
        <item x="178"/>
        <item x="190"/>
        <item x="80"/>
        <item x="186"/>
        <item x="39"/>
        <item x="210"/>
        <item x="40"/>
        <item x="184"/>
        <item x="206"/>
        <item x="160"/>
        <item x="33"/>
        <item x="59"/>
        <item x="175"/>
        <item x="198"/>
        <item x="185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204">
        <item x="5"/>
        <item x="130"/>
        <item x="10"/>
        <item x="20"/>
        <item x="93"/>
        <item x="19"/>
        <item x="78"/>
        <item x="157"/>
        <item x="188"/>
        <item x="100"/>
        <item x="183"/>
        <item x="105"/>
        <item x="98"/>
        <item x="109"/>
        <item x="101"/>
        <item x="164"/>
        <item x="124"/>
        <item x="66"/>
        <item x="8"/>
        <item x="174"/>
        <item x="71"/>
        <item x="40"/>
        <item x="32"/>
        <item x="16"/>
        <item x="169"/>
        <item x="185"/>
        <item x="161"/>
        <item x="83"/>
        <item x="196"/>
        <item x="99"/>
        <item x="190"/>
        <item x="55"/>
        <item x="191"/>
        <item x="51"/>
        <item x="121"/>
        <item x="106"/>
        <item x="198"/>
        <item x="123"/>
        <item x="112"/>
        <item x="86"/>
        <item x="173"/>
        <item x="150"/>
        <item x="202"/>
        <item x="90"/>
        <item x="179"/>
        <item x="162"/>
        <item x="67"/>
        <item x="132"/>
        <item x="52"/>
        <item x="84"/>
        <item x="63"/>
        <item x="82"/>
        <item x="3"/>
        <item x="87"/>
        <item x="13"/>
        <item x="41"/>
        <item x="158"/>
        <item x="180"/>
        <item x="108"/>
        <item x="151"/>
        <item x="201"/>
        <item x="96"/>
        <item x="178"/>
        <item x="26"/>
        <item x="136"/>
        <item x="24"/>
        <item x="154"/>
        <item x="25"/>
        <item x="155"/>
        <item x="110"/>
        <item x="72"/>
        <item x="131"/>
        <item x="12"/>
        <item x="137"/>
        <item x="68"/>
        <item x="199"/>
        <item x="177"/>
        <item x="69"/>
        <item x="152"/>
        <item x="27"/>
        <item x="4"/>
        <item x="159"/>
        <item x="62"/>
        <item x="49"/>
        <item x="172"/>
        <item x="97"/>
        <item x="80"/>
        <item x="14"/>
        <item x="44"/>
        <item x="89"/>
        <item x="0"/>
        <item x="129"/>
        <item x="56"/>
        <item x="146"/>
        <item x="133"/>
        <item x="79"/>
        <item x="43"/>
        <item x="18"/>
        <item x="160"/>
        <item x="141"/>
        <item x="76"/>
        <item x="189"/>
        <item x="22"/>
        <item x="38"/>
        <item x="102"/>
        <item x="127"/>
        <item x="31"/>
        <item x="46"/>
        <item x="2"/>
        <item x="171"/>
        <item x="104"/>
        <item x="57"/>
        <item x="145"/>
        <item x="29"/>
        <item x="75"/>
        <item x="147"/>
        <item x="23"/>
        <item x="73"/>
        <item x="156"/>
        <item x="53"/>
        <item x="17"/>
        <item x="39"/>
        <item x="165"/>
        <item x="34"/>
        <item x="6"/>
        <item x="125"/>
        <item x="9"/>
        <item x="186"/>
        <item x="94"/>
        <item x="126"/>
        <item x="116"/>
        <item x="64"/>
        <item x="122"/>
        <item x="148"/>
        <item x="81"/>
        <item x="166"/>
        <item x="120"/>
        <item x="70"/>
        <item x="59"/>
        <item x="175"/>
        <item x="144"/>
        <item x="187"/>
        <item x="139"/>
        <item x="21"/>
        <item x="36"/>
        <item x="170"/>
        <item x="200"/>
        <item x="134"/>
        <item x="113"/>
        <item x="143"/>
        <item x="30"/>
        <item x="153"/>
        <item x="111"/>
        <item x="88"/>
        <item x="74"/>
        <item x="103"/>
        <item x="35"/>
        <item x="15"/>
        <item x="47"/>
        <item x="54"/>
        <item x="58"/>
        <item x="37"/>
        <item x="65"/>
        <item x="48"/>
        <item x="176"/>
        <item x="92"/>
        <item x="7"/>
        <item x="115"/>
        <item x="107"/>
        <item x="45"/>
        <item x="128"/>
        <item x="85"/>
        <item x="50"/>
        <item x="42"/>
        <item x="149"/>
        <item x="197"/>
        <item x="194"/>
        <item x="167"/>
        <item x="117"/>
        <item x="114"/>
        <item x="184"/>
        <item x="61"/>
        <item x="142"/>
        <item x="181"/>
        <item x="193"/>
        <item x="91"/>
        <item x="192"/>
        <item x="140"/>
        <item x="182"/>
        <item x="77"/>
        <item x="33"/>
        <item x="118"/>
        <item x="135"/>
        <item x="119"/>
        <item x="1"/>
        <item x="138"/>
        <item x="163"/>
        <item x="168"/>
        <item x="60"/>
        <item x="28"/>
        <item x="95"/>
        <item x="195"/>
        <item x="11"/>
        <item t="default"/>
      </items>
    </pivotField>
    <pivotField compact="0" numFmtId="183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showAll="0">
      <items count="53">
        <item x="33"/>
        <item x="28"/>
        <item x="6"/>
        <item x="27"/>
        <item x="8"/>
        <item x="5"/>
        <item x="15"/>
        <item x="0"/>
        <item x="11"/>
        <item x="21"/>
        <item x="2"/>
        <item x="20"/>
        <item x="16"/>
        <item x="4"/>
        <item x="13"/>
        <item x="17"/>
        <item x="7"/>
        <item x="14"/>
        <item x="10"/>
        <item x="42"/>
        <item x="3"/>
        <item x="9"/>
        <item x="22"/>
        <item x="30"/>
        <item x="29"/>
        <item x="19"/>
        <item x="12"/>
        <item x="51"/>
        <item x="31"/>
        <item x="1"/>
        <item x="48"/>
        <item x="49"/>
        <item x="45"/>
        <item x="46"/>
        <item x="38"/>
        <item x="18"/>
        <item x="23"/>
        <item x="32"/>
        <item x="26"/>
        <item x="39"/>
        <item x="47"/>
        <item x="44"/>
        <item x="34"/>
        <item x="37"/>
        <item x="36"/>
        <item x="35"/>
        <item x="25"/>
        <item x="43"/>
        <item x="50"/>
        <item x="24"/>
        <item x="40"/>
        <item x="41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51"/>
        <item x="247"/>
        <item x="531"/>
        <item x="89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41"/>
        <item x="354"/>
        <item x="139"/>
        <item x="114"/>
        <item x="490"/>
        <item x="305"/>
        <item x="87"/>
        <item x="108"/>
        <item x="460"/>
        <item x="26"/>
        <item x="211"/>
        <item x="582"/>
        <item x="464"/>
        <item x="551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137"/>
        <item x="258"/>
        <item x="193"/>
        <item x="598"/>
        <item x="131"/>
        <item x="179"/>
        <item x="74"/>
        <item x="240"/>
        <item x="222"/>
        <item x="369"/>
        <item x="59"/>
        <item x="571"/>
        <item x="201"/>
        <item x="408"/>
        <item x="495"/>
        <item x="543"/>
        <item x="481"/>
        <item x="57"/>
        <item x="361"/>
        <item x="546"/>
        <item x="186"/>
        <item x="334"/>
        <item x="0"/>
        <item x="79"/>
        <item x="12"/>
        <item x="314"/>
        <item x="627"/>
        <item x="483"/>
        <item x="486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447"/>
        <item x="333"/>
        <item x="161"/>
        <item x="593"/>
        <item x="118"/>
        <item x="52"/>
        <item x="231"/>
        <item x="304"/>
        <item x="443"/>
        <item x="103"/>
        <item x="599"/>
        <item x="485"/>
        <item x="277"/>
        <item x="581"/>
        <item x="328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332"/>
        <item x="271"/>
        <item x="46"/>
        <item x="580"/>
        <item x="156"/>
        <item x="270"/>
        <item x="363"/>
        <item x="437"/>
        <item x="293"/>
        <item x="520"/>
        <item x="501"/>
        <item x="229"/>
        <item x="601"/>
        <item x="321"/>
        <item x="492"/>
        <item x="259"/>
        <item x="14"/>
        <item x="458"/>
        <item x="269"/>
        <item x="182"/>
        <item x="130"/>
        <item x="216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343"/>
        <item x="590"/>
        <item x="316"/>
        <item x="510"/>
        <item x="612"/>
        <item x="530"/>
        <item x="73"/>
        <item x="419"/>
        <item x="386"/>
        <item x="489"/>
        <item x="32"/>
        <item x="241"/>
        <item x="136"/>
        <item x="446"/>
        <item x="246"/>
        <item x="30"/>
        <item x="518"/>
        <item x="325"/>
        <item x="309"/>
        <item x="301"/>
        <item x="143"/>
        <item x="421"/>
        <item x="92"/>
        <item x="564"/>
        <item x="504"/>
        <item x="610"/>
        <item x="11"/>
        <item x="158"/>
        <item x="185"/>
        <item x="470"/>
        <item x="78"/>
        <item x="289"/>
        <item x="615"/>
        <item x="558"/>
        <item x="41"/>
        <item x="70"/>
        <item x="43"/>
        <item x="623"/>
        <item x="616"/>
        <item x="545"/>
        <item x="123"/>
        <item x="515"/>
        <item x="502"/>
        <item x="416"/>
        <item x="22"/>
        <item x="549"/>
        <item x="62"/>
        <item x="4"/>
        <item x="154"/>
        <item x="312"/>
        <item x="393"/>
        <item x="197"/>
        <item x="380"/>
        <item x="527"/>
        <item x="274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105"/>
        <item x="576"/>
        <item x="65"/>
        <item x="250"/>
        <item x="163"/>
        <item x="349"/>
        <item x="244"/>
        <item x="449"/>
        <item x="104"/>
        <item x="167"/>
        <item x="450"/>
        <item x="265"/>
        <item x="441"/>
        <item x="299"/>
        <item x="364"/>
        <item x="630"/>
        <item x="381"/>
        <item x="145"/>
        <item x="430"/>
        <item x="433"/>
        <item x="399"/>
        <item x="281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170"/>
        <item x="8"/>
        <item x="455"/>
        <item x="359"/>
        <item x="148"/>
        <item x="50"/>
        <item x="595"/>
        <item x="200"/>
        <item x="38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335"/>
        <item x="469"/>
        <item x="317"/>
        <item x="351"/>
        <item x="499"/>
        <item x="228"/>
        <item x="371"/>
        <item x="402"/>
        <item x="340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427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99"/>
        <item x="204"/>
        <item x="300"/>
        <item x="144"/>
        <item x="16"/>
        <item x="324"/>
        <item x="339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329"/>
        <item x="188"/>
        <item x="219"/>
        <item x="336"/>
        <item x="207"/>
        <item x="487"/>
        <item x="607"/>
        <item x="159"/>
        <item x="273"/>
        <item x="423"/>
        <item x="153"/>
        <item x="56"/>
        <item x="550"/>
        <item x="111"/>
        <item x="622"/>
        <item x="426"/>
        <item x="226"/>
        <item x="42"/>
        <item x="542"/>
        <item x="496"/>
        <item x="310"/>
        <item x="374"/>
        <item x="195"/>
        <item x="442"/>
        <item x="414"/>
        <item x="173"/>
        <item x="55"/>
        <item x="548"/>
        <item x="142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92"/>
        <item x="357"/>
        <item x="624"/>
        <item x="512"/>
        <item x="557"/>
        <item x="537"/>
        <item x="592"/>
        <item x="100"/>
        <item x="319"/>
        <item x="199"/>
        <item x="396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298"/>
        <item x="286"/>
        <item x="172"/>
        <item x="493"/>
        <item x="96"/>
        <item x="54"/>
        <item x="631"/>
        <item x="177"/>
        <item x="586"/>
        <item x="389"/>
        <item x="575"/>
        <item x="106"/>
        <item x="83"/>
        <item x="532"/>
        <item x="109"/>
        <item x="263"/>
        <item x="119"/>
        <item x="247"/>
        <item x="531"/>
        <item x="89"/>
        <item x="51"/>
        <item x="230"/>
        <item x="282"/>
        <item x="7"/>
        <item x="323"/>
        <item x="418"/>
        <item x="243"/>
        <item x="116"/>
        <item x="572"/>
        <item x="127"/>
        <item x="519"/>
        <item x="311"/>
        <item x="221"/>
        <item x="461"/>
        <item x="476"/>
        <item x="517"/>
        <item x="620"/>
        <item x="602"/>
        <item x="291"/>
        <item x="354"/>
        <item x="341"/>
        <item x="114"/>
        <item x="139"/>
        <item x="490"/>
        <item x="305"/>
        <item x="87"/>
        <item x="108"/>
        <item x="460"/>
        <item x="26"/>
        <item x="211"/>
        <item x="582"/>
        <item x="551"/>
        <item x="464"/>
        <item x="463"/>
        <item x="445"/>
        <item x="434"/>
        <item x="174"/>
        <item x="412"/>
        <item x="124"/>
        <item x="609"/>
        <item x="113"/>
        <item x="526"/>
        <item x="347"/>
        <item x="217"/>
        <item x="169"/>
        <item x="621"/>
        <item x="326"/>
        <item x="257"/>
        <item x="53"/>
        <item x="391"/>
        <item x="330"/>
        <item x="432"/>
        <item x="128"/>
        <item x="466"/>
        <item x="608"/>
        <item x="439"/>
        <item x="232"/>
        <item x="6"/>
        <item x="245"/>
        <item x="318"/>
        <item x="338"/>
        <item x="597"/>
        <item x="344"/>
        <item x="297"/>
        <item x="540"/>
        <item x="570"/>
        <item x="133"/>
        <item x="511"/>
        <item x="39"/>
        <item x="146"/>
        <item x="248"/>
        <item x="307"/>
        <item x="327"/>
        <item x="239"/>
        <item x="584"/>
        <item x="28"/>
        <item x="508"/>
        <item x="194"/>
        <item x="285"/>
        <item x="27"/>
        <item x="488"/>
        <item x="462"/>
        <item x="358"/>
        <item x="373"/>
        <item x="350"/>
        <item x="370"/>
        <item x="152"/>
        <item x="5"/>
        <item x="477"/>
        <item x="565"/>
        <item x="296"/>
        <item x="579"/>
        <item x="258"/>
        <item x="193"/>
        <item x="598"/>
        <item x="131"/>
        <item x="179"/>
        <item x="240"/>
        <item x="222"/>
        <item x="137"/>
        <item x="369"/>
        <item x="59"/>
        <item x="571"/>
        <item x="408"/>
        <item x="495"/>
        <item x="543"/>
        <item x="481"/>
        <item x="57"/>
        <item x="361"/>
        <item x="201"/>
        <item x="546"/>
        <item x="186"/>
        <item x="334"/>
        <item x="0"/>
        <item x="79"/>
        <item x="12"/>
        <item x="314"/>
        <item x="627"/>
        <item x="483"/>
        <item x="486"/>
        <item x="74"/>
        <item x="513"/>
        <item x="3"/>
        <item x="403"/>
        <item x="233"/>
        <item x="410"/>
        <item x="98"/>
        <item x="82"/>
        <item x="308"/>
        <item x="604"/>
        <item x="94"/>
        <item x="227"/>
        <item x="436"/>
        <item x="333"/>
        <item x="161"/>
        <item x="593"/>
        <item x="118"/>
        <item x="52"/>
        <item x="231"/>
        <item x="304"/>
        <item x="443"/>
        <item x="103"/>
        <item x="599"/>
        <item x="447"/>
        <item x="485"/>
        <item x="277"/>
        <item x="581"/>
        <item x="101"/>
        <item x="71"/>
        <item x="524"/>
        <item x="254"/>
        <item x="218"/>
        <item x="378"/>
        <item x="35"/>
        <item x="491"/>
        <item x="238"/>
        <item x="206"/>
        <item x="578"/>
        <item x="561"/>
        <item x="168"/>
        <item x="75"/>
        <item x="411"/>
        <item x="268"/>
        <item x="212"/>
        <item x="605"/>
        <item x="15"/>
        <item x="178"/>
        <item x="271"/>
        <item x="46"/>
        <item x="580"/>
        <item x="156"/>
        <item x="270"/>
        <item x="328"/>
        <item x="437"/>
        <item x="293"/>
        <item x="520"/>
        <item x="501"/>
        <item x="229"/>
        <item x="601"/>
        <item x="321"/>
        <item x="332"/>
        <item x="492"/>
        <item x="259"/>
        <item x="14"/>
        <item x="458"/>
        <item x="269"/>
        <item x="182"/>
        <item x="130"/>
        <item x="216"/>
        <item x="363"/>
        <item x="536"/>
        <item x="404"/>
        <item x="214"/>
        <item x="457"/>
        <item x="150"/>
        <item x="417"/>
        <item x="303"/>
        <item x="596"/>
        <item x="162"/>
        <item x="262"/>
        <item x="141"/>
        <item x="509"/>
        <item x="90"/>
        <item x="525"/>
        <item x="473"/>
        <item x="132"/>
        <item x="198"/>
        <item x="594"/>
        <item x="563"/>
        <item x="275"/>
        <item x="189"/>
        <item x="25"/>
        <item x="503"/>
        <item x="498"/>
        <item x="68"/>
        <item x="183"/>
        <item x="191"/>
        <item x="331"/>
        <item x="315"/>
        <item x="294"/>
        <item x="279"/>
        <item x="155"/>
        <item x="125"/>
        <item x="171"/>
        <item x="69"/>
        <item x="590"/>
        <item x="316"/>
        <item x="510"/>
        <item x="612"/>
        <item x="530"/>
        <item x="343"/>
        <item x="73"/>
        <item x="419"/>
        <item x="386"/>
        <item x="489"/>
        <item x="32"/>
        <item x="241"/>
        <item x="136"/>
        <item x="446"/>
        <item x="30"/>
        <item x="518"/>
        <item x="325"/>
        <item x="309"/>
        <item x="301"/>
        <item x="143"/>
        <item x="421"/>
        <item x="92"/>
        <item x="564"/>
        <item x="504"/>
        <item x="246"/>
        <item x="610"/>
        <item x="11"/>
        <item x="158"/>
        <item x="185"/>
        <item x="470"/>
        <item x="289"/>
        <item x="615"/>
        <item x="558"/>
        <item x="41"/>
        <item x="70"/>
        <item x="43"/>
        <item x="623"/>
        <item x="616"/>
        <item x="545"/>
        <item x="123"/>
        <item x="78"/>
        <item x="515"/>
        <item x="502"/>
        <item x="416"/>
        <item x="22"/>
        <item x="549"/>
        <item x="62"/>
        <item x="4"/>
        <item x="154"/>
        <item x="312"/>
        <item x="197"/>
        <item x="380"/>
        <item x="527"/>
        <item x="274"/>
        <item x="393"/>
        <item x="283"/>
        <item x="591"/>
        <item x="249"/>
        <item x="88"/>
        <item x="164"/>
        <item x="494"/>
        <item x="533"/>
        <item x="453"/>
        <item x="37"/>
        <item x="134"/>
        <item x="589"/>
        <item x="576"/>
        <item x="65"/>
        <item x="250"/>
        <item x="163"/>
        <item x="349"/>
        <item x="244"/>
        <item x="449"/>
        <item x="104"/>
        <item x="450"/>
        <item x="265"/>
        <item x="441"/>
        <item x="299"/>
        <item x="364"/>
        <item x="630"/>
        <item x="167"/>
        <item x="381"/>
        <item x="105"/>
        <item x="145"/>
        <item x="430"/>
        <item x="433"/>
        <item x="399"/>
        <item x="559"/>
        <item x="85"/>
        <item x="398"/>
        <item x="33"/>
        <item x="560"/>
        <item x="147"/>
        <item x="405"/>
        <item x="428"/>
        <item x="220"/>
        <item x="345"/>
        <item x="102"/>
        <item x="368"/>
        <item x="606"/>
        <item x="577"/>
        <item x="626"/>
        <item x="388"/>
        <item x="544"/>
        <item x="86"/>
        <item x="467"/>
        <item x="234"/>
        <item x="67"/>
        <item x="395"/>
        <item x="166"/>
        <item x="574"/>
        <item x="420"/>
        <item x="281"/>
        <item x="8"/>
        <item x="455"/>
        <item x="359"/>
        <item x="148"/>
        <item x="595"/>
        <item x="200"/>
        <item x="38"/>
        <item x="170"/>
        <item x="535"/>
        <item x="2"/>
        <item x="215"/>
        <item x="384"/>
        <item x="507"/>
        <item x="377"/>
        <item x="425"/>
        <item x="472"/>
        <item x="224"/>
        <item x="284"/>
        <item x="547"/>
        <item x="176"/>
        <item x="208"/>
        <item x="554"/>
        <item x="10"/>
        <item x="66"/>
        <item x="122"/>
        <item x="129"/>
        <item x="523"/>
        <item x="413"/>
        <item x="390"/>
        <item x="50"/>
        <item x="335"/>
        <item x="469"/>
        <item x="317"/>
        <item x="351"/>
        <item x="499"/>
        <item x="228"/>
        <item x="371"/>
        <item x="402"/>
        <item x="235"/>
        <item x="401"/>
        <item x="280"/>
        <item x="251"/>
        <item x="566"/>
        <item x="267"/>
        <item x="252"/>
        <item x="400"/>
        <item x="209"/>
        <item x="44"/>
        <item x="1"/>
        <item x="261"/>
        <item x="611"/>
        <item x="210"/>
        <item x="617"/>
        <item x="81"/>
        <item x="415"/>
        <item x="614"/>
        <item x="367"/>
        <item x="397"/>
        <item x="552"/>
        <item x="36"/>
        <item x="290"/>
        <item x="256"/>
        <item x="573"/>
        <item x="474"/>
        <item x="91"/>
        <item x="190"/>
        <item x="366"/>
        <item x="541"/>
        <item x="451"/>
        <item x="387"/>
        <item x="394"/>
        <item x="21"/>
        <item x="287"/>
        <item x="342"/>
        <item x="93"/>
        <item x="29"/>
        <item x="553"/>
        <item x="72"/>
        <item x="23"/>
        <item x="500"/>
        <item x="538"/>
        <item x="295"/>
        <item x="440"/>
        <item x="456"/>
        <item x="84"/>
        <item x="407"/>
        <item x="151"/>
        <item x="225"/>
        <item x="365"/>
        <item x="13"/>
        <item x="444"/>
        <item x="196"/>
        <item x="484"/>
        <item x="427"/>
        <item x="160"/>
        <item x="385"/>
        <item x="516"/>
        <item x="320"/>
        <item x="406"/>
        <item x="522"/>
        <item x="479"/>
        <item x="585"/>
        <item x="260"/>
        <item x="121"/>
        <item x="454"/>
        <item x="355"/>
        <item x="292"/>
        <item x="409"/>
        <item x="107"/>
        <item x="452"/>
        <item x="20"/>
        <item x="157"/>
        <item x="255"/>
        <item x="213"/>
        <item x="438"/>
        <item x="459"/>
        <item x="192"/>
        <item x="115"/>
        <item x="24"/>
        <item x="568"/>
        <item x="587"/>
        <item x="618"/>
        <item x="497"/>
        <item x="468"/>
        <item x="202"/>
        <item x="253"/>
        <item x="204"/>
        <item x="300"/>
        <item x="144"/>
        <item x="16"/>
        <item x="324"/>
        <item x="205"/>
        <item x="31"/>
        <item x="64"/>
        <item x="184"/>
        <item x="352"/>
        <item x="187"/>
        <item x="288"/>
        <item x="348"/>
        <item x="475"/>
        <item x="435"/>
        <item x="34"/>
        <item x="135"/>
        <item x="110"/>
        <item x="61"/>
        <item x="99"/>
        <item x="329"/>
        <item x="188"/>
        <item x="336"/>
        <item x="207"/>
        <item x="339"/>
        <item x="487"/>
        <item x="607"/>
        <item x="159"/>
        <item x="273"/>
        <item x="219"/>
        <item x="423"/>
        <item x="153"/>
        <item x="56"/>
        <item x="550"/>
        <item x="111"/>
        <item x="340"/>
        <item x="622"/>
        <item x="426"/>
        <item x="226"/>
        <item x="542"/>
        <item x="496"/>
        <item x="310"/>
        <item x="195"/>
        <item x="442"/>
        <item x="414"/>
        <item x="173"/>
        <item x="55"/>
        <item x="548"/>
        <item x="142"/>
        <item x="374"/>
        <item x="372"/>
        <item x="505"/>
        <item x="45"/>
        <item x="625"/>
        <item x="628"/>
        <item x="77"/>
        <item x="562"/>
        <item x="379"/>
        <item x="514"/>
        <item x="529"/>
        <item x="555"/>
        <item x="60"/>
        <item x="600"/>
        <item x="242"/>
        <item x="97"/>
        <item x="569"/>
        <item x="49"/>
        <item x="42"/>
        <item x="272"/>
        <item x="506"/>
        <item x="353"/>
        <item x="278"/>
        <item x="360"/>
        <item x="17"/>
        <item x="76"/>
        <item x="138"/>
        <item x="48"/>
        <item x="482"/>
        <item x="471"/>
        <item x="236"/>
        <item x="382"/>
        <item x="18"/>
        <item x="375"/>
        <item x="337"/>
        <item x="266"/>
        <item x="19"/>
        <item x="120"/>
        <item x="322"/>
        <item x="302"/>
        <item x="603"/>
        <item x="264"/>
        <item x="313"/>
        <item x="629"/>
        <item x="480"/>
        <item x="583"/>
        <item x="40"/>
        <item x="429"/>
        <item x="181"/>
        <item x="619"/>
        <item x="478"/>
        <item x="534"/>
        <item x="149"/>
        <item x="306"/>
        <item x="95"/>
        <item x="376"/>
        <item x="356"/>
        <item x="567"/>
        <item x="448"/>
        <item x="556"/>
        <item x="383"/>
        <item x="203"/>
        <item x="357"/>
        <item x="624"/>
        <item x="512"/>
        <item x="557"/>
        <item x="537"/>
        <item x="592"/>
        <item x="100"/>
        <item x="319"/>
        <item x="199"/>
        <item x="396"/>
        <item x="392"/>
        <item x="431"/>
        <item x="424"/>
        <item x="528"/>
        <item x="80"/>
        <item x="9"/>
        <item x="58"/>
        <item x="521"/>
        <item x="126"/>
        <item x="117"/>
        <item x="539"/>
        <item x="223"/>
        <item x="588"/>
        <item x="63"/>
        <item x="346"/>
        <item x="276"/>
        <item x="613"/>
        <item x="362"/>
        <item x="465"/>
        <item x="165"/>
        <item x="140"/>
        <item x="175"/>
        <item x="422"/>
        <item x="47"/>
        <item x="237"/>
        <item t="default"/>
      </items>
    </pivotField>
    <pivotField compact="0" numFmtId="44" showAll="0">
      <items count="633">
        <item x="180"/>
        <item x="112"/>
        <item x="493"/>
        <item x="172"/>
        <item x="286"/>
        <item x="298"/>
        <item x="96"/>
        <item x="586"/>
        <item x="389"/>
        <item x="54"/>
        <item x="83"/>
        <item x="247"/>
        <item x="631"/>
        <item x="119"/>
        <item x="575"/>
        <item x="89"/>
        <item x="572"/>
        <item x="418"/>
        <item x="106"/>
        <item x="177"/>
        <item x="7"/>
        <item x="517"/>
        <item x="532"/>
        <item x="282"/>
        <item x="354"/>
        <item x="263"/>
        <item x="243"/>
        <item x="51"/>
        <item x="531"/>
        <item x="109"/>
        <item x="305"/>
        <item x="461"/>
        <item x="341"/>
        <item x="221"/>
        <item x="620"/>
        <item x="291"/>
        <item x="311"/>
        <item x="108"/>
        <item x="602"/>
        <item x="230"/>
        <item x="490"/>
        <item x="551"/>
        <item x="127"/>
        <item x="519"/>
        <item x="445"/>
        <item x="323"/>
        <item x="476"/>
        <item x="464"/>
        <item x="582"/>
        <item x="391"/>
        <item x="347"/>
        <item x="26"/>
        <item x="621"/>
        <item x="217"/>
        <item x="330"/>
        <item x="326"/>
        <item x="460"/>
        <item x="116"/>
        <item x="211"/>
        <item x="412"/>
        <item x="128"/>
        <item x="124"/>
        <item x="174"/>
        <item x="466"/>
        <item x="344"/>
        <item x="463"/>
        <item x="597"/>
        <item x="245"/>
        <item x="139"/>
        <item x="113"/>
        <item x="570"/>
        <item x="169"/>
        <item x="87"/>
        <item x="28"/>
        <item x="526"/>
        <item x="232"/>
        <item x="608"/>
        <item x="318"/>
        <item x="257"/>
        <item x="609"/>
        <item x="565"/>
        <item x="439"/>
        <item x="114"/>
        <item x="5"/>
        <item x="508"/>
        <item x="579"/>
        <item x="6"/>
        <item x="297"/>
        <item x="434"/>
        <item x="481"/>
        <item x="334"/>
        <item x="222"/>
        <item x="133"/>
        <item x="495"/>
        <item x="627"/>
        <item x="403"/>
        <item x="0"/>
        <item x="258"/>
        <item x="82"/>
        <item x="584"/>
        <item x="581"/>
        <item x="546"/>
        <item x="53"/>
        <item x="327"/>
        <item x="511"/>
        <item x="296"/>
        <item x="239"/>
        <item x="231"/>
        <item x="57"/>
        <item x="436"/>
        <item x="304"/>
        <item x="39"/>
        <item x="604"/>
        <item x="254"/>
        <item x="443"/>
        <item x="370"/>
        <item x="491"/>
        <item x="194"/>
        <item x="378"/>
        <item x="307"/>
        <item x="277"/>
        <item x="240"/>
        <item x="233"/>
        <item x="598"/>
        <item x="293"/>
        <item x="486"/>
        <item x="71"/>
        <item x="178"/>
        <item x="103"/>
        <item x="248"/>
        <item x="488"/>
        <item x="156"/>
        <item x="12"/>
        <item x="130"/>
        <item x="571"/>
        <item x="79"/>
        <item x="350"/>
        <item x="118"/>
        <item x="308"/>
        <item x="186"/>
        <item x="458"/>
        <item x="462"/>
        <item x="410"/>
        <item x="182"/>
        <item x="328"/>
        <item x="432"/>
        <item x="358"/>
        <item x="483"/>
        <item x="285"/>
        <item x="513"/>
        <item x="563"/>
        <item x="161"/>
        <item x="498"/>
        <item x="369"/>
        <item x="599"/>
        <item x="594"/>
        <item x="314"/>
        <item x="171"/>
        <item x="59"/>
        <item x="524"/>
        <item x="437"/>
        <item x="332"/>
        <item x="46"/>
        <item x="69"/>
        <item x="191"/>
        <item x="141"/>
        <item x="509"/>
        <item x="338"/>
        <item x="137"/>
        <item x="179"/>
        <item x="74"/>
        <item x="214"/>
        <item x="616"/>
        <item x="279"/>
        <item x="90"/>
        <item x="447"/>
        <item x="158"/>
        <item x="540"/>
        <item x="373"/>
        <item x="315"/>
        <item x="201"/>
        <item x="227"/>
        <item x="446"/>
        <item x="473"/>
        <item x="206"/>
        <item x="218"/>
        <item x="27"/>
        <item x="470"/>
        <item x="271"/>
        <item x="525"/>
        <item x="408"/>
        <item x="578"/>
        <item x="43"/>
        <item x="146"/>
        <item x="502"/>
        <item x="168"/>
        <item x="331"/>
        <item x="183"/>
        <item x="309"/>
        <item x="503"/>
        <item x="596"/>
        <item x="543"/>
        <item x="3"/>
        <item x="88"/>
        <item x="386"/>
        <item x="75"/>
        <item x="270"/>
        <item x="262"/>
        <item x="301"/>
        <item x="32"/>
        <item x="489"/>
        <item x="349"/>
        <item x="193"/>
        <item x="485"/>
        <item x="333"/>
        <item x="25"/>
        <item x="102"/>
        <item x="274"/>
        <item x="94"/>
        <item x="37"/>
        <item x="131"/>
        <item x="589"/>
        <item x="593"/>
        <item x="145"/>
        <item x="163"/>
        <item x="520"/>
        <item x="368"/>
        <item x="558"/>
        <item x="316"/>
        <item x="92"/>
        <item x="544"/>
        <item x="33"/>
        <item x="630"/>
        <item x="220"/>
        <item x="250"/>
        <item x="518"/>
        <item x="398"/>
        <item x="152"/>
        <item x="430"/>
        <item x="35"/>
        <item x="477"/>
        <item x="580"/>
        <item x="450"/>
        <item x="62"/>
        <item x="561"/>
        <item x="536"/>
        <item x="533"/>
        <item x="595"/>
        <item x="417"/>
        <item x="15"/>
        <item x="433"/>
        <item x="101"/>
        <item x="238"/>
        <item x="212"/>
        <item x="515"/>
        <item x="104"/>
        <item x="312"/>
        <item x="294"/>
        <item x="361"/>
        <item x="78"/>
        <item x="162"/>
        <item x="269"/>
        <item x="421"/>
        <item x="197"/>
        <item x="41"/>
        <item x="411"/>
        <item x="22"/>
        <item x="241"/>
        <item x="164"/>
        <item x="143"/>
        <item x="268"/>
        <item x="343"/>
        <item x="129"/>
        <item x="345"/>
        <item x="283"/>
        <item x="189"/>
        <item x="577"/>
        <item x="419"/>
        <item x="216"/>
        <item x="453"/>
        <item x="98"/>
        <item x="523"/>
        <item x="559"/>
        <item x="281"/>
        <item x="472"/>
        <item x="8"/>
        <item x="325"/>
        <item x="405"/>
        <item x="615"/>
        <item x="507"/>
        <item x="52"/>
        <item x="198"/>
        <item x="246"/>
        <item x="70"/>
        <item x="425"/>
        <item x="155"/>
        <item x="413"/>
        <item x="367"/>
        <item x="30"/>
        <item x="530"/>
        <item x="549"/>
        <item x="275"/>
        <item x="136"/>
        <item x="612"/>
        <item x="176"/>
        <item x="457"/>
        <item x="499"/>
        <item x="359"/>
        <item x="527"/>
        <item x="623"/>
        <item x="154"/>
        <item x="535"/>
        <item x="510"/>
        <item x="451"/>
        <item x="67"/>
        <item x="564"/>
        <item x="610"/>
        <item x="541"/>
        <item x="185"/>
        <item x="494"/>
        <item x="342"/>
        <item x="68"/>
        <item x="321"/>
        <item x="303"/>
        <item x="605"/>
        <item x="504"/>
        <item x="415"/>
        <item x="335"/>
        <item x="455"/>
        <item x="538"/>
        <item x="363"/>
        <item x="601"/>
        <item x="14"/>
        <item x="290"/>
        <item x="148"/>
        <item x="380"/>
        <item x="93"/>
        <item x="295"/>
        <item x="147"/>
        <item x="287"/>
        <item x="13"/>
        <item x="249"/>
        <item x="404"/>
        <item x="492"/>
        <item x="467"/>
        <item x="210"/>
        <item x="320"/>
        <item x="280"/>
        <item x="441"/>
        <item x="4"/>
        <item x="591"/>
        <item x="611"/>
        <item x="255"/>
        <item x="267"/>
        <item x="23"/>
        <item x="393"/>
        <item x="229"/>
        <item x="261"/>
        <item x="366"/>
        <item x="394"/>
        <item x="547"/>
        <item x="545"/>
        <item x="500"/>
        <item x="20"/>
        <item x="576"/>
        <item x="29"/>
        <item x="399"/>
        <item x="21"/>
        <item x="440"/>
        <item x="225"/>
        <item x="452"/>
        <item x="474"/>
        <item x="123"/>
        <item x="428"/>
        <item x="420"/>
        <item x="324"/>
        <item x="38"/>
        <item x="469"/>
        <item x="614"/>
        <item x="24"/>
        <item x="259"/>
        <item x="364"/>
        <item x="251"/>
        <item x="50"/>
        <item x="381"/>
        <item x="121"/>
        <item x="444"/>
        <item x="115"/>
        <item x="590"/>
        <item x="209"/>
        <item x="228"/>
        <item x="204"/>
        <item x="454"/>
        <item x="150"/>
        <item x="284"/>
        <item x="377"/>
        <item x="501"/>
        <item x="395"/>
        <item x="568"/>
        <item x="56"/>
        <item x="253"/>
        <item x="170"/>
        <item x="552"/>
        <item x="34"/>
        <item x="456"/>
        <item x="73"/>
        <item x="205"/>
        <item x="213"/>
        <item x="299"/>
        <item x="85"/>
        <item x="234"/>
        <item x="91"/>
        <item x="607"/>
        <item x="256"/>
        <item x="606"/>
        <item x="125"/>
        <item x="167"/>
        <item x="371"/>
        <item x="207"/>
        <item x="449"/>
        <item x="260"/>
        <item x="157"/>
        <item x="416"/>
        <item x="86"/>
        <item x="107"/>
        <item x="208"/>
        <item x="414"/>
        <item x="355"/>
        <item x="215"/>
        <item x="105"/>
        <item x="554"/>
        <item x="529"/>
        <item x="135"/>
        <item x="573"/>
        <item x="336"/>
        <item x="288"/>
        <item x="574"/>
        <item x="10"/>
        <item x="110"/>
        <item x="153"/>
        <item x="44"/>
        <item x="348"/>
        <item x="351"/>
        <item x="442"/>
        <item x="160"/>
        <item x="200"/>
        <item x="505"/>
        <item x="132"/>
        <item x="379"/>
        <item x="329"/>
        <item x="585"/>
        <item x="487"/>
        <item x="166"/>
        <item x="475"/>
        <item x="317"/>
        <item x="202"/>
        <item x="555"/>
        <item x="496"/>
        <item x="550"/>
        <item x="400"/>
        <item x="514"/>
        <item x="219"/>
        <item x="340"/>
        <item x="292"/>
        <item x="566"/>
        <item x="553"/>
        <item x="235"/>
        <item x="401"/>
        <item x="144"/>
        <item x="244"/>
        <item x="387"/>
        <item x="402"/>
        <item x="224"/>
        <item x="390"/>
        <item x="300"/>
        <item x="459"/>
        <item x="289"/>
        <item x="372"/>
        <item x="122"/>
        <item x="310"/>
        <item x="569"/>
        <item x="65"/>
        <item x="384"/>
        <item x="409"/>
        <item x="484"/>
        <item x="159"/>
        <item x="522"/>
        <item x="66"/>
        <item x="388"/>
        <item x="339"/>
        <item x="516"/>
        <item x="2"/>
        <item x="468"/>
        <item x="226"/>
        <item x="61"/>
        <item x="374"/>
        <item x="151"/>
        <item x="471"/>
        <item x="76"/>
        <item x="252"/>
        <item x="352"/>
        <item x="11"/>
        <item x="134"/>
        <item x="322"/>
        <item x="479"/>
        <item x="120"/>
        <item x="84"/>
        <item x="628"/>
        <item x="188"/>
        <item x="600"/>
        <item x="190"/>
        <item x="625"/>
        <item x="77"/>
        <item x="81"/>
        <item x="173"/>
        <item x="365"/>
        <item x="406"/>
        <item x="18"/>
        <item x="36"/>
        <item x="19"/>
        <item x="629"/>
        <item x="482"/>
        <item x="603"/>
        <item x="480"/>
        <item x="95"/>
        <item x="42"/>
        <item x="17"/>
        <item x="587"/>
        <item x="31"/>
        <item x="64"/>
        <item x="278"/>
        <item x="560"/>
        <item x="111"/>
        <item x="617"/>
        <item x="397"/>
        <item x="265"/>
        <item x="48"/>
        <item x="438"/>
        <item x="427"/>
        <item x="266"/>
        <item x="100"/>
        <item x="99"/>
        <item x="273"/>
        <item x="356"/>
        <item x="478"/>
        <item x="542"/>
        <item x="97"/>
        <item x="429"/>
        <item x="181"/>
        <item x="313"/>
        <item x="562"/>
        <item x="360"/>
        <item x="626"/>
        <item x="534"/>
        <item x="337"/>
        <item x="45"/>
        <item x="435"/>
        <item x="149"/>
        <item x="72"/>
        <item x="184"/>
        <item x="60"/>
        <item x="557"/>
        <item x="196"/>
        <item x="618"/>
        <item x="353"/>
        <item x="16"/>
        <item x="431"/>
        <item x="548"/>
        <item x="407"/>
        <item x="556"/>
        <item x="506"/>
        <item x="195"/>
        <item x="592"/>
        <item x="138"/>
        <item x="624"/>
        <item x="426"/>
        <item x="567"/>
        <item x="242"/>
        <item x="376"/>
        <item x="537"/>
        <item x="40"/>
        <item x="448"/>
        <item x="302"/>
        <item x="396"/>
        <item x="49"/>
        <item x="272"/>
        <item x="192"/>
        <item x="583"/>
        <item x="223"/>
        <item x="142"/>
        <item x="521"/>
        <item x="497"/>
        <item x="187"/>
        <item x="357"/>
        <item x="382"/>
        <item x="117"/>
        <item x="236"/>
        <item x="622"/>
        <item x="55"/>
        <item x="199"/>
        <item x="264"/>
        <item x="1"/>
        <item x="375"/>
        <item x="588"/>
        <item x="613"/>
        <item x="306"/>
        <item x="619"/>
        <item x="424"/>
        <item x="423"/>
        <item x="385"/>
        <item x="203"/>
        <item x="539"/>
        <item x="80"/>
        <item x="362"/>
        <item x="392"/>
        <item x="126"/>
        <item x="9"/>
        <item x="346"/>
        <item x="47"/>
        <item x="512"/>
        <item x="319"/>
        <item x="383"/>
        <item x="528"/>
        <item x="465"/>
        <item x="276"/>
        <item x="175"/>
        <item x="165"/>
        <item x="422"/>
        <item x="63"/>
        <item x="140"/>
        <item x="58"/>
        <item x="237"/>
        <item t="default"/>
      </items>
    </pivotField>
    <pivotField compact="0" numFmtId="44" showAll="0">
      <items count="633">
        <item x="1"/>
        <item x="385"/>
        <item x="626"/>
        <item x="265"/>
        <item x="11"/>
        <item x="560"/>
        <item x="132"/>
        <item x="134"/>
        <item x="423"/>
        <item x="289"/>
        <item x="497"/>
        <item x="58"/>
        <item x="501"/>
        <item x="187"/>
        <item x="65"/>
        <item x="125"/>
        <item x="192"/>
        <item x="407"/>
        <item x="150"/>
        <item x="244"/>
        <item x="259"/>
        <item x="73"/>
        <item x="72"/>
        <item x="388"/>
        <item x="590"/>
        <item x="229"/>
        <item x="416"/>
        <item x="152"/>
        <item x="477"/>
        <item x="492"/>
        <item x="98"/>
        <item x="361"/>
        <item x="2"/>
        <item x="196"/>
        <item x="52"/>
        <item x="617"/>
        <item x="363"/>
        <item x="622"/>
        <item x="404"/>
        <item x="601"/>
        <item x="605"/>
        <item x="105"/>
        <item x="397"/>
        <item x="14"/>
        <item x="146"/>
        <item x="131"/>
        <item x="384"/>
        <item x="540"/>
        <item x="338"/>
        <item x="193"/>
        <item x="321"/>
        <item x="66"/>
        <item x="432"/>
        <item x="27"/>
        <item x="449"/>
        <item x="427"/>
        <item x="543"/>
        <item x="167"/>
        <item x="224"/>
        <item x="55"/>
        <item x="303"/>
        <item x="373"/>
        <item x="457"/>
        <item x="166"/>
        <item x="81"/>
        <item x="122"/>
        <item x="114"/>
        <item x="101"/>
        <item x="94"/>
        <item x="408"/>
        <item x="593"/>
        <item x="116"/>
        <item x="3"/>
        <item x="252"/>
        <item x="268"/>
        <item x="434"/>
        <item x="411"/>
        <item x="323"/>
        <item x="299"/>
        <item x="333"/>
        <item x="238"/>
        <item x="201"/>
        <item x="36"/>
        <item x="68"/>
        <item x="137"/>
        <item x="390"/>
        <item x="230"/>
        <item x="177"/>
        <item x="179"/>
        <item x="74"/>
        <item x="87"/>
        <item x="53"/>
        <item x="519"/>
        <item x="127"/>
        <item x="631"/>
        <item x="123"/>
        <item x="574"/>
        <item x="139"/>
        <item x="54"/>
        <item x="476"/>
        <item x="200"/>
        <item x="109"/>
        <item x="298"/>
        <item x="286"/>
        <item x="112"/>
        <item x="212"/>
        <item x="609"/>
        <item x="180"/>
        <item x="263"/>
        <item x="532"/>
        <item x="96"/>
        <item x="51"/>
        <item x="106"/>
        <item x="35"/>
        <item x="172"/>
        <item x="531"/>
        <item x="493"/>
        <item x="311"/>
        <item x="561"/>
        <item x="575"/>
        <item x="285"/>
        <item x="85"/>
        <item x="275"/>
        <item x="282"/>
        <item x="216"/>
        <item x="485"/>
        <item x="243"/>
        <item x="7"/>
        <item x="83"/>
        <item x="586"/>
        <item x="89"/>
        <item x="221"/>
        <item x="119"/>
        <item x="389"/>
        <item x="358"/>
        <item x="602"/>
        <item x="461"/>
        <item x="526"/>
        <item x="247"/>
        <item x="418"/>
        <item x="620"/>
        <item x="15"/>
        <item x="291"/>
        <item x="257"/>
        <item x="59"/>
        <item x="198"/>
        <item x="545"/>
        <item x="462"/>
        <item x="248"/>
        <item x="572"/>
        <item x="460"/>
        <item x="463"/>
        <item x="341"/>
        <item x="211"/>
        <item x="269"/>
        <item x="517"/>
        <item x="369"/>
        <item x="174"/>
        <item x="510"/>
        <item x="86"/>
        <item x="6"/>
        <item x="580"/>
        <item x="113"/>
        <item x="606"/>
        <item x="354"/>
        <item x="227"/>
        <item x="26"/>
        <item x="307"/>
        <item x="169"/>
        <item x="490"/>
        <item x="155"/>
        <item x="402"/>
        <item x="124"/>
        <item x="190"/>
        <item x="582"/>
        <item x="412"/>
        <item x="439"/>
        <item x="447"/>
        <item x="464"/>
        <item x="383"/>
        <item x="608"/>
        <item x="39"/>
        <item x="350"/>
        <item x="612"/>
        <item x="488"/>
        <item x="511"/>
        <item x="530"/>
        <item x="297"/>
        <item x="108"/>
        <item x="314"/>
        <item x="318"/>
        <item x="551"/>
        <item x="232"/>
        <item x="194"/>
        <item x="445"/>
        <item x="305"/>
        <item x="162"/>
        <item x="618"/>
        <item x="16"/>
        <item x="4"/>
        <item x="217"/>
        <item x="520"/>
        <item x="317"/>
        <item x="347"/>
        <item x="393"/>
        <item x="133"/>
        <item x="189"/>
        <item x="239"/>
        <item x="75"/>
        <item x="536"/>
        <item x="327"/>
        <item x="326"/>
        <item x="417"/>
        <item x="513"/>
        <item x="234"/>
        <item x="621"/>
        <item x="370"/>
        <item x="10"/>
        <item x="340"/>
        <item x="364"/>
        <item x="381"/>
        <item x="504"/>
        <item x="128"/>
        <item x="136"/>
        <item x="571"/>
        <item x="584"/>
        <item x="186"/>
        <item x="401"/>
        <item x="466"/>
        <item x="483"/>
        <item x="235"/>
        <item x="598"/>
        <item x="330"/>
        <item x="240"/>
        <item x="564"/>
        <item x="391"/>
        <item x="30"/>
        <item x="168"/>
        <item x="215"/>
        <item x="245"/>
        <item x="270"/>
        <item x="218"/>
        <item x="610"/>
        <item x="578"/>
        <item x="566"/>
        <item x="79"/>
        <item x="296"/>
        <item x="351"/>
        <item x="343"/>
        <item x="185"/>
        <item x="410"/>
        <item x="161"/>
        <item x="576"/>
        <item x="206"/>
        <item x="597"/>
        <item x="508"/>
        <item x="12"/>
        <item x="246"/>
        <item x="344"/>
        <item x="570"/>
        <item x="170"/>
        <item x="591"/>
        <item x="294"/>
        <item x="599"/>
        <item x="258"/>
        <item x="380"/>
        <item x="554"/>
        <item x="271"/>
        <item x="308"/>
        <item x="5"/>
        <item x="419"/>
        <item x="579"/>
        <item x="325"/>
        <item x="486"/>
        <item x="395"/>
        <item x="57"/>
        <item x="623"/>
        <item x="28"/>
        <item x="400"/>
        <item x="222"/>
        <item x="208"/>
        <item x="249"/>
        <item x="565"/>
        <item x="233"/>
        <item x="546"/>
        <item x="524"/>
        <item x="495"/>
        <item x="154"/>
        <item x="241"/>
        <item x="0"/>
        <item x="262"/>
        <item x="481"/>
        <item x="118"/>
        <item x="328"/>
        <item x="399"/>
        <item x="334"/>
        <item x="70"/>
        <item x="596"/>
        <item x="428"/>
        <item x="549"/>
        <item x="615"/>
        <item x="365"/>
        <item x="84"/>
        <item x="627"/>
        <item x="143"/>
        <item x="604"/>
        <item x="25"/>
        <item x="316"/>
        <item x="441"/>
        <item x="527"/>
        <item x="403"/>
        <item x="46"/>
        <item x="103"/>
        <item x="421"/>
        <item x="436"/>
        <item x="82"/>
        <item x="332"/>
        <item x="184"/>
        <item x="503"/>
        <item x="277"/>
        <item x="494"/>
        <item x="231"/>
        <item x="44"/>
        <item x="142"/>
        <item x="443"/>
        <item x="437"/>
        <item x="377"/>
        <item x="525"/>
        <item x="304"/>
        <item x="183"/>
        <item x="214"/>
        <item x="71"/>
        <item x="331"/>
        <item x="50"/>
        <item x="284"/>
        <item x="518"/>
        <item x="78"/>
        <item x="473"/>
        <item x="41"/>
        <item x="406"/>
        <item x="387"/>
        <item x="90"/>
        <item x="420"/>
        <item x="371"/>
        <item x="151"/>
        <item x="378"/>
        <item x="581"/>
        <item x="438"/>
        <item x="254"/>
        <item x="22"/>
        <item x="491"/>
        <item x="141"/>
        <item x="38"/>
        <item x="92"/>
        <item x="426"/>
        <item x="489"/>
        <item x="147"/>
        <item x="509"/>
        <item x="32"/>
        <item x="386"/>
        <item x="515"/>
        <item x="315"/>
        <item x="182"/>
        <item x="99"/>
        <item x="178"/>
        <item x="156"/>
        <item x="458"/>
        <item x="301"/>
        <item x="435"/>
        <item x="197"/>
        <item x="553"/>
        <item x="558"/>
        <item x="279"/>
        <item x="312"/>
        <item x="283"/>
        <item x="594"/>
        <item x="309"/>
        <item x="293"/>
        <item x="191"/>
        <item x="62"/>
        <item x="479"/>
        <item x="453"/>
        <item x="130"/>
        <item x="467"/>
        <item x="512"/>
        <item x="228"/>
        <item x="563"/>
        <item x="164"/>
        <item x="69"/>
        <item x="498"/>
        <item x="516"/>
        <item x="171"/>
        <item x="446"/>
        <item x="375"/>
        <item x="236"/>
        <item x="484"/>
        <item x="573"/>
        <item x="469"/>
        <item x="195"/>
        <item x="547"/>
        <item x="533"/>
        <item x="470"/>
        <item x="281"/>
        <item x="104"/>
        <item x="522"/>
        <item x="43"/>
        <item x="274"/>
        <item x="559"/>
        <item x="587"/>
        <item x="148"/>
        <item x="502"/>
        <item x="158"/>
        <item x="67"/>
        <item x="405"/>
        <item x="455"/>
        <item x="382"/>
        <item x="250"/>
        <item x="49"/>
        <item x="209"/>
        <item x="450"/>
        <item x="256"/>
        <item x="163"/>
        <item x="589"/>
        <item x="251"/>
        <item x="272"/>
        <item x="37"/>
        <item x="552"/>
        <item x="88"/>
        <item x="616"/>
        <item x="433"/>
        <item x="359"/>
        <item x="345"/>
        <item x="31"/>
        <item x="619"/>
        <item x="548"/>
        <item x="630"/>
        <item x="91"/>
        <item x="349"/>
        <item x="577"/>
        <item x="430"/>
        <item x="64"/>
        <item x="535"/>
        <item x="145"/>
        <item x="264"/>
        <item x="398"/>
        <item x="319"/>
        <item x="409"/>
        <item x="33"/>
        <item x="8"/>
        <item x="220"/>
        <item x="160"/>
        <item x="425"/>
        <item x="242"/>
        <item x="614"/>
        <item x="176"/>
        <item x="335"/>
        <item x="507"/>
        <item x="292"/>
        <item x="368"/>
        <item x="267"/>
        <item x="280"/>
        <item x="585"/>
        <item x="472"/>
        <item x="102"/>
        <item x="261"/>
        <item x="544"/>
        <item x="468"/>
        <item x="413"/>
        <item x="456"/>
        <item x="459"/>
        <item x="273"/>
        <item x="499"/>
        <item x="611"/>
        <item x="595"/>
        <item x="210"/>
        <item x="306"/>
        <item x="474"/>
        <item x="352"/>
        <item x="523"/>
        <item x="392"/>
        <item x="129"/>
        <item x="506"/>
        <item x="339"/>
        <item x="542"/>
        <item x="138"/>
        <item x="300"/>
        <item x="366"/>
        <item x="21"/>
        <item x="45"/>
        <item x="188"/>
        <item x="355"/>
        <item x="415"/>
        <item x="394"/>
        <item x="260"/>
        <item x="144"/>
        <item x="29"/>
        <item x="290"/>
        <item x="63"/>
        <item x="500"/>
        <item x="440"/>
        <item x="444"/>
        <item x="202"/>
        <item x="111"/>
        <item x="107"/>
        <item x="23"/>
        <item x="61"/>
        <item x="367"/>
        <item x="353"/>
        <item x="60"/>
        <item x="562"/>
        <item x="287"/>
        <item x="93"/>
        <item x="157"/>
        <item x="225"/>
        <item x="541"/>
        <item x="451"/>
        <item x="295"/>
        <item x="454"/>
        <item x="42"/>
        <item x="342"/>
        <item x="213"/>
        <item x="538"/>
        <item x="121"/>
        <item x="528"/>
        <item x="203"/>
        <item x="302"/>
        <item x="583"/>
        <item x="13"/>
        <item x="475"/>
        <item x="97"/>
        <item x="159"/>
        <item x="348"/>
        <item x="360"/>
        <item x="219"/>
        <item x="288"/>
        <item x="568"/>
        <item x="320"/>
        <item x="173"/>
        <item x="329"/>
        <item x="253"/>
        <item x="115"/>
        <item x="110"/>
        <item x="452"/>
        <item x="226"/>
        <item x="205"/>
        <item x="374"/>
        <item x="135"/>
        <item x="20"/>
        <item x="204"/>
        <item x="40"/>
        <item x="24"/>
        <item x="487"/>
        <item x="625"/>
        <item x="310"/>
        <item x="336"/>
        <item x="255"/>
        <item x="77"/>
        <item x="550"/>
        <item x="34"/>
        <item x="628"/>
        <item x="153"/>
        <item x="278"/>
        <item x="324"/>
        <item x="207"/>
        <item x="48"/>
        <item x="496"/>
        <item x="600"/>
        <item x="337"/>
        <item x="372"/>
        <item x="17"/>
        <item x="607"/>
        <item x="442"/>
        <item x="376"/>
        <item x="482"/>
        <item x="56"/>
        <item x="567"/>
        <item x="76"/>
        <item x="505"/>
        <item x="569"/>
        <item x="357"/>
        <item x="514"/>
        <item x="313"/>
        <item x="414"/>
        <item x="266"/>
        <item x="448"/>
        <item x="555"/>
        <item x="379"/>
        <item x="471"/>
        <item x="429"/>
        <item x="181"/>
        <item x="18"/>
        <item x="149"/>
        <item x="534"/>
        <item x="529"/>
        <item x="9"/>
        <item x="19"/>
        <item x="478"/>
        <item x="603"/>
        <item x="556"/>
        <item x="480"/>
        <item x="120"/>
        <item x="629"/>
        <item x="322"/>
        <item x="356"/>
        <item x="424"/>
        <item x="199"/>
        <item x="140"/>
        <item x="624"/>
        <item x="80"/>
        <item x="95"/>
        <item x="537"/>
        <item x="126"/>
        <item x="592"/>
        <item x="276"/>
        <item x="557"/>
        <item x="396"/>
        <item x="539"/>
        <item x="465"/>
        <item x="165"/>
        <item x="100"/>
        <item x="431"/>
        <item x="117"/>
        <item x="588"/>
        <item x="521"/>
        <item x="346"/>
        <item x="223"/>
        <item x="175"/>
        <item x="362"/>
        <item x="422"/>
        <item x="613"/>
        <item x="237"/>
        <item x="47"/>
        <item t="default"/>
      </items>
    </pivotField>
    <pivotField compact="0" numFmtId="44" showAll="0">
      <items count="633">
        <item x="1"/>
        <item x="385"/>
        <item x="11"/>
        <item x="626"/>
        <item x="132"/>
        <item x="265"/>
        <item x="289"/>
        <item x="501"/>
        <item x="560"/>
        <item x="134"/>
        <item x="150"/>
        <item x="125"/>
        <item x="259"/>
        <item x="152"/>
        <item x="477"/>
        <item x="361"/>
        <item x="65"/>
        <item x="146"/>
        <item x="98"/>
        <item x="338"/>
        <item x="540"/>
        <item x="73"/>
        <item x="432"/>
        <item x="116"/>
        <item x="229"/>
        <item x="52"/>
        <item x="131"/>
        <item x="114"/>
        <item x="323"/>
        <item x="177"/>
        <item x="298"/>
        <item x="631"/>
        <item x="193"/>
        <item x="112"/>
        <item x="180"/>
        <item x="286"/>
        <item x="54"/>
        <item x="230"/>
        <item x="96"/>
        <item x="172"/>
        <item x="493"/>
        <item x="109"/>
        <item x="519"/>
        <item x="532"/>
        <item x="127"/>
        <item x="263"/>
        <item x="106"/>
        <item x="27"/>
        <item x="492"/>
        <item x="244"/>
        <item x="531"/>
        <item x="434"/>
        <item x="575"/>
        <item x="590"/>
        <item x="51"/>
        <item x="476"/>
        <item x="586"/>
        <item x="282"/>
        <item x="83"/>
        <item x="389"/>
        <item x="311"/>
        <item x="119"/>
        <item x="89"/>
        <item x="7"/>
        <item x="87"/>
        <item x="243"/>
        <item x="247"/>
        <item x="221"/>
        <item x="139"/>
        <item x="418"/>
        <item x="605"/>
        <item x="461"/>
        <item x="602"/>
        <item x="373"/>
        <item x="620"/>
        <item x="601"/>
        <item x="572"/>
        <item x="291"/>
        <item x="543"/>
        <item x="609"/>
        <item x="53"/>
        <item x="404"/>
        <item x="14"/>
        <item x="517"/>
        <item x="341"/>
        <item x="354"/>
        <item x="460"/>
        <item x="526"/>
        <item x="416"/>
        <item x="211"/>
        <item x="408"/>
        <item x="463"/>
        <item x="490"/>
        <item x="257"/>
        <item x="363"/>
        <item x="321"/>
        <item x="174"/>
        <item x="26"/>
        <item x="113"/>
        <item x="582"/>
        <item x="3"/>
        <item x="94"/>
        <item x="179"/>
        <item x="124"/>
        <item x="412"/>
        <item x="169"/>
        <item x="108"/>
        <item x="464"/>
        <item x="593"/>
        <item x="285"/>
        <item x="305"/>
        <item x="551"/>
        <item x="201"/>
        <item x="6"/>
        <item x="137"/>
        <item x="445"/>
        <item x="101"/>
        <item x="248"/>
        <item x="333"/>
        <item x="358"/>
        <item x="388"/>
        <item x="439"/>
        <item x="608"/>
        <item x="462"/>
        <item x="217"/>
        <item x="347"/>
        <item x="307"/>
        <item x="318"/>
        <item x="232"/>
        <item x="59"/>
        <item x="297"/>
        <item x="303"/>
        <item x="326"/>
        <item x="39"/>
        <item x="268"/>
        <item x="411"/>
        <item x="621"/>
        <item x="457"/>
        <item x="238"/>
        <item x="511"/>
        <item x="369"/>
        <item x="128"/>
        <item x="350"/>
        <item x="488"/>
        <item x="466"/>
        <item x="330"/>
        <item x="485"/>
        <item x="391"/>
        <item x="133"/>
        <item x="194"/>
        <item x="35"/>
        <item x="74"/>
        <item x="212"/>
        <item x="561"/>
        <item x="245"/>
        <item x="239"/>
        <item x="327"/>
        <item x="227"/>
        <item x="584"/>
        <item x="314"/>
        <item x="370"/>
        <item x="597"/>
        <item x="15"/>
        <item x="68"/>
        <item x="598"/>
        <item x="344"/>
        <item x="216"/>
        <item x="571"/>
        <item x="570"/>
        <item x="240"/>
        <item x="186"/>
        <item x="2"/>
        <item x="513"/>
        <item x="296"/>
        <item x="508"/>
        <item x="580"/>
        <item x="483"/>
        <item x="275"/>
        <item x="407"/>
        <item x="449"/>
        <item x="269"/>
        <item x="79"/>
        <item x="198"/>
        <item x="447"/>
        <item x="497"/>
        <item x="5"/>
        <item x="258"/>
        <item x="12"/>
        <item x="28"/>
        <item x="105"/>
        <item x="410"/>
        <item x="579"/>
        <item x="75"/>
        <item x="161"/>
        <item x="384"/>
        <item x="520"/>
        <item x="565"/>
        <item x="123"/>
        <item x="222"/>
        <item x="57"/>
        <item x="155"/>
        <item x="510"/>
        <item x="218"/>
        <item x="72"/>
        <item x="168"/>
        <item x="308"/>
        <item x="486"/>
        <item x="578"/>
        <item x="162"/>
        <item x="536"/>
        <item x="495"/>
        <item x="546"/>
        <item x="599"/>
        <item x="167"/>
        <item x="417"/>
        <item x="270"/>
        <item x="206"/>
        <item x="612"/>
        <item x="233"/>
        <item x="481"/>
        <item x="530"/>
        <item x="189"/>
        <item x="0"/>
        <item x="192"/>
        <item x="299"/>
        <item x="545"/>
        <item x="423"/>
        <item x="334"/>
        <item x="617"/>
        <item x="66"/>
        <item x="166"/>
        <item x="271"/>
        <item x="118"/>
        <item x="627"/>
        <item x="524"/>
        <item x="187"/>
        <item x="224"/>
        <item x="604"/>
        <item x="403"/>
        <item x="136"/>
        <item x="82"/>
        <item x="397"/>
        <item x="85"/>
        <item x="436"/>
        <item x="504"/>
        <item x="30"/>
        <item x="4"/>
        <item x="103"/>
        <item x="122"/>
        <item x="564"/>
        <item x="574"/>
        <item x="294"/>
        <item x="610"/>
        <item x="231"/>
        <item x="277"/>
        <item x="200"/>
        <item x="343"/>
        <item x="443"/>
        <item x="185"/>
        <item x="262"/>
        <item x="304"/>
        <item x="46"/>
        <item x="419"/>
        <item x="196"/>
        <item x="596"/>
        <item x="606"/>
        <item x="390"/>
        <item x="325"/>
        <item x="86"/>
        <item x="393"/>
        <item x="71"/>
        <item x="364"/>
        <item x="25"/>
        <item x="81"/>
        <item x="252"/>
        <item x="437"/>
        <item x="246"/>
        <item x="381"/>
        <item x="581"/>
        <item x="241"/>
        <item x="623"/>
        <item x="332"/>
        <item x="576"/>
        <item x="316"/>
        <item x="380"/>
        <item x="378"/>
        <item x="591"/>
        <item x="254"/>
        <item x="214"/>
        <item x="503"/>
        <item x="525"/>
        <item x="491"/>
        <item x="328"/>
        <item x="143"/>
        <item x="234"/>
        <item x="70"/>
        <item x="154"/>
        <item x="183"/>
        <item x="615"/>
        <item x="249"/>
        <item x="473"/>
        <item x="421"/>
        <item x="36"/>
        <item x="331"/>
        <item x="549"/>
        <item x="178"/>
        <item x="90"/>
        <item x="156"/>
        <item x="402"/>
        <item x="182"/>
        <item x="141"/>
        <item x="458"/>
        <item x="215"/>
        <item x="509"/>
        <item x="317"/>
        <item x="527"/>
        <item x="518"/>
        <item x="10"/>
        <item x="293"/>
        <item x="399"/>
        <item x="315"/>
        <item x="41"/>
        <item x="395"/>
        <item x="130"/>
        <item x="489"/>
        <item x="441"/>
        <item x="594"/>
        <item x="494"/>
        <item x="32"/>
        <item x="428"/>
        <item x="386"/>
        <item x="279"/>
        <item x="351"/>
        <item x="92"/>
        <item x="235"/>
        <item x="401"/>
        <item x="191"/>
        <item x="170"/>
        <item x="554"/>
        <item x="190"/>
        <item x="22"/>
        <item x="301"/>
        <item x="78"/>
        <item x="563"/>
        <item x="208"/>
        <item x="566"/>
        <item x="498"/>
        <item x="515"/>
        <item x="69"/>
        <item x="309"/>
        <item x="558"/>
        <item x="171"/>
        <item x="197"/>
        <item x="62"/>
        <item x="312"/>
        <item x="446"/>
        <item x="400"/>
        <item x="283"/>
        <item x="147"/>
        <item x="377"/>
        <item x="622"/>
        <item x="453"/>
        <item x="420"/>
        <item x="164"/>
        <item x="284"/>
        <item x="470"/>
        <item x="427"/>
        <item x="38"/>
        <item x="43"/>
        <item x="158"/>
        <item x="502"/>
        <item x="44"/>
        <item x="533"/>
        <item x="274"/>
        <item x="467"/>
        <item x="371"/>
        <item x="104"/>
        <item x="618"/>
        <item x="616"/>
        <item x="84"/>
        <item x="250"/>
        <item x="559"/>
        <item x="16"/>
        <item x="365"/>
        <item x="589"/>
        <item x="163"/>
        <item x="55"/>
        <item x="37"/>
        <item x="450"/>
        <item x="50"/>
        <item x="88"/>
        <item x="405"/>
        <item x="228"/>
        <item x="387"/>
        <item x="67"/>
        <item x="547"/>
        <item x="349"/>
        <item x="469"/>
        <item x="148"/>
        <item x="433"/>
        <item x="455"/>
        <item x="630"/>
        <item x="430"/>
        <item x="345"/>
        <item x="151"/>
        <item x="553"/>
        <item x="145"/>
        <item x="577"/>
        <item x="406"/>
        <item x="398"/>
        <item x="359"/>
        <item x="33"/>
        <item x="573"/>
        <item x="535"/>
        <item x="220"/>
        <item x="251"/>
        <item x="209"/>
        <item x="184"/>
        <item x="438"/>
        <item x="281"/>
        <item x="8"/>
        <item x="368"/>
        <item x="479"/>
        <item x="516"/>
        <item x="102"/>
        <item x="425"/>
        <item x="256"/>
        <item x="552"/>
        <item x="484"/>
        <item x="544"/>
        <item x="176"/>
        <item x="507"/>
        <item x="335"/>
        <item x="472"/>
        <item x="91"/>
        <item x="522"/>
        <item x="595"/>
        <item x="413"/>
        <item x="435"/>
        <item x="267"/>
        <item x="614"/>
        <item x="280"/>
        <item x="499"/>
        <item x="261"/>
        <item x="523"/>
        <item x="587"/>
        <item x="142"/>
        <item x="129"/>
        <item x="611"/>
        <item x="426"/>
        <item x="210"/>
        <item x="160"/>
        <item x="409"/>
        <item x="474"/>
        <item x="456"/>
        <item x="31"/>
        <item x="585"/>
        <item x="64"/>
        <item x="292"/>
        <item x="99"/>
        <item x="195"/>
        <item x="415"/>
        <item x="366"/>
        <item x="21"/>
        <item x="290"/>
        <item x="394"/>
        <item x="459"/>
        <item x="468"/>
        <item x="29"/>
        <item x="367"/>
        <item x="58"/>
        <item x="500"/>
        <item x="23"/>
        <item x="440"/>
        <item x="383"/>
        <item x="548"/>
        <item x="260"/>
        <item x="287"/>
        <item x="355"/>
        <item x="444"/>
        <item x="541"/>
        <item x="93"/>
        <item x="352"/>
        <item x="49"/>
        <item x="236"/>
        <item x="451"/>
        <item x="272"/>
        <item x="295"/>
        <item x="300"/>
        <item x="375"/>
        <item x="273"/>
        <item x="342"/>
        <item x="107"/>
        <item x="225"/>
        <item x="538"/>
        <item x="144"/>
        <item x="382"/>
        <item x="202"/>
        <item x="242"/>
        <item x="454"/>
        <item x="157"/>
        <item x="188"/>
        <item x="121"/>
        <item x="542"/>
        <item x="13"/>
        <item x="213"/>
        <item x="61"/>
        <item x="320"/>
        <item x="111"/>
        <item x="264"/>
        <item x="45"/>
        <item x="619"/>
        <item x="506"/>
        <item x="452"/>
        <item x="568"/>
        <item x="339"/>
        <item x="115"/>
        <item x="138"/>
        <item x="475"/>
        <item x="253"/>
        <item x="20"/>
        <item x="348"/>
        <item x="288"/>
        <item x="562"/>
        <item x="60"/>
        <item x="512"/>
        <item x="24"/>
        <item x="353"/>
        <item x="204"/>
        <item x="205"/>
        <item x="329"/>
        <item x="159"/>
        <item x="110"/>
        <item x="255"/>
        <item x="135"/>
        <item x="306"/>
        <item x="226"/>
        <item x="173"/>
        <item x="487"/>
        <item x="336"/>
        <item x="97"/>
        <item x="34"/>
        <item x="324"/>
        <item x="219"/>
        <item x="550"/>
        <item x="360"/>
        <item x="310"/>
        <item x="340"/>
        <item x="207"/>
        <item x="319"/>
        <item x="153"/>
        <item x="625"/>
        <item x="374"/>
        <item x="302"/>
        <item x="77"/>
        <item x="496"/>
        <item x="583"/>
        <item x="628"/>
        <item x="607"/>
        <item x="372"/>
        <item x="278"/>
        <item x="42"/>
        <item x="600"/>
        <item x="56"/>
        <item x="48"/>
        <item x="442"/>
        <item x="40"/>
        <item x="17"/>
        <item x="203"/>
        <item x="505"/>
        <item x="414"/>
        <item x="337"/>
        <item x="514"/>
        <item x="569"/>
        <item x="482"/>
        <item x="76"/>
        <item x="379"/>
        <item x="555"/>
        <item x="529"/>
        <item x="471"/>
        <item x="266"/>
        <item x="313"/>
        <item x="528"/>
        <item x="376"/>
        <item x="18"/>
        <item x="567"/>
        <item x="429"/>
        <item x="181"/>
        <item x="19"/>
        <item x="448"/>
        <item x="149"/>
        <item x="534"/>
        <item x="603"/>
        <item x="478"/>
        <item x="357"/>
        <item x="120"/>
        <item x="480"/>
        <item x="322"/>
        <item x="629"/>
        <item x="556"/>
        <item x="356"/>
        <item x="392"/>
        <item x="63"/>
        <item x="95"/>
        <item x="9"/>
        <item x="624"/>
        <item x="537"/>
        <item x="199"/>
        <item x="424"/>
        <item x="592"/>
        <item x="557"/>
        <item x="80"/>
        <item x="126"/>
        <item x="396"/>
        <item x="100"/>
        <item x="539"/>
        <item x="431"/>
        <item x="140"/>
        <item x="276"/>
        <item x="117"/>
        <item x="521"/>
        <item x="588"/>
        <item x="465"/>
        <item x="165"/>
        <item x="223"/>
        <item x="346"/>
        <item x="362"/>
        <item x="175"/>
        <item x="613"/>
        <item x="422"/>
        <item x="47"/>
        <item x="237"/>
        <item t="default"/>
      </items>
    </pivotField>
    <pivotField compact="0" showAll="0">
      <items count="633">
        <item x="1"/>
        <item x="132"/>
        <item x="11"/>
        <item x="116"/>
        <item x="501"/>
        <item x="626"/>
        <item x="385"/>
        <item x="265"/>
        <item x="152"/>
        <item x="177"/>
        <item x="289"/>
        <item x="477"/>
        <item x="150"/>
        <item x="298"/>
        <item x="560"/>
        <item x="259"/>
        <item x="134"/>
        <item x="338"/>
        <item x="146"/>
        <item x="125"/>
        <item x="323"/>
        <item x="361"/>
        <item x="540"/>
        <item x="432"/>
        <item x="98"/>
        <item x="114"/>
        <item x="65"/>
        <item x="112"/>
        <item x="131"/>
        <item x="52"/>
        <item x="73"/>
        <item x="229"/>
        <item x="631"/>
        <item x="193"/>
        <item x="244"/>
        <item x="590"/>
        <item x="492"/>
        <item x="230"/>
        <item x="27"/>
        <item x="286"/>
        <item x="605"/>
        <item x="363"/>
        <item x="601"/>
        <item x="416"/>
        <item x="404"/>
        <item x="54"/>
        <item x="14"/>
        <item x="388"/>
        <item x="497"/>
        <item x="434"/>
        <item x="423"/>
        <item x="407"/>
        <item x="373"/>
        <item x="543"/>
        <item x="321"/>
        <item x="187"/>
        <item x="180"/>
        <item x="192"/>
        <item x="72"/>
        <item x="2"/>
        <item x="105"/>
        <item x="519"/>
        <item x="127"/>
        <item x="408"/>
        <item x="617"/>
        <item x="384"/>
        <item x="94"/>
        <item x="303"/>
        <item x="196"/>
        <item x="397"/>
        <item x="3"/>
        <item x="593"/>
        <item x="449"/>
        <item x="457"/>
        <item x="101"/>
        <item x="87"/>
        <item x="66"/>
        <item x="58"/>
        <item x="167"/>
        <item x="109"/>
        <item x="201"/>
        <item x="622"/>
        <item x="268"/>
        <item x="411"/>
        <item x="427"/>
        <item x="333"/>
        <item x="224"/>
        <item x="53"/>
        <item x="137"/>
        <item x="139"/>
        <item x="166"/>
        <item x="238"/>
        <item x="476"/>
        <item x="122"/>
        <item x="81"/>
        <item x="179"/>
        <item x="74"/>
        <item x="252"/>
        <item x="68"/>
        <item x="55"/>
        <item x="299"/>
        <item x="36"/>
        <item x="390"/>
        <item x="123"/>
        <item x="574"/>
        <item x="263"/>
        <item x="609"/>
        <item x="200"/>
        <item x="532"/>
        <item x="212"/>
        <item x="96"/>
        <item x="35"/>
        <item x="85"/>
        <item x="561"/>
        <item x="275"/>
        <item x="383"/>
        <item x="216"/>
        <item x="485"/>
        <item x="285"/>
        <item x="51"/>
        <item x="545"/>
        <item x="106"/>
        <item x="190"/>
        <item x="402"/>
        <item x="86"/>
        <item x="16"/>
        <item x="618"/>
        <item x="15"/>
        <item x="606"/>
        <item x="198"/>
        <item x="531"/>
        <item x="358"/>
        <item x="510"/>
        <item x="269"/>
        <item x="317"/>
        <item x="155"/>
        <item x="311"/>
        <item x="340"/>
        <item x="401"/>
        <item x="235"/>
        <item x="59"/>
        <item x="10"/>
        <item x="580"/>
        <item x="234"/>
        <item x="612"/>
        <item x="566"/>
        <item x="512"/>
        <item x="530"/>
        <item x="462"/>
        <item x="215"/>
        <item x="4"/>
        <item x="393"/>
        <item x="351"/>
        <item x="381"/>
        <item x="364"/>
        <item x="142"/>
        <item x="227"/>
        <item x="248"/>
        <item x="369"/>
        <item x="184"/>
        <item x="526"/>
        <item x="400"/>
        <item x="170"/>
        <item x="504"/>
        <item x="365"/>
        <item x="554"/>
        <item x="162"/>
        <item x="84"/>
        <item x="426"/>
        <item x="189"/>
        <item x="375"/>
        <item x="319"/>
        <item x="447"/>
        <item x="136"/>
        <item x="208"/>
        <item x="236"/>
        <item x="576"/>
        <item x="63"/>
        <item x="564"/>
        <item x="257"/>
        <item x="520"/>
        <item x="395"/>
        <item x="30"/>
        <item x="536"/>
        <item x="610"/>
        <item x="417"/>
        <item x="435"/>
        <item x="382"/>
        <item x="438"/>
        <item x="406"/>
        <item x="185"/>
        <item x="591"/>
        <item x="619"/>
        <item x="99"/>
        <item x="75"/>
        <item x="307"/>
        <item x="195"/>
        <item x="151"/>
        <item x="264"/>
        <item x="380"/>
        <item x="49"/>
        <item x="314"/>
        <item x="246"/>
        <item x="272"/>
        <item x="44"/>
        <item x="343"/>
        <item x="282"/>
        <item x="387"/>
        <item x="392"/>
        <item x="249"/>
        <item x="575"/>
        <item x="350"/>
        <item x="428"/>
        <item x="399"/>
        <item x="6"/>
        <item x="623"/>
        <item x="306"/>
        <item x="479"/>
        <item x="528"/>
        <item x="270"/>
        <item x="548"/>
        <item x="221"/>
        <item x="488"/>
        <item x="325"/>
        <item x="377"/>
        <item x="168"/>
        <item x="553"/>
        <item x="419"/>
        <item x="294"/>
        <item x="39"/>
        <item x="371"/>
        <item x="242"/>
        <item x="516"/>
        <item x="154"/>
        <item x="284"/>
        <item x="587"/>
        <item x="441"/>
        <item x="463"/>
        <item x="602"/>
        <item x="578"/>
        <item x="50"/>
        <item x="218"/>
        <item x="484"/>
        <item x="513"/>
        <item x="549"/>
        <item x="243"/>
        <item x="70"/>
        <item x="511"/>
        <item x="460"/>
        <item x="522"/>
        <item x="211"/>
        <item x="194"/>
        <item x="31"/>
        <item x="527"/>
        <item x="206"/>
        <item x="420"/>
        <item x="241"/>
        <item x="64"/>
        <item x="439"/>
        <item x="203"/>
        <item x="615"/>
        <item x="483"/>
        <item x="38"/>
        <item x="506"/>
        <item x="461"/>
        <item x="7"/>
        <item x="494"/>
        <item x="138"/>
        <item x="573"/>
        <item x="169"/>
        <item x="174"/>
        <item x="297"/>
        <item x="186"/>
        <item x="113"/>
        <item x="143"/>
        <item x="140"/>
        <item x="608"/>
        <item x="273"/>
        <item x="271"/>
        <item x="571"/>
        <item x="620"/>
        <item x="228"/>
        <item x="421"/>
        <item x="147"/>
        <item x="161"/>
        <item x="409"/>
        <item x="291"/>
        <item x="370"/>
        <item x="542"/>
        <item x="239"/>
        <item x="89"/>
        <item x="262"/>
        <item x="45"/>
        <item x="598"/>
        <item x="353"/>
        <item x="583"/>
        <item x="316"/>
        <item x="172"/>
        <item x="327"/>
        <item x="302"/>
        <item x="410"/>
        <item x="60"/>
        <item x="318"/>
        <item x="133"/>
        <item x="596"/>
        <item x="468"/>
        <item x="240"/>
        <item x="25"/>
        <item x="469"/>
        <item x="256"/>
        <item x="599"/>
        <item x="467"/>
        <item x="79"/>
        <item x="124"/>
        <item x="562"/>
        <item x="232"/>
        <item x="41"/>
        <item x="352"/>
        <item x="119"/>
        <item x="292"/>
        <item x="552"/>
        <item x="78"/>
        <item x="160"/>
        <item x="9"/>
        <item x="91"/>
        <item x="459"/>
        <item x="209"/>
        <item x="276"/>
        <item x="584"/>
        <item x="40"/>
        <item x="412"/>
        <item x="26"/>
        <item x="111"/>
        <item x="547"/>
        <item x="22"/>
        <item x="12"/>
        <item x="585"/>
        <item x="339"/>
        <item x="188"/>
        <item x="518"/>
        <item x="83"/>
        <item x="251"/>
        <item x="524"/>
        <item x="503"/>
        <item x="418"/>
        <item x="360"/>
        <item x="97"/>
        <item x="515"/>
        <item x="357"/>
        <item x="296"/>
        <item x="308"/>
        <item x="300"/>
        <item x="283"/>
        <item x="42"/>
        <item x="197"/>
        <item x="61"/>
        <item x="183"/>
        <item x="465"/>
        <item x="453"/>
        <item x="165"/>
        <item x="341"/>
        <item x="148"/>
        <item x="92"/>
        <item x="144"/>
        <item x="331"/>
        <item x="582"/>
        <item x="312"/>
        <item x="525"/>
        <item x="455"/>
        <item x="126"/>
        <item x="456"/>
        <item x="376"/>
        <item x="164"/>
        <item x="328"/>
        <item x="46"/>
        <item x="486"/>
        <item x="614"/>
        <item x="67"/>
        <item x="424"/>
        <item x="489"/>
        <item x="464"/>
        <item x="567"/>
        <item x="332"/>
        <item x="448"/>
        <item x="558"/>
        <item x="80"/>
        <item x="32"/>
        <item x="202"/>
        <item x="62"/>
        <item x="490"/>
        <item x="473"/>
        <item x="386"/>
        <item x="173"/>
        <item x="337"/>
        <item x="237"/>
        <item x="247"/>
        <item x="355"/>
        <item x="281"/>
        <item x="214"/>
        <item x="301"/>
        <item x="233"/>
        <item x="199"/>
        <item x="559"/>
        <item x="118"/>
        <item x="260"/>
        <item x="405"/>
        <item x="359"/>
        <item x="159"/>
        <item x="90"/>
        <item x="175"/>
        <item x="57"/>
        <item x="48"/>
        <item x="508"/>
        <item x="437"/>
        <item x="625"/>
        <item x="267"/>
        <item x="107"/>
        <item x="226"/>
        <item x="258"/>
        <item x="535"/>
        <item x="374"/>
        <item x="261"/>
        <item x="278"/>
        <item x="77"/>
        <item x="309"/>
        <item x="104"/>
        <item x="533"/>
        <item x="280"/>
        <item x="474"/>
        <item x="313"/>
        <item x="219"/>
        <item x="628"/>
        <item x="315"/>
        <item x="556"/>
        <item x="475"/>
        <item x="157"/>
        <item x="335"/>
        <item x="611"/>
        <item x="17"/>
        <item x="600"/>
        <item x="539"/>
        <item x="141"/>
        <item x="348"/>
        <item x="149"/>
        <item x="345"/>
        <item x="546"/>
        <item x="181"/>
        <item x="429"/>
        <item x="210"/>
        <item x="310"/>
        <item x="509"/>
        <item x="329"/>
        <item x="577"/>
        <item x="176"/>
        <item x="534"/>
        <item x="266"/>
        <item x="444"/>
        <item x="217"/>
        <item x="422"/>
        <item x="425"/>
        <item x="103"/>
        <item x="572"/>
        <item x="579"/>
        <item x="128"/>
        <item x="213"/>
        <item x="288"/>
        <item x="110"/>
        <item x="346"/>
        <item x="222"/>
        <item x="279"/>
        <item x="21"/>
        <item x="466"/>
        <item x="5"/>
        <item x="482"/>
        <item x="537"/>
        <item x="450"/>
        <item x="250"/>
        <item x="624"/>
        <item x="366"/>
        <item x="274"/>
        <item x="347"/>
        <item x="8"/>
        <item x="454"/>
        <item x="433"/>
        <item x="495"/>
        <item x="29"/>
        <item x="517"/>
        <item x="487"/>
        <item x="394"/>
        <item x="550"/>
        <item x="326"/>
        <item x="586"/>
        <item x="507"/>
        <item x="440"/>
        <item x="163"/>
        <item x="478"/>
        <item x="604"/>
        <item x="413"/>
        <item x="245"/>
        <item x="499"/>
        <item x="135"/>
        <item x="0"/>
        <item x="551"/>
        <item x="389"/>
        <item x="500"/>
        <item x="445"/>
        <item x="372"/>
        <item x="76"/>
        <item x="446"/>
        <item x="589"/>
        <item x="592"/>
        <item x="191"/>
        <item x="430"/>
        <item x="121"/>
        <item x="277"/>
        <item x="630"/>
        <item x="496"/>
        <item x="472"/>
        <item x="37"/>
        <item x="18"/>
        <item x="23"/>
        <item x="336"/>
        <item x="568"/>
        <item x="481"/>
        <item x="253"/>
        <item x="621"/>
        <item x="153"/>
        <item x="225"/>
        <item x="436"/>
        <item x="43"/>
        <item x="182"/>
        <item x="588"/>
        <item x="396"/>
        <item x="470"/>
        <item x="398"/>
        <item x="565"/>
        <item x="205"/>
        <item x="502"/>
        <item x="71"/>
        <item x="334"/>
        <item x="594"/>
        <item x="108"/>
        <item x="69"/>
        <item x="471"/>
        <item x="570"/>
        <item x="354"/>
        <item x="356"/>
        <item x="569"/>
        <item x="290"/>
        <item x="117"/>
        <item x="19"/>
        <item x="415"/>
        <item x="145"/>
        <item x="603"/>
        <item x="33"/>
        <item x="627"/>
        <item x="88"/>
        <item x="493"/>
        <item x="443"/>
        <item x="349"/>
        <item x="480"/>
        <item x="28"/>
        <item x="115"/>
        <item x="458"/>
        <item x="597"/>
        <item x="82"/>
        <item x="220"/>
        <item x="287"/>
        <item x="523"/>
        <item x="403"/>
        <item x="204"/>
        <item x="629"/>
        <item x="330"/>
        <item x="442"/>
        <item x="362"/>
        <item x="231"/>
        <item x="171"/>
        <item x="563"/>
        <item x="93"/>
        <item x="557"/>
        <item x="207"/>
        <item x="34"/>
        <item x="514"/>
        <item x="158"/>
        <item x="498"/>
        <item x="304"/>
        <item x="120"/>
        <item x="295"/>
        <item x="505"/>
        <item x="368"/>
        <item x="344"/>
        <item x="129"/>
        <item x="521"/>
        <item x="555"/>
        <item x="322"/>
        <item x="378"/>
        <item x="24"/>
        <item x="544"/>
        <item x="452"/>
        <item x="156"/>
        <item x="391"/>
        <item x="595"/>
        <item x="379"/>
        <item x="367"/>
        <item x="607"/>
        <item x="95"/>
        <item x="178"/>
        <item x="541"/>
        <item x="538"/>
        <item x="13"/>
        <item x="491"/>
        <item x="451"/>
        <item x="342"/>
        <item x="102"/>
        <item x="254"/>
        <item x="320"/>
        <item x="20"/>
        <item x="414"/>
        <item x="616"/>
        <item x="431"/>
        <item x="130"/>
        <item x="223"/>
        <item x="56"/>
        <item x="324"/>
        <item x="293"/>
        <item x="305"/>
        <item x="581"/>
        <item x="613"/>
        <item x="529"/>
        <item x="255"/>
        <item x="100"/>
        <item x="47"/>
        <item t="default"/>
      </items>
    </pivotField>
    <pivotField compact="0" defaultSubtotal="0" showAll="0">
      <items count="5">
        <item x="0"/>
        <item x="4"/>
        <item x="1"/>
        <item x="2"/>
        <item x="3"/>
      </items>
    </pivotField>
  </pivotFields>
  <rowFields count="1">
    <field x="0"/>
  </rowFields>
  <rowItems count="32">
    <i>
      <x v="40"/>
    </i>
    <i>
      <x v="49"/>
    </i>
    <i>
      <x v="62"/>
    </i>
    <i>
      <x v="71"/>
    </i>
    <i>
      <x v="77"/>
    </i>
    <i>
      <x v="97"/>
    </i>
    <i>
      <x v="126"/>
    </i>
    <i>
      <x v="164"/>
    </i>
    <i>
      <x v="173"/>
    </i>
    <i>
      <x v="213"/>
    </i>
    <i>
      <x v="232"/>
    </i>
    <i>
      <x v="258"/>
    </i>
    <i>
      <x v="262"/>
    </i>
    <i>
      <x v="264"/>
    </i>
    <i>
      <x v="266"/>
    </i>
    <i>
      <x v="279"/>
    </i>
    <i>
      <x v="286"/>
    </i>
    <i>
      <x v="318"/>
    </i>
    <i>
      <x v="338"/>
    </i>
    <i>
      <x v="360"/>
    </i>
    <i>
      <x v="368"/>
    </i>
    <i>
      <x v="379"/>
    </i>
    <i>
      <x v="397"/>
    </i>
    <i>
      <x v="459"/>
    </i>
    <i>
      <x v="461"/>
    </i>
    <i>
      <x v="462"/>
    </i>
    <i>
      <x v="518"/>
    </i>
    <i>
      <x v="528"/>
    </i>
    <i>
      <x v="572"/>
    </i>
    <i>
      <x v="590"/>
    </i>
    <i>
      <x v="603"/>
    </i>
    <i t="grand">
      <x/>
    </i>
  </rowItems>
  <colItems count="1">
    <i/>
  </colItems>
  <dataFields count="1">
    <dataField name="DiscountPct &gt; 0.25" fld="22" baseField="0" baseItem="0"/>
  </dataFields>
  <pivotTableStyleInfo name="PivotStyleLight16" showRowHeaders="1" showColHeaders="1" showLastColumn="1"/>
  <filters count="1">
    <filter evalOrder="-1" fld="0" iMeasureFld="0" id="1" type="valueGreaterThan">
      <autoFilter ref="A1">
        <filterColumn colId="0">
          <customFilters>
            <customFilter operator="greaterThan" val="0.2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24" name="PivotTable5"/>
    <pivotTable tabId="4" name="PivotTable1"/>
    <pivotTable tabId="9" name="PivotTable7"/>
    <pivotTable tabId="11" name="PivotTable9"/>
    <pivotTable tabId="13" name="PivotTable2"/>
    <pivotTable tabId="14" name="PivotTable3"/>
    <pivotTable tabId="15" name="PivotTable4"/>
    <pivotTable tabId="18" name="PivotTable5"/>
    <pivotTable tabId="20" name="PivotTable1"/>
    <pivotTable tabId="21" name="PivotTable2"/>
    <pivotTable tabId="29" name="PivotTable1"/>
    <pivotTable tabId="30" name="PivotTable1"/>
  </pivotTables>
  <data>
    <tabular pivotCacheId="1">
      <items count="4">
        <i x="0" s="1"/>
        <i x="2" s="1"/>
        <i x="1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ountry" sourceName="Country">
  <pivotTables>
    <pivotTable tabId="24" name="PivotTable5"/>
    <pivotTable tabId="4" name="PivotTable1"/>
    <pivotTable tabId="9" name="PivotTable7"/>
    <pivotTable tabId="11" name="PivotTable9"/>
    <pivotTable tabId="13" name="PivotTable2"/>
    <pivotTable tabId="14" name="PivotTable3"/>
    <pivotTable tabId="15" name="PivotTable4"/>
    <pivotTable tabId="18" name="PivotTable5"/>
    <pivotTable tabId="20" name="PivotTable1"/>
    <pivotTable tabId="21" name="PivotTable2"/>
    <pivotTable tabId="29" name="PivotTable1"/>
    <pivotTable tabId="30" name="PivotTable1"/>
  </pivotTables>
  <data>
    <tabular pivotCacheId="1">
      <items count="12">
        <i x="5" s="1"/>
        <i x="3" s="1"/>
        <i x="9" s="1"/>
        <i x="7" s="1"/>
        <i x="6" s="1"/>
        <i x="4" s="1"/>
        <i x="2" s="1"/>
        <i x="0" s="1"/>
        <i x="1" s="1"/>
        <i x="11" s="1"/>
        <i x="8" s="1"/>
        <i x="1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hannel" sourceName="Channel">
  <pivotTables>
    <pivotTable tabId="24" name="PivotTable5"/>
    <pivotTable tabId="4" name="PivotTable1"/>
    <pivotTable tabId="9" name="PivotTable7"/>
    <pivotTable tabId="11" name="PivotTable9"/>
    <pivotTable tabId="13" name="PivotTable2"/>
    <pivotTable tabId="14" name="PivotTable3"/>
    <pivotTable tabId="15" name="PivotTable4"/>
    <pivotTable tabId="18" name="PivotTable5"/>
    <pivotTable tabId="20" name="PivotTable1"/>
    <pivotTable tabId="21" name="PivotTable2"/>
    <pivotTable tabId="29" name="PivotTable1"/>
    <pivotTable tabId="30" name="PivotTable1"/>
  </pivotTables>
  <data>
    <tabular pivotCacheId="1">
      <items count="6">
        <i x="4" s="1"/>
        <i x="3" s="1"/>
        <i x="2" s="1"/>
        <i x="5" s="1"/>
        <i x="1" s="1"/>
        <i x="0" s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alesperson" sourceName="Salesperson">
  <pivotTables>
    <pivotTable tabId="24" name="PivotTable5"/>
    <pivotTable tabId="4" name="PivotTable1"/>
    <pivotTable tabId="9" name="PivotTable7"/>
    <pivotTable tabId="11" name="PivotTable9"/>
    <pivotTable tabId="13" name="PivotTable2"/>
    <pivotTable tabId="14" name="PivotTable3"/>
    <pivotTable tabId="15" name="PivotTable4"/>
    <pivotTable tabId="18" name="PivotTable5"/>
    <pivotTable tabId="20" name="PivotTable1"/>
    <pivotTable tabId="21" name="PivotTable2"/>
    <pivotTable tabId="29" name="PivotTable1"/>
    <pivotTable tabId="30" name="PivotTable1"/>
  </pivotTables>
  <data>
    <tabular pivotCacheId="1">
      <items count="16">
        <i x="8" s="1"/>
        <i x="5" s="1"/>
        <i x="0" s="1"/>
        <i x="14" s="1"/>
        <i x="6" s="1"/>
        <i x="9" s="1"/>
        <i x="3" s="1"/>
        <i x="10" s="1"/>
        <i x="2" s="1"/>
        <i x="1" s="1"/>
        <i x="11" s="1"/>
        <i x="4" s="1"/>
        <i x="12" s="1"/>
        <i x="13" s="1"/>
        <i x="7" s="1"/>
        <i x="15" s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Category" sourceName="ProductCategory">
  <pivotTables>
    <pivotTable tabId="24" name="PivotTable5"/>
    <pivotTable tabId="4" name="PivotTable1"/>
    <pivotTable tabId="9" name="PivotTable7"/>
    <pivotTable tabId="11" name="PivotTable9"/>
    <pivotTable tabId="13" name="PivotTable2"/>
    <pivotTable tabId="14" name="PivotTable3"/>
    <pivotTable tabId="15" name="PivotTable4"/>
    <pivotTable tabId="18" name="PivotTable5"/>
    <pivotTable tabId="20" name="PivotTable1"/>
    <pivotTable tabId="21" name="PivotTable2"/>
    <pivotTable tabId="29" name="PivotTable1"/>
    <pivotTable tabId="30" name="PivotTable1"/>
  </pivotTables>
  <data>
    <tabular pivotCacheId="1">
      <items count="7">
        <i x="6" s="1"/>
        <i x="0" s="1"/>
        <i x="4" s="1"/>
        <i x="5" s="1"/>
        <i x="2" s="1"/>
        <i x="3" s="1"/>
        <i x="1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rderDate" sourceName="OrderDate">
  <pivotTables>
    <pivotTable tabId="24" name="PivotTable5"/>
    <pivotTable tabId="4" name="PivotTable1"/>
    <pivotTable tabId="9" name="PivotTable7"/>
    <pivotTable tabId="11" name="PivotTable9"/>
    <pivotTable tabId="13" name="PivotTable2"/>
    <pivotTable tabId="14" name="PivotTable3"/>
    <pivotTable tabId="15" name="PivotTable4"/>
    <pivotTable tabId="18" name="PivotTable5"/>
    <pivotTable tabId="20" name="PivotTable1"/>
    <pivotTable tabId="21" name="PivotTable2"/>
    <pivotTable tabId="29" name="PivotTable1"/>
    <pivotTable tabId="30" name="PivotTable1"/>
  </pivotTables>
  <data>
    <tabular pivotCacheId="1">
      <items count="14"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0" s="1" nd="1"/>
        <i x="13" s="1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rowHeight="225425"/>
  <slicer name="Country" cache="Slicer_Country" caption="Country" startItem="5" rowHeight="225425"/>
  <slicer name="Channel" cache="Slicer_Channel" caption="Channel" startItem="1" rowHeight="225425"/>
  <slicer name="Salesperson" cache="Slicer_Salesperson" caption="Salesperson" rowHeight="225425"/>
  <slicer name="ProductCategory" cache="Slicer_ProductCategory" caption="ProductCategory" rowHeight="225425"/>
  <slicer name="OrderDate" cache="Slicer_OrderDate" caption="Month" startItem="1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9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0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11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2.xml"/></Relationships>
</file>

<file path=xl/worksheets/_rels/sheet17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33"/>
  <sheetViews>
    <sheetView workbookViewId="0">
      <selection activeCell="A1" sqref="$A1:$XFD1048576"/>
    </sheetView>
  </sheetViews>
  <sheetFormatPr defaultColWidth="9" defaultRowHeight="14.5"/>
  <sheetData>
    <row r="1" spans="1:15">
      <c r="A1" s="25" t="s">
        <v>0</v>
      </c>
      <c r="B1" s="25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5" t="s">
        <v>6</v>
      </c>
      <c r="H1" s="25" t="s">
        <v>7</v>
      </c>
      <c r="I1" s="25" t="s">
        <v>8</v>
      </c>
      <c r="J1" s="25" t="s">
        <v>9</v>
      </c>
      <c r="K1" s="25" t="s">
        <v>10</v>
      </c>
      <c r="L1" s="25" t="s">
        <v>11</v>
      </c>
      <c r="M1" s="25" t="s">
        <v>12</v>
      </c>
      <c r="N1" s="25" t="s">
        <v>13</v>
      </c>
      <c r="O1" s="25" t="s">
        <v>14</v>
      </c>
    </row>
    <row r="2" spans="1:15">
      <c r="A2" t="s">
        <v>15</v>
      </c>
      <c r="B2" s="39">
        <v>45362</v>
      </c>
      <c r="C2" s="39">
        <v>45388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>
        <v>279.24</v>
      </c>
      <c r="M2">
        <v>608.9</v>
      </c>
      <c r="N2">
        <v>0.112</v>
      </c>
      <c r="O2">
        <v>9</v>
      </c>
    </row>
    <row r="3" spans="1:15">
      <c r="A3" t="s">
        <v>24</v>
      </c>
      <c r="B3" s="39">
        <v>45588</v>
      </c>
      <c r="C3" s="39">
        <v>45587</v>
      </c>
      <c r="D3" t="s">
        <v>16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>
        <v>1084.39</v>
      </c>
      <c r="M3">
        <v>759.33</v>
      </c>
      <c r="N3">
        <v>0.237</v>
      </c>
      <c r="O3">
        <v>31</v>
      </c>
    </row>
    <row r="4" spans="1:15">
      <c r="A4" t="s">
        <v>32</v>
      </c>
      <c r="B4" s="39">
        <v>44985</v>
      </c>
      <c r="C4" s="39">
        <v>45010</v>
      </c>
      <c r="D4" t="s">
        <v>16</v>
      </c>
      <c r="E4" t="s">
        <v>17</v>
      </c>
      <c r="F4" t="s">
        <v>33</v>
      </c>
      <c r="G4" t="s">
        <v>19</v>
      </c>
      <c r="H4" t="s">
        <v>20</v>
      </c>
      <c r="I4" t="s">
        <v>34</v>
      </c>
      <c r="J4" t="s">
        <v>35</v>
      </c>
      <c r="K4" t="s">
        <v>36</v>
      </c>
      <c r="L4">
        <v>1460.76</v>
      </c>
      <c r="M4">
        <v>-30.66</v>
      </c>
      <c r="N4">
        <v>0.131</v>
      </c>
      <c r="O4">
        <v>12</v>
      </c>
    </row>
    <row r="5" spans="1:15">
      <c r="A5" t="s">
        <v>37</v>
      </c>
      <c r="B5" s="39">
        <v>45745</v>
      </c>
      <c r="C5" s="39">
        <v>45749</v>
      </c>
      <c r="D5" t="s">
        <v>16</v>
      </c>
      <c r="E5" t="s">
        <v>25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43</v>
      </c>
      <c r="L5">
        <v>259.93</v>
      </c>
      <c r="M5">
        <v>255.94</v>
      </c>
      <c r="N5">
        <v>0.072</v>
      </c>
      <c r="O5">
        <v>22</v>
      </c>
    </row>
    <row r="6" spans="1:15">
      <c r="A6" t="s">
        <v>44</v>
      </c>
      <c r="B6" s="39">
        <v>45266</v>
      </c>
      <c r="C6" s="39">
        <v>45291</v>
      </c>
      <c r="D6" t="s">
        <v>45</v>
      </c>
      <c r="E6" t="s">
        <v>46</v>
      </c>
      <c r="F6" t="s">
        <v>47</v>
      </c>
      <c r="G6" t="s">
        <v>48</v>
      </c>
      <c r="H6" t="s">
        <v>20</v>
      </c>
      <c r="I6" t="s">
        <v>49</v>
      </c>
      <c r="J6" t="s">
        <v>30</v>
      </c>
      <c r="K6" t="s">
        <v>50</v>
      </c>
      <c r="L6">
        <v>663.03</v>
      </c>
      <c r="M6">
        <v>813.51</v>
      </c>
      <c r="N6">
        <v>0.102</v>
      </c>
      <c r="O6">
        <v>15</v>
      </c>
    </row>
    <row r="7" spans="1:15">
      <c r="A7" t="s">
        <v>51</v>
      </c>
      <c r="B7" s="39">
        <v>44928</v>
      </c>
      <c r="C7" s="39">
        <v>44931</v>
      </c>
      <c r="D7" t="s">
        <v>52</v>
      </c>
      <c r="E7" t="s">
        <v>53</v>
      </c>
      <c r="F7" t="s">
        <v>54</v>
      </c>
      <c r="G7" t="s">
        <v>19</v>
      </c>
      <c r="H7" t="s">
        <v>55</v>
      </c>
      <c r="I7" t="s">
        <v>56</v>
      </c>
      <c r="J7" t="s">
        <v>57</v>
      </c>
      <c r="K7" t="s">
        <v>58</v>
      </c>
      <c r="L7">
        <v>315.87</v>
      </c>
      <c r="M7">
        <v>591.68</v>
      </c>
      <c r="N7">
        <v>0</v>
      </c>
      <c r="O7">
        <v>7</v>
      </c>
    </row>
    <row r="8" spans="1:15">
      <c r="A8" t="s">
        <v>59</v>
      </c>
      <c r="B8" s="39">
        <v>45653</v>
      </c>
      <c r="C8" s="39">
        <v>45671</v>
      </c>
      <c r="D8" t="s">
        <v>45</v>
      </c>
      <c r="E8" t="s">
        <v>60</v>
      </c>
      <c r="F8" t="s">
        <v>61</v>
      </c>
      <c r="G8" t="s">
        <v>62</v>
      </c>
      <c r="H8" t="s">
        <v>40</v>
      </c>
      <c r="I8" t="s">
        <v>63</v>
      </c>
      <c r="J8" t="s">
        <v>64</v>
      </c>
      <c r="K8" t="s">
        <v>65</v>
      </c>
      <c r="L8">
        <v>586.07</v>
      </c>
      <c r="M8">
        <v>845.97</v>
      </c>
      <c r="N8">
        <v>0.147</v>
      </c>
      <c r="O8">
        <v>4</v>
      </c>
    </row>
    <row r="9" spans="1:15">
      <c r="A9" t="s">
        <v>66</v>
      </c>
      <c r="B9" s="39">
        <v>44941</v>
      </c>
      <c r="C9" s="39">
        <v>44939</v>
      </c>
      <c r="D9" t="s">
        <v>16</v>
      </c>
      <c r="E9" t="s">
        <v>25</v>
      </c>
      <c r="F9" t="s">
        <v>67</v>
      </c>
      <c r="G9" t="s">
        <v>27</v>
      </c>
      <c r="H9" t="s">
        <v>28</v>
      </c>
      <c r="I9" t="s">
        <v>68</v>
      </c>
      <c r="J9" t="s">
        <v>30</v>
      </c>
      <c r="K9" t="s">
        <v>69</v>
      </c>
      <c r="L9">
        <v>28.38</v>
      </c>
      <c r="M9">
        <v>47.22</v>
      </c>
      <c r="N9">
        <v>0.194</v>
      </c>
      <c r="O9">
        <v>18</v>
      </c>
    </row>
    <row r="10" spans="1:15">
      <c r="A10" t="s">
        <v>70</v>
      </c>
      <c r="B10" s="39">
        <v>45416</v>
      </c>
      <c r="C10" s="39">
        <v>45441</v>
      </c>
      <c r="D10" t="s">
        <v>16</v>
      </c>
      <c r="E10" t="s">
        <v>25</v>
      </c>
      <c r="F10" t="s">
        <v>67</v>
      </c>
      <c r="G10" t="s">
        <v>39</v>
      </c>
      <c r="H10" t="s">
        <v>40</v>
      </c>
      <c r="I10" t="s">
        <v>68</v>
      </c>
      <c r="J10" t="s">
        <v>64</v>
      </c>
      <c r="K10" t="s">
        <v>71</v>
      </c>
      <c r="L10">
        <v>1295.34</v>
      </c>
      <c r="M10">
        <v>2530.81</v>
      </c>
      <c r="N10">
        <v>0.031</v>
      </c>
      <c r="O10">
        <v>6</v>
      </c>
    </row>
    <row r="11" spans="1:15">
      <c r="A11" t="s">
        <v>72</v>
      </c>
      <c r="B11" s="39">
        <v>45798</v>
      </c>
      <c r="C11" s="39">
        <v>45817</v>
      </c>
      <c r="D11" t="s">
        <v>52</v>
      </c>
      <c r="E11" t="s">
        <v>73</v>
      </c>
      <c r="F11" t="s">
        <v>74</v>
      </c>
      <c r="G11" t="s">
        <v>39</v>
      </c>
      <c r="H11" t="s">
        <v>28</v>
      </c>
      <c r="I11" t="s">
        <v>75</v>
      </c>
      <c r="J11" t="s">
        <v>22</v>
      </c>
      <c r="K11" t="s">
        <v>76</v>
      </c>
      <c r="L11">
        <v>1331.38</v>
      </c>
      <c r="M11">
        <v>2309.56</v>
      </c>
      <c r="N11">
        <v>0.149</v>
      </c>
      <c r="O11">
        <v>31</v>
      </c>
    </row>
    <row r="12" spans="1:15">
      <c r="A12" t="s">
        <v>77</v>
      </c>
      <c r="B12" s="39">
        <v>45319</v>
      </c>
      <c r="C12" s="39">
        <v>45331</v>
      </c>
      <c r="D12" t="s">
        <v>78</v>
      </c>
      <c r="E12" t="s">
        <v>79</v>
      </c>
      <c r="F12" t="s">
        <v>80</v>
      </c>
      <c r="G12" t="s">
        <v>19</v>
      </c>
      <c r="H12" t="s">
        <v>28</v>
      </c>
      <c r="I12" t="s">
        <v>41</v>
      </c>
      <c r="J12" t="s">
        <v>81</v>
      </c>
      <c r="K12" t="s">
        <v>82</v>
      </c>
      <c r="L12">
        <v>644.17</v>
      </c>
      <c r="M12">
        <v>700.12</v>
      </c>
      <c r="N12">
        <v>0.006</v>
      </c>
      <c r="O12">
        <v>23</v>
      </c>
    </row>
    <row r="13" spans="1:15">
      <c r="A13" t="s">
        <v>83</v>
      </c>
      <c r="B13" s="39">
        <v>45660</v>
      </c>
      <c r="C13" s="39">
        <v>45680</v>
      </c>
      <c r="D13" t="s">
        <v>45</v>
      </c>
      <c r="E13" t="s">
        <v>46</v>
      </c>
      <c r="F13" t="s">
        <v>47</v>
      </c>
      <c r="G13" t="s">
        <v>19</v>
      </c>
      <c r="H13" t="s">
        <v>55</v>
      </c>
      <c r="I13" t="s">
        <v>84</v>
      </c>
      <c r="J13" t="s">
        <v>42</v>
      </c>
      <c r="K13" t="s">
        <v>85</v>
      </c>
      <c r="L13">
        <v>908.6</v>
      </c>
      <c r="M13">
        <v>691.37</v>
      </c>
      <c r="N13">
        <v>0.25</v>
      </c>
      <c r="O13">
        <v>20</v>
      </c>
    </row>
    <row r="14" spans="1:15">
      <c r="A14" t="s">
        <v>86</v>
      </c>
      <c r="B14" s="39">
        <v>45722</v>
      </c>
      <c r="C14" s="39">
        <v>45747</v>
      </c>
      <c r="D14" t="s">
        <v>52</v>
      </c>
      <c r="E14" t="s">
        <v>73</v>
      </c>
      <c r="F14" t="s">
        <v>87</v>
      </c>
      <c r="G14" t="s">
        <v>39</v>
      </c>
      <c r="H14" t="s">
        <v>28</v>
      </c>
      <c r="I14" t="s">
        <v>29</v>
      </c>
      <c r="J14" t="s">
        <v>22</v>
      </c>
      <c r="K14" t="s">
        <v>88</v>
      </c>
      <c r="L14">
        <v>331.57</v>
      </c>
      <c r="M14">
        <v>548.4</v>
      </c>
      <c r="N14">
        <v>0.094</v>
      </c>
      <c r="O14">
        <v>10</v>
      </c>
    </row>
    <row r="15" spans="1:15">
      <c r="A15" t="s">
        <v>89</v>
      </c>
      <c r="B15" s="39">
        <v>45311</v>
      </c>
      <c r="C15" s="39">
        <v>45335</v>
      </c>
      <c r="D15" t="s">
        <v>78</v>
      </c>
      <c r="E15" t="s">
        <v>90</v>
      </c>
      <c r="F15" t="s">
        <v>91</v>
      </c>
      <c r="G15" t="s">
        <v>19</v>
      </c>
      <c r="H15" t="s">
        <v>20</v>
      </c>
      <c r="I15" t="s">
        <v>92</v>
      </c>
      <c r="J15" t="s">
        <v>30</v>
      </c>
      <c r="K15" t="s">
        <v>93</v>
      </c>
      <c r="L15">
        <v>643.53</v>
      </c>
      <c r="M15">
        <v>1439.01</v>
      </c>
      <c r="N15">
        <v>0</v>
      </c>
      <c r="O15">
        <v>15</v>
      </c>
    </row>
    <row r="16" spans="1:15">
      <c r="A16" t="s">
        <v>94</v>
      </c>
      <c r="B16" s="39">
        <v>45901</v>
      </c>
      <c r="C16" s="39">
        <v>45930</v>
      </c>
      <c r="D16" t="s">
        <v>52</v>
      </c>
      <c r="E16" t="s">
        <v>73</v>
      </c>
      <c r="F16" t="s">
        <v>87</v>
      </c>
      <c r="G16" t="s">
        <v>27</v>
      </c>
      <c r="H16" t="s">
        <v>20</v>
      </c>
      <c r="I16" t="s">
        <v>95</v>
      </c>
      <c r="J16" t="s">
        <v>81</v>
      </c>
      <c r="K16" t="s">
        <v>96</v>
      </c>
      <c r="L16">
        <v>780.59</v>
      </c>
      <c r="M16">
        <v>631.57</v>
      </c>
      <c r="N16">
        <v>0</v>
      </c>
      <c r="O16">
        <v>12</v>
      </c>
    </row>
    <row r="17" spans="1:15">
      <c r="A17" t="s">
        <v>97</v>
      </c>
      <c r="B17" s="39">
        <v>45039</v>
      </c>
      <c r="C17" s="39">
        <v>45038</v>
      </c>
      <c r="D17" t="s">
        <v>16</v>
      </c>
      <c r="E17" t="s">
        <v>17</v>
      </c>
      <c r="F17" t="s">
        <v>33</v>
      </c>
      <c r="G17" t="s">
        <v>62</v>
      </c>
      <c r="H17" t="s">
        <v>98</v>
      </c>
      <c r="I17" t="s">
        <v>63</v>
      </c>
      <c r="J17" t="s">
        <v>57</v>
      </c>
      <c r="K17" t="s">
        <v>99</v>
      </c>
      <c r="L17">
        <v>756.51</v>
      </c>
      <c r="M17">
        <v>850.8</v>
      </c>
      <c r="N17">
        <v>0.074</v>
      </c>
      <c r="O17">
        <v>9</v>
      </c>
    </row>
    <row r="18" spans="1:15">
      <c r="A18" t="s">
        <v>100</v>
      </c>
      <c r="B18" s="39">
        <v>45636</v>
      </c>
      <c r="C18" s="39">
        <v>45665</v>
      </c>
      <c r="D18" t="s">
        <v>78</v>
      </c>
      <c r="E18" t="s">
        <v>90</v>
      </c>
      <c r="F18" t="s">
        <v>91</v>
      </c>
      <c r="G18" t="s">
        <v>62</v>
      </c>
      <c r="H18" t="s">
        <v>20</v>
      </c>
      <c r="I18" t="s">
        <v>95</v>
      </c>
      <c r="J18" t="s">
        <v>30</v>
      </c>
      <c r="K18" t="s">
        <v>101</v>
      </c>
      <c r="L18">
        <v>891.08</v>
      </c>
      <c r="M18">
        <v>1040.1</v>
      </c>
      <c r="N18">
        <v>0.109</v>
      </c>
      <c r="O18">
        <v>28</v>
      </c>
    </row>
    <row r="19" spans="1:15">
      <c r="A19" t="s">
        <v>102</v>
      </c>
      <c r="B19" s="39">
        <v>45908</v>
      </c>
      <c r="C19" s="39">
        <v>45916</v>
      </c>
      <c r="D19" t="s">
        <v>45</v>
      </c>
      <c r="E19" t="s">
        <v>46</v>
      </c>
      <c r="F19" t="s">
        <v>47</v>
      </c>
      <c r="G19" t="s">
        <v>19</v>
      </c>
      <c r="H19" t="s">
        <v>55</v>
      </c>
      <c r="I19" t="s">
        <v>21</v>
      </c>
      <c r="J19" t="s">
        <v>42</v>
      </c>
      <c r="K19" t="s">
        <v>103</v>
      </c>
      <c r="L19">
        <v>1225.57</v>
      </c>
      <c r="M19">
        <v>2705.57</v>
      </c>
      <c r="N19">
        <v>0.183</v>
      </c>
      <c r="O19">
        <v>16</v>
      </c>
    </row>
    <row r="20" spans="1:15">
      <c r="A20" t="s">
        <v>104</v>
      </c>
      <c r="B20" s="39">
        <v>45858</v>
      </c>
      <c r="C20" s="39">
        <v>45874</v>
      </c>
      <c r="D20" t="s">
        <v>52</v>
      </c>
      <c r="E20" t="s">
        <v>73</v>
      </c>
      <c r="F20" t="s">
        <v>87</v>
      </c>
      <c r="G20" t="s">
        <v>105</v>
      </c>
      <c r="H20" t="s">
        <v>40</v>
      </c>
      <c r="I20" t="s">
        <v>41</v>
      </c>
      <c r="J20" t="s">
        <v>81</v>
      </c>
      <c r="K20" t="s">
        <v>106</v>
      </c>
      <c r="L20">
        <v>1068.17</v>
      </c>
      <c r="M20">
        <v>2375.37</v>
      </c>
      <c r="N20">
        <v>0.109</v>
      </c>
      <c r="O20">
        <v>18</v>
      </c>
    </row>
    <row r="21" spans="1:15">
      <c r="A21" t="s">
        <v>107</v>
      </c>
      <c r="B21" s="39">
        <v>45798</v>
      </c>
      <c r="C21" s="39">
        <v>45796</v>
      </c>
      <c r="D21" t="s">
        <v>78</v>
      </c>
      <c r="E21" t="s">
        <v>108</v>
      </c>
      <c r="F21" t="s">
        <v>109</v>
      </c>
      <c r="G21" t="s">
        <v>105</v>
      </c>
      <c r="H21" t="s">
        <v>28</v>
      </c>
      <c r="I21" t="s">
        <v>110</v>
      </c>
      <c r="J21" t="s">
        <v>57</v>
      </c>
      <c r="K21" t="s">
        <v>111</v>
      </c>
      <c r="L21">
        <v>1015.16</v>
      </c>
      <c r="M21">
        <v>2148.14</v>
      </c>
      <c r="N21">
        <v>0.038</v>
      </c>
      <c r="O21">
        <v>19</v>
      </c>
    </row>
    <row r="22" spans="1:15">
      <c r="A22" t="s">
        <v>112</v>
      </c>
      <c r="B22" s="39">
        <v>45498</v>
      </c>
      <c r="C22" s="39">
        <v>45497</v>
      </c>
      <c r="D22" t="s">
        <v>16</v>
      </c>
      <c r="E22" t="s">
        <v>17</v>
      </c>
      <c r="F22" t="s">
        <v>113</v>
      </c>
      <c r="G22" t="s">
        <v>39</v>
      </c>
      <c r="H22" t="s">
        <v>98</v>
      </c>
      <c r="I22" t="s">
        <v>29</v>
      </c>
      <c r="J22" t="s">
        <v>57</v>
      </c>
      <c r="K22" t="s">
        <v>114</v>
      </c>
      <c r="L22">
        <v>1494.4</v>
      </c>
      <c r="M22">
        <v>3661.07</v>
      </c>
      <c r="N22">
        <v>0.072</v>
      </c>
      <c r="O22">
        <v>7</v>
      </c>
    </row>
    <row r="23" spans="1:15">
      <c r="A23" t="s">
        <v>115</v>
      </c>
      <c r="B23" s="39">
        <v>45057</v>
      </c>
      <c r="C23" s="39">
        <v>45074</v>
      </c>
      <c r="D23" t="s">
        <v>45</v>
      </c>
      <c r="E23" t="s">
        <v>116</v>
      </c>
      <c r="F23" t="s">
        <v>117</v>
      </c>
      <c r="G23" t="s">
        <v>105</v>
      </c>
      <c r="H23" t="s">
        <v>40</v>
      </c>
      <c r="I23" t="s">
        <v>63</v>
      </c>
      <c r="J23" t="s">
        <v>35</v>
      </c>
      <c r="K23" t="s">
        <v>118</v>
      </c>
      <c r="L23">
        <v>1331.19</v>
      </c>
      <c r="M23">
        <v>2903.09</v>
      </c>
      <c r="N23">
        <v>0.143</v>
      </c>
      <c r="O23">
        <v>8</v>
      </c>
    </row>
    <row r="24" spans="1:15">
      <c r="A24" t="s">
        <v>119</v>
      </c>
      <c r="B24" s="39">
        <v>45822</v>
      </c>
      <c r="C24" s="39">
        <v>45837</v>
      </c>
      <c r="D24" t="s">
        <v>16</v>
      </c>
      <c r="E24" t="s">
        <v>25</v>
      </c>
      <c r="F24" t="s">
        <v>26</v>
      </c>
      <c r="G24" t="s">
        <v>48</v>
      </c>
      <c r="H24" t="s">
        <v>40</v>
      </c>
      <c r="I24" t="s">
        <v>110</v>
      </c>
      <c r="J24" t="s">
        <v>81</v>
      </c>
      <c r="K24" t="s">
        <v>120</v>
      </c>
      <c r="L24">
        <v>730.99</v>
      </c>
      <c r="M24">
        <v>1242.84</v>
      </c>
      <c r="N24">
        <v>0.12</v>
      </c>
      <c r="O24">
        <v>10</v>
      </c>
    </row>
    <row r="25" spans="1:15">
      <c r="A25" t="s">
        <v>121</v>
      </c>
      <c r="B25" s="39">
        <v>45430</v>
      </c>
      <c r="C25" s="39">
        <v>45435</v>
      </c>
      <c r="D25" t="s">
        <v>52</v>
      </c>
      <c r="E25" t="s">
        <v>122</v>
      </c>
      <c r="F25" t="s">
        <v>123</v>
      </c>
      <c r="G25" t="s">
        <v>105</v>
      </c>
      <c r="H25" t="s">
        <v>20</v>
      </c>
      <c r="I25" t="s">
        <v>92</v>
      </c>
      <c r="J25" t="s">
        <v>57</v>
      </c>
      <c r="K25" t="s">
        <v>124</v>
      </c>
      <c r="L25">
        <v>1274.59</v>
      </c>
      <c r="M25">
        <v>2553.69</v>
      </c>
      <c r="N25">
        <v>0.01</v>
      </c>
      <c r="O25">
        <v>8</v>
      </c>
    </row>
    <row r="26" spans="1:15">
      <c r="A26" t="s">
        <v>125</v>
      </c>
      <c r="B26" s="39">
        <v>44964</v>
      </c>
      <c r="C26" s="39">
        <v>44969</v>
      </c>
      <c r="D26" t="s">
        <v>52</v>
      </c>
      <c r="E26" t="s">
        <v>73</v>
      </c>
      <c r="F26" t="s">
        <v>74</v>
      </c>
      <c r="G26" t="s">
        <v>27</v>
      </c>
      <c r="H26" t="s">
        <v>28</v>
      </c>
      <c r="I26" t="s">
        <v>126</v>
      </c>
      <c r="J26" t="s">
        <v>22</v>
      </c>
      <c r="K26" t="s">
        <v>127</v>
      </c>
      <c r="L26">
        <v>948.55</v>
      </c>
      <c r="M26">
        <v>2089.16</v>
      </c>
      <c r="N26">
        <v>0.007</v>
      </c>
      <c r="O26">
        <v>12</v>
      </c>
    </row>
    <row r="27" spans="1:15">
      <c r="A27" t="s">
        <v>128</v>
      </c>
      <c r="B27" s="39">
        <v>45473</v>
      </c>
      <c r="C27" s="39">
        <v>45487</v>
      </c>
      <c r="D27" t="s">
        <v>52</v>
      </c>
      <c r="E27" t="s">
        <v>73</v>
      </c>
      <c r="F27" t="s">
        <v>87</v>
      </c>
      <c r="G27" t="s">
        <v>27</v>
      </c>
      <c r="H27" t="s">
        <v>20</v>
      </c>
      <c r="I27" t="s">
        <v>21</v>
      </c>
      <c r="J27" t="s">
        <v>81</v>
      </c>
      <c r="K27" t="s">
        <v>129</v>
      </c>
      <c r="L27">
        <v>1491.85</v>
      </c>
      <c r="M27">
        <v>2583.02</v>
      </c>
      <c r="N27">
        <v>0.168</v>
      </c>
      <c r="O27">
        <v>4</v>
      </c>
    </row>
    <row r="28" spans="1:15">
      <c r="A28" t="s">
        <v>130</v>
      </c>
      <c r="B28" s="39">
        <v>45626</v>
      </c>
      <c r="C28" s="39">
        <v>45656</v>
      </c>
      <c r="D28" t="s">
        <v>78</v>
      </c>
      <c r="E28" t="s">
        <v>90</v>
      </c>
      <c r="F28" t="s">
        <v>91</v>
      </c>
      <c r="G28" t="s">
        <v>48</v>
      </c>
      <c r="H28" t="s">
        <v>40</v>
      </c>
      <c r="I28" t="s">
        <v>84</v>
      </c>
      <c r="J28" t="s">
        <v>30</v>
      </c>
      <c r="K28" t="s">
        <v>131</v>
      </c>
      <c r="L28">
        <v>117.64</v>
      </c>
      <c r="M28">
        <v>175.67</v>
      </c>
      <c r="N28">
        <v>0</v>
      </c>
      <c r="O28">
        <v>10</v>
      </c>
    </row>
    <row r="29" spans="1:15">
      <c r="A29" t="s">
        <v>132</v>
      </c>
      <c r="B29" s="39">
        <v>45492</v>
      </c>
      <c r="C29" s="39">
        <v>45492</v>
      </c>
      <c r="D29" t="s">
        <v>16</v>
      </c>
      <c r="E29" t="s">
        <v>17</v>
      </c>
      <c r="F29" t="s">
        <v>18</v>
      </c>
      <c r="G29" t="s">
        <v>62</v>
      </c>
      <c r="H29" t="s">
        <v>20</v>
      </c>
      <c r="I29" t="s">
        <v>75</v>
      </c>
      <c r="J29" t="s">
        <v>42</v>
      </c>
      <c r="K29" t="s">
        <v>133</v>
      </c>
      <c r="L29">
        <v>857.24</v>
      </c>
      <c r="M29">
        <v>758.23</v>
      </c>
      <c r="N29">
        <v>0.125</v>
      </c>
      <c r="O29">
        <v>6</v>
      </c>
    </row>
    <row r="30" spans="1:15">
      <c r="A30" t="s">
        <v>134</v>
      </c>
      <c r="B30" s="39">
        <v>45030</v>
      </c>
      <c r="C30" s="39">
        <v>45060</v>
      </c>
      <c r="D30" t="s">
        <v>16</v>
      </c>
      <c r="E30" t="s">
        <v>17</v>
      </c>
      <c r="F30" t="s">
        <v>135</v>
      </c>
      <c r="G30" t="s">
        <v>48</v>
      </c>
      <c r="H30" t="s">
        <v>40</v>
      </c>
      <c r="I30" t="s">
        <v>110</v>
      </c>
      <c r="J30" t="s">
        <v>42</v>
      </c>
      <c r="K30" t="s">
        <v>136</v>
      </c>
      <c r="L30">
        <v>209.25</v>
      </c>
      <c r="M30">
        <v>434.8</v>
      </c>
      <c r="N30">
        <v>0</v>
      </c>
      <c r="O30">
        <v>9</v>
      </c>
    </row>
    <row r="31" spans="1:15">
      <c r="A31" t="s">
        <v>137</v>
      </c>
      <c r="B31" s="39">
        <v>45754</v>
      </c>
      <c r="C31" s="39">
        <v>45758</v>
      </c>
      <c r="D31" t="s">
        <v>78</v>
      </c>
      <c r="E31" t="s">
        <v>90</v>
      </c>
      <c r="F31" t="s">
        <v>138</v>
      </c>
      <c r="G31" t="s">
        <v>27</v>
      </c>
      <c r="H31" t="s">
        <v>20</v>
      </c>
      <c r="I31" t="s">
        <v>63</v>
      </c>
      <c r="J31" t="s">
        <v>35</v>
      </c>
      <c r="K31" t="s">
        <v>139</v>
      </c>
      <c r="L31">
        <v>754.77</v>
      </c>
      <c r="M31">
        <v>1666.18</v>
      </c>
      <c r="N31">
        <v>0.139</v>
      </c>
      <c r="O31">
        <v>14</v>
      </c>
    </row>
    <row r="32" spans="1:15">
      <c r="A32" t="s">
        <v>140</v>
      </c>
      <c r="B32" s="39">
        <v>45653</v>
      </c>
      <c r="C32" s="39">
        <v>45672</v>
      </c>
      <c r="D32" t="s">
        <v>45</v>
      </c>
      <c r="E32" t="s">
        <v>60</v>
      </c>
      <c r="F32" t="s">
        <v>141</v>
      </c>
      <c r="G32" t="s">
        <v>39</v>
      </c>
      <c r="H32" t="s">
        <v>55</v>
      </c>
      <c r="I32" t="s">
        <v>41</v>
      </c>
      <c r="J32" t="s">
        <v>22</v>
      </c>
      <c r="K32" t="s">
        <v>142</v>
      </c>
      <c r="L32">
        <v>495.59</v>
      </c>
      <c r="M32">
        <v>631.78</v>
      </c>
      <c r="N32">
        <v>0.087</v>
      </c>
      <c r="O32">
        <v>17</v>
      </c>
    </row>
    <row r="33" spans="1:15">
      <c r="A33" t="s">
        <v>143</v>
      </c>
      <c r="B33" s="39">
        <v>44980</v>
      </c>
      <c r="C33" s="39">
        <v>45010</v>
      </c>
      <c r="D33" t="s">
        <v>52</v>
      </c>
      <c r="E33" t="s">
        <v>53</v>
      </c>
      <c r="F33" t="s">
        <v>144</v>
      </c>
      <c r="G33" t="s">
        <v>105</v>
      </c>
      <c r="H33" t="s">
        <v>28</v>
      </c>
      <c r="I33" t="s">
        <v>145</v>
      </c>
      <c r="J33" t="s">
        <v>42</v>
      </c>
      <c r="K33" t="s">
        <v>146</v>
      </c>
      <c r="L33">
        <v>1242.66</v>
      </c>
      <c r="M33">
        <v>1794.07</v>
      </c>
      <c r="N33">
        <v>0.089</v>
      </c>
      <c r="O33">
        <v>16</v>
      </c>
    </row>
    <row r="34" spans="1:15">
      <c r="A34" t="s">
        <v>147</v>
      </c>
      <c r="B34" s="39">
        <v>45862</v>
      </c>
      <c r="C34" s="39">
        <v>45875</v>
      </c>
      <c r="D34" t="s">
        <v>16</v>
      </c>
      <c r="E34" t="s">
        <v>148</v>
      </c>
      <c r="F34" t="s">
        <v>149</v>
      </c>
      <c r="G34" t="s">
        <v>27</v>
      </c>
      <c r="H34" t="s">
        <v>40</v>
      </c>
      <c r="I34" t="s">
        <v>145</v>
      </c>
      <c r="J34" t="s">
        <v>35</v>
      </c>
      <c r="K34" t="s">
        <v>150</v>
      </c>
      <c r="L34">
        <v>1463.9</v>
      </c>
      <c r="M34">
        <v>2633.02</v>
      </c>
      <c r="N34">
        <v>0.084</v>
      </c>
      <c r="O34">
        <v>4</v>
      </c>
    </row>
    <row r="35" spans="1:15">
      <c r="A35" t="s">
        <v>151</v>
      </c>
      <c r="B35" s="39">
        <v>45400</v>
      </c>
      <c r="C35" s="39">
        <v>45420</v>
      </c>
      <c r="D35" t="s">
        <v>78</v>
      </c>
      <c r="E35" t="s">
        <v>108</v>
      </c>
      <c r="F35" t="s">
        <v>152</v>
      </c>
      <c r="G35" t="s">
        <v>39</v>
      </c>
      <c r="I35" t="s">
        <v>145</v>
      </c>
      <c r="J35" t="s">
        <v>57</v>
      </c>
      <c r="K35" t="s">
        <v>153</v>
      </c>
      <c r="L35">
        <v>645.33</v>
      </c>
      <c r="M35">
        <v>1321.85</v>
      </c>
      <c r="N35">
        <v>0</v>
      </c>
      <c r="O35">
        <v>10</v>
      </c>
    </row>
    <row r="36" spans="1:15">
      <c r="A36" t="s">
        <v>154</v>
      </c>
      <c r="B36" s="39">
        <v>45527</v>
      </c>
      <c r="C36" s="39">
        <v>45525</v>
      </c>
      <c r="D36" t="s">
        <v>16</v>
      </c>
      <c r="E36" t="s">
        <v>148</v>
      </c>
      <c r="F36" t="s">
        <v>149</v>
      </c>
      <c r="G36" t="s">
        <v>27</v>
      </c>
      <c r="H36" t="s">
        <v>20</v>
      </c>
      <c r="I36" t="s">
        <v>63</v>
      </c>
      <c r="J36" t="s">
        <v>22</v>
      </c>
      <c r="K36" t="s">
        <v>155</v>
      </c>
      <c r="L36">
        <v>1432.52</v>
      </c>
      <c r="M36">
        <v>3036.87</v>
      </c>
      <c r="N36">
        <v>0</v>
      </c>
      <c r="O36">
        <v>9</v>
      </c>
    </row>
    <row r="37" spans="1:15">
      <c r="A37" t="s">
        <v>156</v>
      </c>
      <c r="B37" s="39">
        <v>45012</v>
      </c>
      <c r="C37" s="39">
        <v>45038</v>
      </c>
      <c r="D37" t="s">
        <v>45</v>
      </c>
      <c r="E37" t="s">
        <v>60</v>
      </c>
      <c r="F37" t="s">
        <v>141</v>
      </c>
      <c r="G37" t="s">
        <v>39</v>
      </c>
      <c r="H37" t="s">
        <v>40</v>
      </c>
      <c r="I37" t="s">
        <v>29</v>
      </c>
      <c r="J37" t="s">
        <v>30</v>
      </c>
      <c r="K37" t="s">
        <v>157</v>
      </c>
      <c r="L37">
        <v>178.53</v>
      </c>
      <c r="M37">
        <v>199.37</v>
      </c>
      <c r="N37">
        <v>0.101</v>
      </c>
      <c r="O37">
        <v>37</v>
      </c>
    </row>
    <row r="38" spans="1:15">
      <c r="A38" t="s">
        <v>158</v>
      </c>
      <c r="B38" s="39">
        <v>45358</v>
      </c>
      <c r="C38" s="39">
        <v>45376</v>
      </c>
      <c r="D38" t="s">
        <v>78</v>
      </c>
      <c r="E38" t="s">
        <v>79</v>
      </c>
      <c r="F38" t="s">
        <v>159</v>
      </c>
      <c r="G38" t="s">
        <v>19</v>
      </c>
      <c r="H38" t="s">
        <v>28</v>
      </c>
      <c r="I38" t="s">
        <v>56</v>
      </c>
      <c r="J38" t="s">
        <v>22</v>
      </c>
      <c r="K38" t="s">
        <v>160</v>
      </c>
      <c r="L38">
        <v>712.84</v>
      </c>
      <c r="M38">
        <v>927.51</v>
      </c>
      <c r="N38">
        <v>0.243</v>
      </c>
      <c r="O38">
        <v>27</v>
      </c>
    </row>
    <row r="39" spans="1:15">
      <c r="A39" t="s">
        <v>161</v>
      </c>
      <c r="B39" s="39">
        <v>45832</v>
      </c>
      <c r="C39" s="39">
        <v>45848</v>
      </c>
      <c r="D39" t="s">
        <v>45</v>
      </c>
      <c r="E39" t="s">
        <v>116</v>
      </c>
      <c r="F39" t="s">
        <v>162</v>
      </c>
      <c r="G39" t="s">
        <v>105</v>
      </c>
      <c r="H39" t="s">
        <v>98</v>
      </c>
      <c r="I39" t="s">
        <v>126</v>
      </c>
      <c r="J39" t="s">
        <v>22</v>
      </c>
      <c r="K39" t="s">
        <v>163</v>
      </c>
      <c r="L39">
        <v>757.19</v>
      </c>
      <c r="M39">
        <v>1735.41</v>
      </c>
      <c r="N39">
        <v>0.136</v>
      </c>
      <c r="O39">
        <v>8</v>
      </c>
    </row>
    <row r="40" spans="1:15">
      <c r="A40" t="s">
        <v>164</v>
      </c>
      <c r="B40" s="39">
        <v>45401</v>
      </c>
      <c r="C40" s="39">
        <v>45418</v>
      </c>
      <c r="D40" t="s">
        <v>16</v>
      </c>
      <c r="E40" t="s">
        <v>25</v>
      </c>
      <c r="F40" t="s">
        <v>26</v>
      </c>
      <c r="G40" t="s">
        <v>39</v>
      </c>
      <c r="H40" t="s">
        <v>28</v>
      </c>
      <c r="I40" t="s">
        <v>75</v>
      </c>
      <c r="J40" t="s">
        <v>30</v>
      </c>
      <c r="K40" t="s">
        <v>165</v>
      </c>
      <c r="L40">
        <v>865.33</v>
      </c>
      <c r="M40">
        <v>1395.64</v>
      </c>
      <c r="N40">
        <v>0.175</v>
      </c>
      <c r="O40">
        <v>13</v>
      </c>
    </row>
    <row r="41" spans="1:15">
      <c r="A41" t="s">
        <v>166</v>
      </c>
      <c r="B41" s="39">
        <v>45094</v>
      </c>
      <c r="C41" s="39">
        <v>45101</v>
      </c>
      <c r="D41" t="s">
        <v>52</v>
      </c>
      <c r="E41" t="s">
        <v>122</v>
      </c>
      <c r="F41" t="s">
        <v>167</v>
      </c>
      <c r="G41" t="s">
        <v>19</v>
      </c>
      <c r="H41" t="s">
        <v>20</v>
      </c>
      <c r="I41" t="s">
        <v>34</v>
      </c>
      <c r="J41" t="s">
        <v>30</v>
      </c>
      <c r="K41" t="s">
        <v>168</v>
      </c>
      <c r="L41">
        <v>313.99</v>
      </c>
      <c r="M41">
        <v>454.42</v>
      </c>
      <c r="N41">
        <v>0.129</v>
      </c>
      <c r="O41">
        <v>9</v>
      </c>
    </row>
    <row r="42" spans="1:15">
      <c r="A42" t="s">
        <v>169</v>
      </c>
      <c r="B42" s="39">
        <v>45531</v>
      </c>
      <c r="C42" s="39">
        <v>45554</v>
      </c>
      <c r="D42" t="s">
        <v>78</v>
      </c>
      <c r="E42" t="s">
        <v>79</v>
      </c>
      <c r="F42" t="s">
        <v>80</v>
      </c>
      <c r="G42" t="s">
        <v>62</v>
      </c>
      <c r="H42" t="s">
        <v>98</v>
      </c>
      <c r="I42" t="s">
        <v>145</v>
      </c>
      <c r="J42" t="s">
        <v>64</v>
      </c>
      <c r="K42" t="s">
        <v>170</v>
      </c>
      <c r="L42">
        <v>1024.01</v>
      </c>
      <c r="M42">
        <v>1580.97</v>
      </c>
      <c r="N42">
        <v>0.037</v>
      </c>
      <c r="O42">
        <v>27</v>
      </c>
    </row>
    <row r="43" spans="1:15">
      <c r="A43" t="s">
        <v>171</v>
      </c>
      <c r="B43" s="39">
        <v>45302</v>
      </c>
      <c r="C43" s="39">
        <v>45324</v>
      </c>
      <c r="D43" t="s">
        <v>16</v>
      </c>
      <c r="E43" t="s">
        <v>148</v>
      </c>
      <c r="F43" t="s">
        <v>172</v>
      </c>
      <c r="G43" t="s">
        <v>48</v>
      </c>
      <c r="H43" t="s">
        <v>28</v>
      </c>
      <c r="I43" t="s">
        <v>95</v>
      </c>
      <c r="J43" t="s">
        <v>35</v>
      </c>
      <c r="K43" t="s">
        <v>173</v>
      </c>
      <c r="L43">
        <v>1206.2</v>
      </c>
      <c r="M43">
        <v>1759.79</v>
      </c>
      <c r="N43">
        <v>0</v>
      </c>
      <c r="O43">
        <v>6</v>
      </c>
    </row>
    <row r="44" spans="1:15">
      <c r="A44" t="s">
        <v>174</v>
      </c>
      <c r="B44" s="39">
        <v>45590</v>
      </c>
      <c r="C44" s="39">
        <v>45610</v>
      </c>
      <c r="D44" t="s">
        <v>16</v>
      </c>
      <c r="E44" t="s">
        <v>17</v>
      </c>
      <c r="F44" t="s">
        <v>113</v>
      </c>
      <c r="G44" t="s">
        <v>19</v>
      </c>
      <c r="H44" t="s">
        <v>98</v>
      </c>
      <c r="I44" t="s">
        <v>92</v>
      </c>
      <c r="J44" t="s">
        <v>30</v>
      </c>
      <c r="K44" t="s">
        <v>175</v>
      </c>
      <c r="L44">
        <v>1396.48</v>
      </c>
      <c r="M44">
        <v>3204.5</v>
      </c>
      <c r="N44">
        <v>0.318</v>
      </c>
      <c r="O44">
        <v>14</v>
      </c>
    </row>
    <row r="45" spans="1:15">
      <c r="A45" t="s">
        <v>176</v>
      </c>
      <c r="B45" s="39">
        <v>45806</v>
      </c>
      <c r="C45" s="39">
        <v>45828</v>
      </c>
      <c r="D45" t="s">
        <v>78</v>
      </c>
      <c r="E45" t="s">
        <v>79</v>
      </c>
      <c r="F45" t="s">
        <v>80</v>
      </c>
      <c r="G45" t="s">
        <v>19</v>
      </c>
      <c r="H45" t="s">
        <v>98</v>
      </c>
      <c r="I45" t="s">
        <v>75</v>
      </c>
      <c r="J45" t="s">
        <v>30</v>
      </c>
      <c r="K45" t="s">
        <v>177</v>
      </c>
      <c r="L45">
        <v>483.47</v>
      </c>
      <c r="M45">
        <v>1135.43</v>
      </c>
      <c r="N45">
        <v>0.146</v>
      </c>
      <c r="O45">
        <v>11</v>
      </c>
    </row>
    <row r="46" spans="1:15">
      <c r="A46" t="s">
        <v>178</v>
      </c>
      <c r="B46" s="39">
        <v>45432</v>
      </c>
      <c r="C46" s="39">
        <v>45445</v>
      </c>
      <c r="D46" t="s">
        <v>52</v>
      </c>
      <c r="E46" t="s">
        <v>53</v>
      </c>
      <c r="F46" t="s">
        <v>179</v>
      </c>
      <c r="G46" t="s">
        <v>105</v>
      </c>
      <c r="H46" t="s">
        <v>40</v>
      </c>
      <c r="I46" t="s">
        <v>95</v>
      </c>
      <c r="J46" t="s">
        <v>22</v>
      </c>
      <c r="K46" t="s">
        <v>180</v>
      </c>
      <c r="L46">
        <v>675.43</v>
      </c>
      <c r="M46">
        <v>996.36</v>
      </c>
      <c r="N46">
        <v>0.182</v>
      </c>
      <c r="O46">
        <v>22</v>
      </c>
    </row>
    <row r="47" spans="1:15">
      <c r="A47" t="s">
        <v>181</v>
      </c>
      <c r="B47" s="39">
        <v>45035</v>
      </c>
      <c r="C47" s="39">
        <v>45046</v>
      </c>
      <c r="D47" t="s">
        <v>45</v>
      </c>
      <c r="E47" t="s">
        <v>60</v>
      </c>
      <c r="F47" t="s">
        <v>141</v>
      </c>
      <c r="G47" t="s">
        <v>62</v>
      </c>
      <c r="H47" t="s">
        <v>20</v>
      </c>
      <c r="I47" t="s">
        <v>75</v>
      </c>
      <c r="J47" t="s">
        <v>35</v>
      </c>
      <c r="K47" t="s">
        <v>182</v>
      </c>
      <c r="L47">
        <v>826.55</v>
      </c>
      <c r="M47">
        <v>1397.05</v>
      </c>
      <c r="N47">
        <v>0.169</v>
      </c>
      <c r="O47">
        <v>28</v>
      </c>
    </row>
    <row r="48" spans="1:15">
      <c r="A48" t="s">
        <v>183</v>
      </c>
      <c r="B48" s="39">
        <v>45100</v>
      </c>
      <c r="C48" s="39">
        <v>45110</v>
      </c>
      <c r="D48" t="s">
        <v>16</v>
      </c>
      <c r="E48" t="s">
        <v>25</v>
      </c>
      <c r="F48" t="s">
        <v>67</v>
      </c>
      <c r="G48" t="s">
        <v>48</v>
      </c>
      <c r="H48" t="s">
        <v>28</v>
      </c>
      <c r="I48" t="s">
        <v>29</v>
      </c>
      <c r="J48" t="s">
        <v>30</v>
      </c>
      <c r="K48" t="s">
        <v>184</v>
      </c>
      <c r="L48">
        <v>337.75</v>
      </c>
      <c r="M48">
        <v>548.89</v>
      </c>
      <c r="N48">
        <v>0</v>
      </c>
      <c r="O48">
        <v>13</v>
      </c>
    </row>
    <row r="49" spans="1:15">
      <c r="A49" t="s">
        <v>185</v>
      </c>
      <c r="B49" s="39">
        <v>45426</v>
      </c>
      <c r="C49" s="39">
        <v>45440</v>
      </c>
      <c r="D49" t="s">
        <v>78</v>
      </c>
      <c r="E49" t="s">
        <v>108</v>
      </c>
      <c r="F49" t="s">
        <v>109</v>
      </c>
      <c r="G49" t="s">
        <v>48</v>
      </c>
      <c r="H49" t="s">
        <v>20</v>
      </c>
      <c r="I49" t="s">
        <v>56</v>
      </c>
      <c r="J49" t="s">
        <v>35</v>
      </c>
      <c r="K49" t="s">
        <v>186</v>
      </c>
      <c r="L49">
        <v>1421.14</v>
      </c>
      <c r="M49">
        <v>3524</v>
      </c>
      <c r="N49">
        <v>0</v>
      </c>
      <c r="O49">
        <v>31</v>
      </c>
    </row>
    <row r="50" spans="1:15">
      <c r="A50" t="s">
        <v>187</v>
      </c>
      <c r="B50" s="39">
        <v>45579</v>
      </c>
      <c r="C50" s="39">
        <v>45604</v>
      </c>
      <c r="D50" t="s">
        <v>16</v>
      </c>
      <c r="E50" t="s">
        <v>25</v>
      </c>
      <c r="F50" t="s">
        <v>38</v>
      </c>
      <c r="G50" t="s">
        <v>105</v>
      </c>
      <c r="H50" t="s">
        <v>28</v>
      </c>
      <c r="I50" t="s">
        <v>68</v>
      </c>
      <c r="J50" t="s">
        <v>35</v>
      </c>
      <c r="K50" t="s">
        <v>188</v>
      </c>
      <c r="L50">
        <v>859.35</v>
      </c>
      <c r="M50">
        <v>1825.61</v>
      </c>
      <c r="N50">
        <v>0.187</v>
      </c>
      <c r="O50">
        <v>24</v>
      </c>
    </row>
    <row r="51" spans="1:15">
      <c r="A51" t="s">
        <v>189</v>
      </c>
      <c r="B51" s="39">
        <v>45117</v>
      </c>
      <c r="C51" s="39">
        <v>45139</v>
      </c>
      <c r="D51" t="s">
        <v>78</v>
      </c>
      <c r="E51" t="s">
        <v>90</v>
      </c>
      <c r="F51" t="s">
        <v>91</v>
      </c>
      <c r="G51" t="s">
        <v>48</v>
      </c>
      <c r="H51" t="s">
        <v>40</v>
      </c>
      <c r="I51" t="s">
        <v>56</v>
      </c>
      <c r="J51" t="s">
        <v>30</v>
      </c>
      <c r="K51" t="s">
        <v>190</v>
      </c>
      <c r="L51">
        <v>1303.56</v>
      </c>
      <c r="M51">
        <v>1791.37</v>
      </c>
      <c r="N51">
        <v>0.126</v>
      </c>
      <c r="O51">
        <v>22</v>
      </c>
    </row>
    <row r="52" spans="1:15">
      <c r="A52" t="s">
        <v>191</v>
      </c>
      <c r="B52" s="39">
        <v>45602</v>
      </c>
      <c r="C52" s="39">
        <v>45618</v>
      </c>
      <c r="D52" t="s">
        <v>52</v>
      </c>
      <c r="E52" t="s">
        <v>53</v>
      </c>
      <c r="F52" t="s">
        <v>54</v>
      </c>
      <c r="G52" t="s">
        <v>39</v>
      </c>
      <c r="H52" t="s">
        <v>55</v>
      </c>
      <c r="I52" t="s">
        <v>145</v>
      </c>
      <c r="J52" t="s">
        <v>81</v>
      </c>
      <c r="K52" t="s">
        <v>192</v>
      </c>
      <c r="L52">
        <v>1454.11</v>
      </c>
      <c r="M52">
        <v>2629.75</v>
      </c>
      <c r="N52">
        <v>0.292</v>
      </c>
      <c r="O52">
        <v>8</v>
      </c>
    </row>
    <row r="53" spans="1:15">
      <c r="A53" t="s">
        <v>193</v>
      </c>
      <c r="B53" s="39">
        <v>45582</v>
      </c>
      <c r="C53" s="39">
        <v>45602</v>
      </c>
      <c r="D53" t="s">
        <v>45</v>
      </c>
      <c r="E53" t="s">
        <v>60</v>
      </c>
      <c r="F53" t="s">
        <v>61</v>
      </c>
      <c r="G53" t="s">
        <v>105</v>
      </c>
      <c r="H53" t="s">
        <v>55</v>
      </c>
      <c r="I53" t="s">
        <v>68</v>
      </c>
      <c r="J53" t="s">
        <v>64</v>
      </c>
      <c r="K53" t="s">
        <v>194</v>
      </c>
      <c r="L53">
        <v>72.94</v>
      </c>
      <c r="M53">
        <v>106.3</v>
      </c>
      <c r="N53">
        <v>0.295</v>
      </c>
      <c r="O53">
        <v>8</v>
      </c>
    </row>
    <row r="54" spans="1:15">
      <c r="A54" t="s">
        <v>195</v>
      </c>
      <c r="B54" s="39">
        <v>45016</v>
      </c>
      <c r="C54" s="39">
        <v>45021</v>
      </c>
      <c r="D54" t="s">
        <v>16</v>
      </c>
      <c r="E54" t="s">
        <v>17</v>
      </c>
      <c r="F54" t="s">
        <v>135</v>
      </c>
      <c r="G54" t="s">
        <v>27</v>
      </c>
      <c r="H54" t="s">
        <v>40</v>
      </c>
      <c r="I54" t="s">
        <v>56</v>
      </c>
      <c r="J54" t="s">
        <v>57</v>
      </c>
      <c r="K54" t="s">
        <v>196</v>
      </c>
      <c r="L54">
        <v>533.26</v>
      </c>
      <c r="M54">
        <v>385.72</v>
      </c>
      <c r="N54">
        <v>0</v>
      </c>
      <c r="O54">
        <v>15</v>
      </c>
    </row>
    <row r="55" spans="1:15">
      <c r="A55" t="s">
        <v>197</v>
      </c>
      <c r="B55" s="39">
        <v>45678</v>
      </c>
      <c r="C55" s="39">
        <v>45704</v>
      </c>
      <c r="D55" t="s">
        <v>78</v>
      </c>
      <c r="E55" t="s">
        <v>90</v>
      </c>
      <c r="F55" t="s">
        <v>138</v>
      </c>
      <c r="G55" t="s">
        <v>19</v>
      </c>
      <c r="H55" t="s">
        <v>55</v>
      </c>
      <c r="I55" t="s">
        <v>68</v>
      </c>
      <c r="J55" t="s">
        <v>57</v>
      </c>
      <c r="K55" t="s">
        <v>198</v>
      </c>
      <c r="L55">
        <v>204.11</v>
      </c>
      <c r="M55">
        <v>236.87</v>
      </c>
      <c r="N55">
        <v>0.182</v>
      </c>
      <c r="O55">
        <v>13</v>
      </c>
    </row>
    <row r="56" spans="1:15">
      <c r="A56" t="s">
        <v>199</v>
      </c>
      <c r="B56" s="39">
        <v>45168</v>
      </c>
      <c r="C56" s="39">
        <v>45170</v>
      </c>
      <c r="D56" t="s">
        <v>78</v>
      </c>
      <c r="E56" t="s">
        <v>79</v>
      </c>
      <c r="F56" t="s">
        <v>159</v>
      </c>
      <c r="G56" t="s">
        <v>19</v>
      </c>
      <c r="H56" t="s">
        <v>98</v>
      </c>
      <c r="I56" t="s">
        <v>126</v>
      </c>
      <c r="J56" t="s">
        <v>35</v>
      </c>
      <c r="K56" t="s">
        <v>200</v>
      </c>
      <c r="L56">
        <v>44.42</v>
      </c>
      <c r="M56">
        <v>41.9</v>
      </c>
      <c r="N56">
        <v>0.144</v>
      </c>
      <c r="O56">
        <v>6</v>
      </c>
    </row>
    <row r="57" spans="1:15">
      <c r="A57" t="s">
        <v>201</v>
      </c>
      <c r="B57" s="39">
        <v>45753</v>
      </c>
      <c r="C57" s="39">
        <v>45777</v>
      </c>
      <c r="D57" t="s">
        <v>52</v>
      </c>
      <c r="E57" t="s">
        <v>73</v>
      </c>
      <c r="F57" t="s">
        <v>87</v>
      </c>
      <c r="G57" t="s">
        <v>27</v>
      </c>
      <c r="H57" t="s">
        <v>28</v>
      </c>
      <c r="I57" t="s">
        <v>95</v>
      </c>
      <c r="J57" t="s">
        <v>64</v>
      </c>
      <c r="K57" t="s">
        <v>202</v>
      </c>
      <c r="L57">
        <v>855.78</v>
      </c>
      <c r="M57">
        <v>977.38</v>
      </c>
      <c r="N57">
        <v>0.147</v>
      </c>
      <c r="O57">
        <v>38</v>
      </c>
    </row>
    <row r="58" spans="1:15">
      <c r="A58" t="s">
        <v>203</v>
      </c>
      <c r="B58" s="39">
        <v>45697</v>
      </c>
      <c r="C58" s="39">
        <v>45717</v>
      </c>
      <c r="D58" t="s">
        <v>52</v>
      </c>
      <c r="E58" t="s">
        <v>73</v>
      </c>
      <c r="F58" t="s">
        <v>74</v>
      </c>
      <c r="G58" t="s">
        <v>19</v>
      </c>
      <c r="H58" t="s">
        <v>55</v>
      </c>
      <c r="I58" t="s">
        <v>56</v>
      </c>
      <c r="J58" t="s">
        <v>57</v>
      </c>
      <c r="K58" t="s">
        <v>204</v>
      </c>
      <c r="L58">
        <v>1154.64</v>
      </c>
      <c r="M58">
        <v>2794.13</v>
      </c>
      <c r="N58">
        <v>0.035</v>
      </c>
      <c r="O58">
        <v>11</v>
      </c>
    </row>
    <row r="59" spans="1:15">
      <c r="A59" t="s">
        <v>205</v>
      </c>
      <c r="B59" s="39">
        <v>45643</v>
      </c>
      <c r="C59" s="39">
        <v>45644</v>
      </c>
      <c r="D59" t="s">
        <v>78</v>
      </c>
      <c r="E59" t="s">
        <v>79</v>
      </c>
      <c r="F59" t="s">
        <v>159</v>
      </c>
      <c r="G59" t="s">
        <v>27</v>
      </c>
      <c r="H59" t="s">
        <v>20</v>
      </c>
      <c r="I59" t="s">
        <v>49</v>
      </c>
      <c r="J59" t="s">
        <v>81</v>
      </c>
      <c r="K59" t="s">
        <v>206</v>
      </c>
      <c r="L59">
        <v>346.82</v>
      </c>
      <c r="M59">
        <v>701.95</v>
      </c>
      <c r="N59">
        <v>0.147</v>
      </c>
      <c r="O59">
        <v>8</v>
      </c>
    </row>
    <row r="60" spans="1:15">
      <c r="A60" t="s">
        <v>207</v>
      </c>
      <c r="B60" s="39">
        <v>45817</v>
      </c>
      <c r="C60" s="39">
        <v>45826</v>
      </c>
      <c r="D60" t="s">
        <v>78</v>
      </c>
      <c r="E60" t="s">
        <v>90</v>
      </c>
      <c r="F60" t="s">
        <v>91</v>
      </c>
      <c r="G60" t="s">
        <v>62</v>
      </c>
      <c r="H60" t="s">
        <v>40</v>
      </c>
      <c r="I60" t="s">
        <v>92</v>
      </c>
      <c r="J60" t="s">
        <v>81</v>
      </c>
      <c r="K60" t="s">
        <v>208</v>
      </c>
      <c r="L60">
        <v>1225.5</v>
      </c>
      <c r="M60">
        <v>-5.27</v>
      </c>
      <c r="N60">
        <v>0.075</v>
      </c>
      <c r="O60">
        <v>56</v>
      </c>
    </row>
    <row r="61" spans="1:15">
      <c r="A61" t="s">
        <v>209</v>
      </c>
      <c r="B61" s="39">
        <v>45779</v>
      </c>
      <c r="C61" s="39">
        <v>45790</v>
      </c>
      <c r="D61" t="s">
        <v>16</v>
      </c>
      <c r="E61" t="s">
        <v>17</v>
      </c>
      <c r="F61" t="s">
        <v>135</v>
      </c>
      <c r="G61" t="s">
        <v>62</v>
      </c>
      <c r="H61" t="s">
        <v>28</v>
      </c>
      <c r="I61" t="s">
        <v>75</v>
      </c>
      <c r="J61" t="s">
        <v>81</v>
      </c>
      <c r="K61" t="s">
        <v>210</v>
      </c>
      <c r="L61">
        <v>1057.6</v>
      </c>
      <c r="M61">
        <v>1437.06</v>
      </c>
      <c r="N61">
        <v>0.205</v>
      </c>
      <c r="O61">
        <v>4</v>
      </c>
    </row>
    <row r="62" spans="1:15">
      <c r="A62" t="s">
        <v>211</v>
      </c>
      <c r="B62" s="39">
        <v>45361</v>
      </c>
      <c r="C62" s="39">
        <v>45391</v>
      </c>
      <c r="D62" t="s">
        <v>78</v>
      </c>
      <c r="E62" t="s">
        <v>90</v>
      </c>
      <c r="F62" t="s">
        <v>138</v>
      </c>
      <c r="G62" t="s">
        <v>19</v>
      </c>
      <c r="H62" t="s">
        <v>98</v>
      </c>
      <c r="I62" t="s">
        <v>34</v>
      </c>
      <c r="J62" t="s">
        <v>22</v>
      </c>
      <c r="K62" t="s">
        <v>212</v>
      </c>
      <c r="L62">
        <v>1176.56</v>
      </c>
      <c r="M62">
        <v>1911.89</v>
      </c>
      <c r="N62">
        <v>0.119</v>
      </c>
      <c r="O62">
        <v>20</v>
      </c>
    </row>
    <row r="63" spans="1:15">
      <c r="A63" t="s">
        <v>213</v>
      </c>
      <c r="B63" s="39">
        <v>45910</v>
      </c>
      <c r="C63" s="39">
        <v>45912</v>
      </c>
      <c r="D63" t="s">
        <v>45</v>
      </c>
      <c r="E63" t="s">
        <v>46</v>
      </c>
      <c r="F63" t="s">
        <v>214</v>
      </c>
      <c r="G63" t="s">
        <v>48</v>
      </c>
      <c r="H63" t="s">
        <v>28</v>
      </c>
      <c r="I63" t="s">
        <v>68</v>
      </c>
      <c r="J63" t="s">
        <v>22</v>
      </c>
      <c r="K63" t="s">
        <v>215</v>
      </c>
      <c r="L63">
        <v>1470.15</v>
      </c>
      <c r="M63">
        <v>2593.78</v>
      </c>
      <c r="N63">
        <v>0.11</v>
      </c>
      <c r="O63">
        <v>12</v>
      </c>
    </row>
    <row r="64" spans="1:15">
      <c r="A64" t="s">
        <v>216</v>
      </c>
      <c r="B64" s="39">
        <v>45774</v>
      </c>
      <c r="C64" s="39">
        <v>45802</v>
      </c>
      <c r="D64" t="s">
        <v>78</v>
      </c>
      <c r="E64" t="s">
        <v>90</v>
      </c>
      <c r="F64" t="s">
        <v>217</v>
      </c>
      <c r="G64" t="s">
        <v>62</v>
      </c>
      <c r="H64" t="s">
        <v>40</v>
      </c>
      <c r="I64" t="s">
        <v>34</v>
      </c>
      <c r="J64" t="s">
        <v>42</v>
      </c>
      <c r="K64" t="s">
        <v>218</v>
      </c>
      <c r="L64">
        <v>603.45</v>
      </c>
      <c r="M64">
        <v>1244.08</v>
      </c>
      <c r="N64">
        <v>0.2</v>
      </c>
      <c r="O64">
        <v>11</v>
      </c>
    </row>
    <row r="65" spans="1:15">
      <c r="A65" t="s">
        <v>219</v>
      </c>
      <c r="B65" s="39">
        <v>45598</v>
      </c>
      <c r="C65" s="39">
        <v>45614</v>
      </c>
      <c r="D65" t="s">
        <v>45</v>
      </c>
      <c r="E65" t="s">
        <v>60</v>
      </c>
      <c r="F65" t="s">
        <v>220</v>
      </c>
      <c r="G65" t="s">
        <v>62</v>
      </c>
      <c r="H65" t="s">
        <v>55</v>
      </c>
      <c r="I65" t="s">
        <v>68</v>
      </c>
      <c r="J65" t="s">
        <v>64</v>
      </c>
      <c r="K65" t="s">
        <v>221</v>
      </c>
      <c r="L65">
        <v>1233.58</v>
      </c>
      <c r="M65">
        <v>1912.51</v>
      </c>
      <c r="N65">
        <v>0.255</v>
      </c>
      <c r="O65">
        <v>51</v>
      </c>
    </row>
    <row r="66" spans="1:15">
      <c r="A66" t="s">
        <v>222</v>
      </c>
      <c r="B66" s="39">
        <v>44972</v>
      </c>
      <c r="C66" s="39">
        <v>44983</v>
      </c>
      <c r="D66" t="s">
        <v>16</v>
      </c>
      <c r="E66" t="s">
        <v>148</v>
      </c>
      <c r="F66" t="s">
        <v>149</v>
      </c>
      <c r="G66" t="s">
        <v>39</v>
      </c>
      <c r="H66" t="s">
        <v>20</v>
      </c>
      <c r="I66" t="s">
        <v>95</v>
      </c>
      <c r="J66" t="s">
        <v>57</v>
      </c>
      <c r="K66" t="s">
        <v>223</v>
      </c>
      <c r="L66">
        <v>498.5</v>
      </c>
      <c r="M66">
        <v>755.87</v>
      </c>
      <c r="N66">
        <v>0.13</v>
      </c>
      <c r="O66">
        <v>40</v>
      </c>
    </row>
    <row r="67" spans="1:15">
      <c r="A67" t="s">
        <v>224</v>
      </c>
      <c r="B67" s="39">
        <v>45263</v>
      </c>
      <c r="C67" s="39">
        <v>45286</v>
      </c>
      <c r="D67" t="s">
        <v>52</v>
      </c>
      <c r="E67" t="s">
        <v>73</v>
      </c>
      <c r="F67" t="s">
        <v>225</v>
      </c>
      <c r="G67" t="s">
        <v>27</v>
      </c>
      <c r="H67" t="s">
        <v>20</v>
      </c>
      <c r="I67" t="s">
        <v>68</v>
      </c>
      <c r="J67" t="s">
        <v>42</v>
      </c>
      <c r="K67" t="s">
        <v>226</v>
      </c>
      <c r="L67">
        <v>1303.11</v>
      </c>
      <c r="M67">
        <v>1145.67</v>
      </c>
      <c r="N67">
        <v>0.184</v>
      </c>
      <c r="O67">
        <v>13</v>
      </c>
    </row>
    <row r="68" spans="1:15">
      <c r="A68" t="s">
        <v>227</v>
      </c>
      <c r="B68" s="39">
        <v>45004</v>
      </c>
      <c r="C68" s="39">
        <v>45025</v>
      </c>
      <c r="D68" t="s">
        <v>78</v>
      </c>
      <c r="E68" t="s">
        <v>108</v>
      </c>
      <c r="F68" t="s">
        <v>228</v>
      </c>
      <c r="G68" t="s">
        <v>48</v>
      </c>
      <c r="H68" t="s">
        <v>20</v>
      </c>
      <c r="I68" t="s">
        <v>49</v>
      </c>
      <c r="J68" t="s">
        <v>81</v>
      </c>
      <c r="K68" t="s">
        <v>229</v>
      </c>
      <c r="L68">
        <v>1082.17</v>
      </c>
      <c r="M68">
        <v>1234.1</v>
      </c>
      <c r="N68">
        <v>0.189</v>
      </c>
      <c r="O68">
        <v>16</v>
      </c>
    </row>
    <row r="69" spans="1:15">
      <c r="A69" t="s">
        <v>230</v>
      </c>
      <c r="B69" s="39">
        <v>45434</v>
      </c>
      <c r="C69" s="39">
        <v>45449</v>
      </c>
      <c r="D69" t="s">
        <v>45</v>
      </c>
      <c r="E69" t="s">
        <v>46</v>
      </c>
      <c r="F69" t="s">
        <v>231</v>
      </c>
      <c r="G69" t="s">
        <v>19</v>
      </c>
      <c r="H69" t="s">
        <v>55</v>
      </c>
      <c r="I69" t="s">
        <v>21</v>
      </c>
      <c r="J69" t="s">
        <v>64</v>
      </c>
      <c r="K69" t="s">
        <v>232</v>
      </c>
      <c r="L69">
        <v>673.88</v>
      </c>
      <c r="M69">
        <v>1228.01</v>
      </c>
      <c r="N69">
        <v>0.105</v>
      </c>
      <c r="O69">
        <v>13</v>
      </c>
    </row>
    <row r="70" spans="1:15">
      <c r="A70" t="s">
        <v>233</v>
      </c>
      <c r="B70" s="39">
        <v>45157</v>
      </c>
      <c r="C70" s="39">
        <v>45176</v>
      </c>
      <c r="D70" t="s">
        <v>16</v>
      </c>
      <c r="E70" t="s">
        <v>148</v>
      </c>
      <c r="F70" t="s">
        <v>149</v>
      </c>
      <c r="G70" t="s">
        <v>105</v>
      </c>
      <c r="H70" t="s">
        <v>20</v>
      </c>
      <c r="I70" t="s">
        <v>145</v>
      </c>
      <c r="J70" t="s">
        <v>64</v>
      </c>
      <c r="K70" t="s">
        <v>234</v>
      </c>
      <c r="L70">
        <v>494.61</v>
      </c>
      <c r="M70">
        <v>605.23</v>
      </c>
      <c r="N70">
        <v>0.204</v>
      </c>
      <c r="O70">
        <v>18</v>
      </c>
    </row>
    <row r="71" spans="1:15">
      <c r="A71" t="s">
        <v>235</v>
      </c>
      <c r="B71" s="39">
        <v>45037</v>
      </c>
      <c r="C71" s="39">
        <v>45056</v>
      </c>
      <c r="D71" t="s">
        <v>45</v>
      </c>
      <c r="E71" t="s">
        <v>116</v>
      </c>
      <c r="F71" t="s">
        <v>162</v>
      </c>
      <c r="G71" t="s">
        <v>19</v>
      </c>
      <c r="H71" t="s">
        <v>20</v>
      </c>
      <c r="I71" t="s">
        <v>75</v>
      </c>
      <c r="J71" t="s">
        <v>22</v>
      </c>
      <c r="K71" t="s">
        <v>236</v>
      </c>
      <c r="L71">
        <v>882.33</v>
      </c>
      <c r="M71">
        <v>1880.15</v>
      </c>
      <c r="N71">
        <v>0.05</v>
      </c>
      <c r="O71">
        <v>5</v>
      </c>
    </row>
    <row r="72" spans="1:15">
      <c r="A72" t="s">
        <v>237</v>
      </c>
      <c r="B72" s="39">
        <v>45369</v>
      </c>
      <c r="C72" s="39">
        <v>45372</v>
      </c>
      <c r="D72" t="s">
        <v>78</v>
      </c>
      <c r="E72" t="s">
        <v>79</v>
      </c>
      <c r="F72" t="s">
        <v>159</v>
      </c>
      <c r="G72" t="s">
        <v>62</v>
      </c>
      <c r="H72" t="s">
        <v>28</v>
      </c>
      <c r="I72" t="s">
        <v>110</v>
      </c>
      <c r="J72" t="s">
        <v>81</v>
      </c>
      <c r="K72" t="s">
        <v>238</v>
      </c>
      <c r="L72">
        <v>910.63</v>
      </c>
      <c r="M72">
        <v>1269.4</v>
      </c>
      <c r="N72">
        <v>0.068</v>
      </c>
      <c r="O72">
        <v>9</v>
      </c>
    </row>
    <row r="73" spans="1:15">
      <c r="A73" t="s">
        <v>239</v>
      </c>
      <c r="B73" s="39">
        <v>45756</v>
      </c>
      <c r="C73" s="39">
        <v>45783</v>
      </c>
      <c r="D73" t="s">
        <v>52</v>
      </c>
      <c r="E73" t="s">
        <v>73</v>
      </c>
      <c r="F73" t="s">
        <v>87</v>
      </c>
      <c r="G73" t="s">
        <v>105</v>
      </c>
      <c r="H73" t="s">
        <v>40</v>
      </c>
      <c r="I73" t="s">
        <v>84</v>
      </c>
      <c r="J73" t="s">
        <v>57</v>
      </c>
      <c r="K73" t="s">
        <v>240</v>
      </c>
      <c r="L73">
        <v>264.19</v>
      </c>
      <c r="M73">
        <v>620.93</v>
      </c>
      <c r="N73">
        <v>0.142</v>
      </c>
      <c r="O73">
        <v>12</v>
      </c>
    </row>
    <row r="74" spans="1:15">
      <c r="A74" t="s">
        <v>241</v>
      </c>
      <c r="B74" s="39">
        <v>45394</v>
      </c>
      <c r="C74" s="39">
        <v>45419</v>
      </c>
      <c r="D74" t="s">
        <v>16</v>
      </c>
      <c r="E74" t="s">
        <v>148</v>
      </c>
      <c r="F74" t="s">
        <v>149</v>
      </c>
      <c r="G74" t="s">
        <v>27</v>
      </c>
      <c r="H74" t="s">
        <v>55</v>
      </c>
      <c r="I74" t="s">
        <v>75</v>
      </c>
      <c r="J74" t="s">
        <v>57</v>
      </c>
      <c r="K74" t="s">
        <v>242</v>
      </c>
      <c r="L74">
        <v>1376.51</v>
      </c>
      <c r="M74">
        <v>1455.91</v>
      </c>
      <c r="N74">
        <v>0.185</v>
      </c>
      <c r="O74">
        <v>17</v>
      </c>
    </row>
    <row r="75" spans="1:15">
      <c r="A75" t="s">
        <v>243</v>
      </c>
      <c r="B75" s="39">
        <v>45641</v>
      </c>
      <c r="C75" s="39">
        <v>45646</v>
      </c>
      <c r="D75" t="s">
        <v>45</v>
      </c>
      <c r="E75" t="s">
        <v>116</v>
      </c>
      <c r="F75" t="s">
        <v>117</v>
      </c>
      <c r="G75" t="s">
        <v>62</v>
      </c>
      <c r="H75" t="s">
        <v>98</v>
      </c>
      <c r="I75" t="s">
        <v>29</v>
      </c>
      <c r="J75" t="s">
        <v>35</v>
      </c>
      <c r="K75" t="s">
        <v>244</v>
      </c>
      <c r="L75">
        <v>717.55</v>
      </c>
      <c r="M75">
        <v>546.43</v>
      </c>
      <c r="N75">
        <v>0.047</v>
      </c>
      <c r="O75">
        <v>18</v>
      </c>
    </row>
    <row r="76" spans="1:15">
      <c r="A76" t="s">
        <v>245</v>
      </c>
      <c r="B76" s="39">
        <v>45066</v>
      </c>
      <c r="C76" s="39">
        <v>45064</v>
      </c>
      <c r="D76" t="s">
        <v>16</v>
      </c>
      <c r="E76" t="s">
        <v>148</v>
      </c>
      <c r="F76" t="s">
        <v>172</v>
      </c>
      <c r="G76" t="s">
        <v>19</v>
      </c>
      <c r="H76" t="s">
        <v>55</v>
      </c>
      <c r="I76" t="s">
        <v>75</v>
      </c>
      <c r="J76" t="s">
        <v>22</v>
      </c>
      <c r="K76" t="s">
        <v>246</v>
      </c>
      <c r="L76">
        <v>917.88</v>
      </c>
      <c r="M76">
        <v>1347.92</v>
      </c>
      <c r="N76">
        <v>0.343</v>
      </c>
      <c r="O76">
        <v>5</v>
      </c>
    </row>
    <row r="77" spans="1:15">
      <c r="A77" t="s">
        <v>247</v>
      </c>
      <c r="B77" s="39">
        <v>45187</v>
      </c>
      <c r="C77" s="39">
        <v>45207</v>
      </c>
      <c r="D77" t="s">
        <v>45</v>
      </c>
      <c r="E77" t="s">
        <v>60</v>
      </c>
      <c r="F77" t="s">
        <v>141</v>
      </c>
      <c r="G77" t="s">
        <v>62</v>
      </c>
      <c r="H77" t="s">
        <v>98</v>
      </c>
      <c r="I77" t="s">
        <v>56</v>
      </c>
      <c r="J77" t="s">
        <v>22</v>
      </c>
      <c r="K77" t="s">
        <v>248</v>
      </c>
      <c r="L77">
        <v>825.64</v>
      </c>
      <c r="M77">
        <v>1108.43</v>
      </c>
      <c r="N77">
        <v>0.114</v>
      </c>
      <c r="O77">
        <v>7</v>
      </c>
    </row>
    <row r="78" spans="1:15">
      <c r="A78" t="s">
        <v>249</v>
      </c>
      <c r="B78" s="39">
        <v>45532</v>
      </c>
      <c r="C78" s="39">
        <v>45560</v>
      </c>
      <c r="D78" t="s">
        <v>52</v>
      </c>
      <c r="E78" t="s">
        <v>73</v>
      </c>
      <c r="F78" t="s">
        <v>225</v>
      </c>
      <c r="G78" t="s">
        <v>39</v>
      </c>
      <c r="H78" t="s">
        <v>28</v>
      </c>
      <c r="J78" t="s">
        <v>81</v>
      </c>
      <c r="K78" t="s">
        <v>250</v>
      </c>
      <c r="L78">
        <v>1394.65</v>
      </c>
      <c r="M78">
        <v>3144.1</v>
      </c>
      <c r="N78">
        <v>0.134</v>
      </c>
      <c r="O78">
        <v>13</v>
      </c>
    </row>
    <row r="79" spans="1:15">
      <c r="A79" t="s">
        <v>251</v>
      </c>
      <c r="B79" s="39">
        <v>45473</v>
      </c>
      <c r="C79" s="39">
        <v>45471</v>
      </c>
      <c r="D79" t="s">
        <v>52</v>
      </c>
      <c r="E79" t="s">
        <v>73</v>
      </c>
      <c r="F79" t="s">
        <v>225</v>
      </c>
      <c r="G79" t="s">
        <v>62</v>
      </c>
      <c r="H79" t="s">
        <v>98</v>
      </c>
      <c r="I79" t="s">
        <v>49</v>
      </c>
      <c r="J79" t="s">
        <v>81</v>
      </c>
      <c r="K79" t="s">
        <v>252</v>
      </c>
      <c r="L79">
        <v>1112.98</v>
      </c>
      <c r="M79">
        <v>2095.73</v>
      </c>
      <c r="N79">
        <v>0.072</v>
      </c>
      <c r="O79">
        <v>17</v>
      </c>
    </row>
    <row r="80" spans="1:15">
      <c r="A80" t="s">
        <v>253</v>
      </c>
      <c r="B80" s="39">
        <v>45091</v>
      </c>
      <c r="C80" s="39">
        <v>45093</v>
      </c>
      <c r="D80" t="s">
        <v>78</v>
      </c>
      <c r="E80" t="s">
        <v>108</v>
      </c>
      <c r="F80" t="s">
        <v>228</v>
      </c>
      <c r="G80" t="s">
        <v>39</v>
      </c>
      <c r="H80" t="s">
        <v>98</v>
      </c>
      <c r="I80" t="s">
        <v>95</v>
      </c>
      <c r="J80" t="s">
        <v>22</v>
      </c>
      <c r="K80" t="s">
        <v>254</v>
      </c>
      <c r="L80">
        <v>357.36</v>
      </c>
      <c r="M80">
        <v>703.62</v>
      </c>
      <c r="N80">
        <v>0.257</v>
      </c>
      <c r="O80">
        <v>20</v>
      </c>
    </row>
    <row r="81" spans="1:15">
      <c r="A81" t="s">
        <v>255</v>
      </c>
      <c r="B81" s="39">
        <v>45617</v>
      </c>
      <c r="C81" s="39">
        <v>45647</v>
      </c>
      <c r="D81" t="s">
        <v>78</v>
      </c>
      <c r="E81" t="s">
        <v>90</v>
      </c>
      <c r="F81" t="s">
        <v>91</v>
      </c>
      <c r="G81" t="s">
        <v>62</v>
      </c>
      <c r="H81" t="s">
        <v>98</v>
      </c>
      <c r="I81" t="s">
        <v>34</v>
      </c>
      <c r="J81" t="s">
        <v>64</v>
      </c>
      <c r="K81" t="s">
        <v>256</v>
      </c>
      <c r="L81">
        <v>1122.68</v>
      </c>
      <c r="M81">
        <v>1997.19</v>
      </c>
      <c r="N81">
        <v>0.186</v>
      </c>
      <c r="O81">
        <v>3</v>
      </c>
    </row>
    <row r="82" spans="1:15">
      <c r="A82" t="s">
        <v>257</v>
      </c>
      <c r="B82" s="39">
        <v>44965</v>
      </c>
      <c r="C82" s="39">
        <v>44968</v>
      </c>
      <c r="D82" t="s">
        <v>16</v>
      </c>
      <c r="E82" t="s">
        <v>148</v>
      </c>
      <c r="F82" t="s">
        <v>258</v>
      </c>
      <c r="G82" t="s">
        <v>19</v>
      </c>
      <c r="H82" t="s">
        <v>98</v>
      </c>
      <c r="I82" t="s">
        <v>110</v>
      </c>
      <c r="J82" t="s">
        <v>35</v>
      </c>
      <c r="K82" t="s">
        <v>259</v>
      </c>
      <c r="L82">
        <v>1410.05</v>
      </c>
      <c r="M82">
        <v>2763.95</v>
      </c>
      <c r="N82">
        <v>0.161</v>
      </c>
      <c r="O82">
        <v>26</v>
      </c>
    </row>
    <row r="83" spans="1:15">
      <c r="A83" t="s">
        <v>260</v>
      </c>
      <c r="B83" s="39">
        <v>45157</v>
      </c>
      <c r="C83" s="39">
        <v>45181</v>
      </c>
      <c r="D83" t="s">
        <v>52</v>
      </c>
      <c r="E83" t="s">
        <v>53</v>
      </c>
      <c r="F83" t="s">
        <v>179</v>
      </c>
      <c r="G83" t="s">
        <v>105</v>
      </c>
      <c r="H83" t="s">
        <v>20</v>
      </c>
      <c r="I83" t="s">
        <v>34</v>
      </c>
      <c r="J83" t="s">
        <v>30</v>
      </c>
      <c r="K83" t="s">
        <v>261</v>
      </c>
      <c r="L83">
        <v>1183.95</v>
      </c>
      <c r="M83">
        <v>1503.53</v>
      </c>
      <c r="N83">
        <v>0.241</v>
      </c>
      <c r="O83">
        <v>16</v>
      </c>
    </row>
    <row r="84" spans="1:15">
      <c r="A84" t="s">
        <v>262</v>
      </c>
      <c r="B84" s="39">
        <v>45791</v>
      </c>
      <c r="C84" s="39">
        <v>45801</v>
      </c>
      <c r="D84" t="s">
        <v>78</v>
      </c>
      <c r="E84" t="s">
        <v>90</v>
      </c>
      <c r="F84" t="s">
        <v>217</v>
      </c>
      <c r="G84" t="s">
        <v>62</v>
      </c>
      <c r="H84" t="s">
        <v>40</v>
      </c>
      <c r="I84" t="s">
        <v>95</v>
      </c>
      <c r="J84" t="s">
        <v>22</v>
      </c>
      <c r="K84" t="s">
        <v>263</v>
      </c>
      <c r="L84">
        <v>170.39</v>
      </c>
      <c r="M84">
        <v>388.04</v>
      </c>
      <c r="N84">
        <v>0.084</v>
      </c>
      <c r="O84">
        <v>15</v>
      </c>
    </row>
    <row r="85" spans="1:15">
      <c r="A85" t="s">
        <v>264</v>
      </c>
      <c r="B85" s="39">
        <v>45770</v>
      </c>
      <c r="C85" s="39">
        <v>45769</v>
      </c>
      <c r="D85" t="s">
        <v>52</v>
      </c>
      <c r="E85" t="s">
        <v>122</v>
      </c>
      <c r="F85" t="s">
        <v>167</v>
      </c>
      <c r="G85" t="s">
        <v>39</v>
      </c>
      <c r="H85" t="s">
        <v>55</v>
      </c>
      <c r="I85" t="s">
        <v>145</v>
      </c>
      <c r="J85" t="s">
        <v>64</v>
      </c>
      <c r="K85" t="s">
        <v>265</v>
      </c>
      <c r="L85">
        <v>23.24</v>
      </c>
      <c r="M85">
        <v>44.57</v>
      </c>
      <c r="N85">
        <v>0.215</v>
      </c>
      <c r="O85">
        <v>15</v>
      </c>
    </row>
    <row r="86" spans="1:15">
      <c r="A86" t="s">
        <v>266</v>
      </c>
      <c r="B86" s="39">
        <v>45741</v>
      </c>
      <c r="C86" s="39">
        <v>45764</v>
      </c>
      <c r="D86" t="s">
        <v>78</v>
      </c>
      <c r="E86" t="s">
        <v>108</v>
      </c>
      <c r="F86" t="s">
        <v>152</v>
      </c>
      <c r="G86" t="s">
        <v>48</v>
      </c>
      <c r="H86" t="s">
        <v>20</v>
      </c>
      <c r="I86" t="s">
        <v>92</v>
      </c>
      <c r="J86" t="s">
        <v>35</v>
      </c>
      <c r="K86" t="s">
        <v>267</v>
      </c>
      <c r="L86">
        <v>1421.19</v>
      </c>
      <c r="M86">
        <v>1808.26</v>
      </c>
      <c r="N86">
        <v>0.104</v>
      </c>
      <c r="O86">
        <v>13</v>
      </c>
    </row>
    <row r="87" spans="1:15">
      <c r="A87" t="s">
        <v>268</v>
      </c>
      <c r="B87" s="39">
        <v>45282</v>
      </c>
      <c r="C87" s="39">
        <v>45283</v>
      </c>
      <c r="D87" t="s">
        <v>16</v>
      </c>
      <c r="E87" t="s">
        <v>148</v>
      </c>
      <c r="F87" t="s">
        <v>258</v>
      </c>
      <c r="G87" t="s">
        <v>39</v>
      </c>
      <c r="H87" t="s">
        <v>40</v>
      </c>
      <c r="I87" t="s">
        <v>145</v>
      </c>
      <c r="J87" t="s">
        <v>22</v>
      </c>
      <c r="K87" t="s">
        <v>269</v>
      </c>
      <c r="L87">
        <v>1186.18</v>
      </c>
      <c r="M87">
        <v>1285.09</v>
      </c>
      <c r="N87">
        <v>0.07</v>
      </c>
      <c r="O87">
        <v>11</v>
      </c>
    </row>
    <row r="88" spans="1:15">
      <c r="A88" t="s">
        <v>270</v>
      </c>
      <c r="B88" s="39">
        <v>45388</v>
      </c>
      <c r="C88" s="39">
        <v>45407</v>
      </c>
      <c r="D88" t="s">
        <v>45</v>
      </c>
      <c r="E88" t="s">
        <v>116</v>
      </c>
      <c r="F88" t="s">
        <v>162</v>
      </c>
      <c r="G88" t="s">
        <v>19</v>
      </c>
      <c r="H88" t="s">
        <v>20</v>
      </c>
      <c r="I88" t="s">
        <v>95</v>
      </c>
      <c r="J88" t="s">
        <v>22</v>
      </c>
      <c r="K88" t="s">
        <v>271</v>
      </c>
      <c r="L88">
        <v>1366.48</v>
      </c>
      <c r="M88">
        <v>1678.14</v>
      </c>
      <c r="N88">
        <v>0.154</v>
      </c>
      <c r="O88">
        <v>10</v>
      </c>
    </row>
    <row r="89" spans="1:15">
      <c r="A89" t="s">
        <v>272</v>
      </c>
      <c r="B89" s="39">
        <v>45876</v>
      </c>
      <c r="C89" s="39">
        <v>45888</v>
      </c>
      <c r="D89" t="s">
        <v>16</v>
      </c>
      <c r="E89" t="s">
        <v>17</v>
      </c>
      <c r="F89" t="s">
        <v>135</v>
      </c>
      <c r="G89" t="s">
        <v>19</v>
      </c>
      <c r="I89" t="s">
        <v>110</v>
      </c>
      <c r="J89" t="s">
        <v>22</v>
      </c>
      <c r="K89" t="s">
        <v>273</v>
      </c>
      <c r="L89">
        <v>601.51</v>
      </c>
      <c r="M89">
        <v>679.35</v>
      </c>
      <c r="N89">
        <v>0.188</v>
      </c>
      <c r="O89">
        <v>3</v>
      </c>
    </row>
    <row r="90" spans="1:15">
      <c r="A90" t="s">
        <v>274</v>
      </c>
      <c r="B90" s="39">
        <v>45312</v>
      </c>
      <c r="C90" s="39">
        <v>45316</v>
      </c>
      <c r="D90" t="s">
        <v>45</v>
      </c>
      <c r="E90" t="s">
        <v>60</v>
      </c>
      <c r="F90" t="s">
        <v>141</v>
      </c>
      <c r="G90" t="s">
        <v>48</v>
      </c>
      <c r="H90" t="s">
        <v>98</v>
      </c>
      <c r="I90" t="s">
        <v>21</v>
      </c>
      <c r="J90" t="s">
        <v>64</v>
      </c>
      <c r="K90" t="s">
        <v>275</v>
      </c>
      <c r="L90">
        <v>523.7</v>
      </c>
      <c r="M90">
        <v>1109.92</v>
      </c>
      <c r="N90">
        <v>0.03</v>
      </c>
      <c r="O90">
        <v>11</v>
      </c>
    </row>
    <row r="91" spans="1:15">
      <c r="A91" t="s">
        <v>276</v>
      </c>
      <c r="B91" s="39">
        <v>45106</v>
      </c>
      <c r="C91" s="39">
        <v>45109</v>
      </c>
      <c r="D91" t="s">
        <v>45</v>
      </c>
      <c r="E91" t="s">
        <v>46</v>
      </c>
      <c r="F91" t="s">
        <v>231</v>
      </c>
      <c r="G91" t="s">
        <v>27</v>
      </c>
      <c r="H91" t="s">
        <v>40</v>
      </c>
      <c r="I91" t="s">
        <v>84</v>
      </c>
      <c r="J91" t="s">
        <v>64</v>
      </c>
      <c r="K91" t="s">
        <v>277</v>
      </c>
      <c r="L91">
        <v>55.65</v>
      </c>
      <c r="M91">
        <v>83.57</v>
      </c>
      <c r="N91">
        <v>0.066</v>
      </c>
      <c r="O91">
        <v>8</v>
      </c>
    </row>
    <row r="92" spans="1:15">
      <c r="A92" t="s">
        <v>278</v>
      </c>
      <c r="B92" s="39">
        <v>45775</v>
      </c>
      <c r="C92" s="39">
        <v>45792</v>
      </c>
      <c r="D92" t="s">
        <v>45</v>
      </c>
      <c r="E92" t="s">
        <v>46</v>
      </c>
      <c r="F92" t="s">
        <v>231</v>
      </c>
      <c r="G92" t="s">
        <v>27</v>
      </c>
      <c r="H92" t="s">
        <v>98</v>
      </c>
      <c r="I92" t="s">
        <v>126</v>
      </c>
      <c r="J92" t="s">
        <v>35</v>
      </c>
      <c r="K92" t="s">
        <v>279</v>
      </c>
      <c r="L92">
        <v>691.19</v>
      </c>
      <c r="M92">
        <v>1284.3</v>
      </c>
      <c r="N92">
        <v>0.074</v>
      </c>
      <c r="O92">
        <v>7</v>
      </c>
    </row>
    <row r="93" spans="1:15">
      <c r="A93" t="s">
        <v>280</v>
      </c>
      <c r="B93" s="39">
        <v>45817</v>
      </c>
      <c r="C93" s="39">
        <v>45833</v>
      </c>
      <c r="D93" t="s">
        <v>45</v>
      </c>
      <c r="E93" t="s">
        <v>60</v>
      </c>
      <c r="F93" t="s">
        <v>281</v>
      </c>
      <c r="G93" t="s">
        <v>105</v>
      </c>
      <c r="H93" t="s">
        <v>55</v>
      </c>
      <c r="I93" t="s">
        <v>110</v>
      </c>
      <c r="J93" t="s">
        <v>42</v>
      </c>
      <c r="K93" t="s">
        <v>282</v>
      </c>
      <c r="L93">
        <v>527.33</v>
      </c>
      <c r="M93">
        <v>911.72</v>
      </c>
      <c r="N93">
        <v>0.144</v>
      </c>
      <c r="O93">
        <v>25</v>
      </c>
    </row>
    <row r="94" spans="1:15">
      <c r="A94" t="s">
        <v>283</v>
      </c>
      <c r="B94" s="39">
        <v>45101</v>
      </c>
      <c r="C94" s="39">
        <v>45100</v>
      </c>
      <c r="D94" t="s">
        <v>52</v>
      </c>
      <c r="E94" t="s">
        <v>73</v>
      </c>
      <c r="F94" t="s">
        <v>225</v>
      </c>
      <c r="G94" t="s">
        <v>39</v>
      </c>
      <c r="H94" t="s">
        <v>20</v>
      </c>
      <c r="I94" t="s">
        <v>63</v>
      </c>
      <c r="J94" t="s">
        <v>30</v>
      </c>
      <c r="K94" t="s">
        <v>284</v>
      </c>
      <c r="L94">
        <v>804.01</v>
      </c>
      <c r="M94">
        <v>1405.07</v>
      </c>
      <c r="N94">
        <v>0.096</v>
      </c>
      <c r="O94">
        <v>8</v>
      </c>
    </row>
    <row r="95" spans="1:15">
      <c r="A95" t="s">
        <v>285</v>
      </c>
      <c r="B95" s="39">
        <v>45569</v>
      </c>
      <c r="C95" s="39">
        <v>45598</v>
      </c>
      <c r="D95" t="s">
        <v>16</v>
      </c>
      <c r="E95" t="s">
        <v>25</v>
      </c>
      <c r="F95" t="s">
        <v>67</v>
      </c>
      <c r="G95" t="s">
        <v>19</v>
      </c>
      <c r="H95" t="s">
        <v>55</v>
      </c>
      <c r="I95" t="s">
        <v>84</v>
      </c>
      <c r="J95" t="s">
        <v>81</v>
      </c>
      <c r="K95" t="s">
        <v>286</v>
      </c>
      <c r="L95">
        <v>412.09</v>
      </c>
      <c r="M95">
        <v>968.94</v>
      </c>
      <c r="N95">
        <v>0.099</v>
      </c>
      <c r="O95">
        <v>23</v>
      </c>
    </row>
    <row r="96" spans="1:15">
      <c r="A96" t="s">
        <v>287</v>
      </c>
      <c r="B96" s="39">
        <v>45910</v>
      </c>
      <c r="C96" s="39">
        <v>45930</v>
      </c>
      <c r="D96" t="s">
        <v>16</v>
      </c>
      <c r="E96" t="s">
        <v>17</v>
      </c>
      <c r="F96" t="s">
        <v>113</v>
      </c>
      <c r="G96" t="s">
        <v>19</v>
      </c>
      <c r="H96" t="s">
        <v>98</v>
      </c>
      <c r="I96" t="s">
        <v>49</v>
      </c>
      <c r="J96" t="s">
        <v>42</v>
      </c>
      <c r="K96" t="s">
        <v>288</v>
      </c>
      <c r="L96">
        <v>1009.48</v>
      </c>
      <c r="M96">
        <v>1088.81</v>
      </c>
      <c r="N96">
        <v>0.16</v>
      </c>
      <c r="O96">
        <v>6</v>
      </c>
    </row>
    <row r="97" spans="1:15">
      <c r="A97" t="s">
        <v>289</v>
      </c>
      <c r="B97" s="39">
        <v>45022</v>
      </c>
      <c r="C97" s="39">
        <v>45043</v>
      </c>
      <c r="D97" t="s">
        <v>78</v>
      </c>
      <c r="E97" t="s">
        <v>108</v>
      </c>
      <c r="F97" t="s">
        <v>228</v>
      </c>
      <c r="G97" t="s">
        <v>105</v>
      </c>
      <c r="H97" t="s">
        <v>55</v>
      </c>
      <c r="I97" t="s">
        <v>34</v>
      </c>
      <c r="J97" t="s">
        <v>30</v>
      </c>
      <c r="K97" t="s">
        <v>290</v>
      </c>
      <c r="L97">
        <v>1084.79</v>
      </c>
      <c r="M97">
        <v>2484.99</v>
      </c>
      <c r="N97">
        <v>0.034</v>
      </c>
      <c r="O97">
        <v>18</v>
      </c>
    </row>
    <row r="98" spans="1:15">
      <c r="A98" t="s">
        <v>291</v>
      </c>
      <c r="B98" s="39">
        <v>45870</v>
      </c>
      <c r="C98" s="39">
        <v>45885</v>
      </c>
      <c r="D98" t="s">
        <v>45</v>
      </c>
      <c r="E98" t="s">
        <v>60</v>
      </c>
      <c r="G98" t="s">
        <v>105</v>
      </c>
      <c r="H98" t="s">
        <v>98</v>
      </c>
      <c r="I98" t="s">
        <v>68</v>
      </c>
      <c r="J98" t="s">
        <v>64</v>
      </c>
      <c r="K98" t="s">
        <v>292</v>
      </c>
      <c r="L98">
        <v>24.44</v>
      </c>
      <c r="M98">
        <v>28.69</v>
      </c>
      <c r="N98">
        <v>0.146</v>
      </c>
      <c r="O98">
        <v>6</v>
      </c>
    </row>
    <row r="99" spans="1:15">
      <c r="A99" t="s">
        <v>293</v>
      </c>
      <c r="B99" s="39">
        <v>45440</v>
      </c>
      <c r="C99" s="39">
        <v>45438</v>
      </c>
      <c r="D99" t="s">
        <v>16</v>
      </c>
      <c r="E99" t="s">
        <v>25</v>
      </c>
      <c r="F99" t="s">
        <v>67</v>
      </c>
      <c r="G99" t="s">
        <v>105</v>
      </c>
      <c r="H99" t="s">
        <v>28</v>
      </c>
      <c r="I99" t="s">
        <v>84</v>
      </c>
      <c r="J99" t="s">
        <v>81</v>
      </c>
      <c r="K99" t="s">
        <v>294</v>
      </c>
      <c r="L99">
        <v>1227.08</v>
      </c>
      <c r="M99">
        <v>1896.62</v>
      </c>
      <c r="N99">
        <v>0</v>
      </c>
      <c r="O99">
        <v>18</v>
      </c>
    </row>
    <row r="100" spans="1:15">
      <c r="A100" t="s">
        <v>295</v>
      </c>
      <c r="B100" s="39">
        <v>45860</v>
      </c>
      <c r="C100" s="39">
        <v>45887</v>
      </c>
      <c r="D100" t="s">
        <v>45</v>
      </c>
      <c r="E100" t="s">
        <v>116</v>
      </c>
      <c r="F100" t="s">
        <v>117</v>
      </c>
      <c r="G100" t="s">
        <v>39</v>
      </c>
      <c r="H100" t="s">
        <v>40</v>
      </c>
      <c r="I100" t="s">
        <v>110</v>
      </c>
      <c r="J100" t="s">
        <v>35</v>
      </c>
      <c r="K100" t="s">
        <v>296</v>
      </c>
      <c r="L100">
        <v>547.32</v>
      </c>
      <c r="M100">
        <v>419.17</v>
      </c>
      <c r="N100">
        <v>0.092</v>
      </c>
      <c r="O100">
        <v>14</v>
      </c>
    </row>
    <row r="101" spans="1:15">
      <c r="A101" t="s">
        <v>297</v>
      </c>
      <c r="B101" s="39">
        <v>44985</v>
      </c>
      <c r="C101" s="39">
        <v>45005</v>
      </c>
      <c r="D101" t="s">
        <v>78</v>
      </c>
      <c r="E101" t="s">
        <v>79</v>
      </c>
      <c r="F101" t="s">
        <v>80</v>
      </c>
      <c r="G101" t="s">
        <v>62</v>
      </c>
      <c r="H101" t="s">
        <v>98</v>
      </c>
      <c r="I101" t="s">
        <v>92</v>
      </c>
      <c r="J101" t="s">
        <v>57</v>
      </c>
      <c r="K101" t="s">
        <v>298</v>
      </c>
      <c r="L101">
        <v>1200.78</v>
      </c>
      <c r="M101">
        <v>2001.17</v>
      </c>
      <c r="N101">
        <v>0.292</v>
      </c>
      <c r="O101">
        <v>18</v>
      </c>
    </row>
    <row r="102" spans="1:15">
      <c r="A102" t="s">
        <v>299</v>
      </c>
      <c r="B102" s="39">
        <v>45684</v>
      </c>
      <c r="C102" s="39">
        <v>45703</v>
      </c>
      <c r="D102" t="s">
        <v>45</v>
      </c>
      <c r="E102" t="s">
        <v>116</v>
      </c>
      <c r="F102" t="s">
        <v>117</v>
      </c>
      <c r="G102" t="s">
        <v>39</v>
      </c>
      <c r="H102" t="s">
        <v>98</v>
      </c>
      <c r="I102" t="s">
        <v>49</v>
      </c>
      <c r="J102" t="s">
        <v>42</v>
      </c>
      <c r="K102" t="s">
        <v>300</v>
      </c>
      <c r="L102">
        <v>1253.22</v>
      </c>
      <c r="M102">
        <v>3104.71</v>
      </c>
      <c r="N102">
        <v>0</v>
      </c>
      <c r="O102">
        <v>17</v>
      </c>
    </row>
    <row r="103" spans="1:15">
      <c r="A103" t="s">
        <v>301</v>
      </c>
      <c r="B103" s="39">
        <v>45304</v>
      </c>
      <c r="C103" s="39">
        <v>45313</v>
      </c>
      <c r="D103" t="s">
        <v>45</v>
      </c>
      <c r="E103" t="s">
        <v>60</v>
      </c>
      <c r="F103" t="s">
        <v>220</v>
      </c>
      <c r="G103" t="s">
        <v>105</v>
      </c>
      <c r="H103" t="s">
        <v>40</v>
      </c>
      <c r="I103" t="s">
        <v>29</v>
      </c>
      <c r="J103" t="s">
        <v>22</v>
      </c>
      <c r="K103" t="s">
        <v>302</v>
      </c>
      <c r="L103">
        <v>313.6</v>
      </c>
      <c r="M103">
        <v>334.28</v>
      </c>
      <c r="N103">
        <v>0.14</v>
      </c>
      <c r="O103">
        <v>22</v>
      </c>
    </row>
    <row r="104" spans="1:15">
      <c r="A104" t="s">
        <v>303</v>
      </c>
      <c r="B104" s="39">
        <v>45747</v>
      </c>
      <c r="C104" s="39">
        <v>45751</v>
      </c>
      <c r="D104" t="s">
        <v>16</v>
      </c>
      <c r="E104" t="s">
        <v>17</v>
      </c>
      <c r="F104" t="s">
        <v>135</v>
      </c>
      <c r="G104" t="s">
        <v>19</v>
      </c>
      <c r="H104" t="s">
        <v>98</v>
      </c>
      <c r="I104" t="s">
        <v>21</v>
      </c>
      <c r="J104" t="s">
        <v>57</v>
      </c>
      <c r="K104" t="s">
        <v>304</v>
      </c>
      <c r="L104">
        <v>862.08</v>
      </c>
      <c r="M104">
        <v>1952.83</v>
      </c>
      <c r="N104">
        <v>0</v>
      </c>
      <c r="O104">
        <v>7</v>
      </c>
    </row>
    <row r="105" spans="1:15">
      <c r="A105" t="s">
        <v>305</v>
      </c>
      <c r="B105" s="39">
        <v>45631</v>
      </c>
      <c r="C105" s="39">
        <v>45654</v>
      </c>
      <c r="D105" t="s">
        <v>52</v>
      </c>
      <c r="E105" t="s">
        <v>53</v>
      </c>
      <c r="F105" t="s">
        <v>179</v>
      </c>
      <c r="G105" t="s">
        <v>19</v>
      </c>
      <c r="H105" t="s">
        <v>98</v>
      </c>
      <c r="I105" t="s">
        <v>84</v>
      </c>
      <c r="J105" t="s">
        <v>81</v>
      </c>
      <c r="K105" t="s">
        <v>306</v>
      </c>
      <c r="L105">
        <v>107.03</v>
      </c>
      <c r="M105">
        <v>242.29</v>
      </c>
      <c r="N105">
        <v>0.18</v>
      </c>
      <c r="O105">
        <v>30</v>
      </c>
    </row>
    <row r="106" spans="1:15">
      <c r="A106" t="s">
        <v>307</v>
      </c>
      <c r="B106" s="39">
        <v>45549</v>
      </c>
      <c r="C106" s="39">
        <v>45570</v>
      </c>
      <c r="D106" t="s">
        <v>45</v>
      </c>
      <c r="E106" t="s">
        <v>116</v>
      </c>
      <c r="F106" t="s">
        <v>162</v>
      </c>
      <c r="G106" t="s">
        <v>62</v>
      </c>
      <c r="H106" t="s">
        <v>28</v>
      </c>
      <c r="I106" t="s">
        <v>92</v>
      </c>
      <c r="J106" t="s">
        <v>57</v>
      </c>
      <c r="K106" t="s">
        <v>308</v>
      </c>
      <c r="L106">
        <v>1405.56</v>
      </c>
      <c r="M106">
        <v>2968.87</v>
      </c>
      <c r="N106">
        <v>0.169</v>
      </c>
      <c r="O106">
        <v>5</v>
      </c>
    </row>
    <row r="107" spans="1:15">
      <c r="A107" t="s">
        <v>309</v>
      </c>
      <c r="B107" s="39">
        <v>45433</v>
      </c>
      <c r="C107" s="39">
        <v>45439</v>
      </c>
      <c r="D107" t="s">
        <v>16</v>
      </c>
      <c r="E107" t="s">
        <v>148</v>
      </c>
      <c r="F107" t="s">
        <v>149</v>
      </c>
      <c r="G107" t="s">
        <v>39</v>
      </c>
      <c r="H107" t="s">
        <v>28</v>
      </c>
      <c r="I107" t="s">
        <v>110</v>
      </c>
      <c r="J107" t="s">
        <v>22</v>
      </c>
      <c r="K107" t="s">
        <v>310</v>
      </c>
      <c r="L107">
        <v>1157.51</v>
      </c>
      <c r="M107">
        <v>1394.3</v>
      </c>
      <c r="N107">
        <v>0.278</v>
      </c>
      <c r="O107">
        <v>12</v>
      </c>
    </row>
    <row r="108" spans="1:15">
      <c r="A108" t="s">
        <v>311</v>
      </c>
      <c r="B108" s="39">
        <v>45057</v>
      </c>
      <c r="C108" s="39">
        <v>45084</v>
      </c>
      <c r="D108" t="s">
        <v>16</v>
      </c>
      <c r="E108" t="s">
        <v>17</v>
      </c>
      <c r="F108" t="s">
        <v>113</v>
      </c>
      <c r="G108" t="s">
        <v>19</v>
      </c>
      <c r="H108" t="s">
        <v>28</v>
      </c>
      <c r="I108" t="s">
        <v>29</v>
      </c>
      <c r="J108" t="s">
        <v>42</v>
      </c>
      <c r="K108" t="s">
        <v>312</v>
      </c>
      <c r="L108">
        <v>12.85</v>
      </c>
      <c r="M108">
        <v>15.41</v>
      </c>
      <c r="N108">
        <v>0.137</v>
      </c>
      <c r="O108">
        <v>39</v>
      </c>
    </row>
    <row r="109" spans="1:15">
      <c r="A109" t="s">
        <v>313</v>
      </c>
      <c r="B109" s="39">
        <v>45518</v>
      </c>
      <c r="C109" s="39">
        <v>45539</v>
      </c>
      <c r="D109" t="s">
        <v>78</v>
      </c>
      <c r="E109" t="s">
        <v>108</v>
      </c>
      <c r="F109" t="s">
        <v>228</v>
      </c>
      <c r="G109" t="s">
        <v>39</v>
      </c>
      <c r="H109" t="s">
        <v>28</v>
      </c>
      <c r="I109" t="s">
        <v>29</v>
      </c>
      <c r="J109" t="s">
        <v>42</v>
      </c>
      <c r="K109" t="s">
        <v>314</v>
      </c>
      <c r="L109">
        <v>1138.8</v>
      </c>
      <c r="M109">
        <v>2250.81</v>
      </c>
      <c r="N109">
        <v>0.123</v>
      </c>
      <c r="O109">
        <v>12</v>
      </c>
    </row>
    <row r="110" spans="1:15">
      <c r="A110" t="s">
        <v>315</v>
      </c>
      <c r="B110" s="39">
        <v>45581</v>
      </c>
      <c r="C110" s="39">
        <v>45604</v>
      </c>
      <c r="D110" t="s">
        <v>45</v>
      </c>
      <c r="E110" t="s">
        <v>46</v>
      </c>
      <c r="F110" t="s">
        <v>47</v>
      </c>
      <c r="G110" t="s">
        <v>62</v>
      </c>
      <c r="H110" t="s">
        <v>20</v>
      </c>
      <c r="I110" t="s">
        <v>29</v>
      </c>
      <c r="J110" t="s">
        <v>35</v>
      </c>
      <c r="K110" t="s">
        <v>316</v>
      </c>
      <c r="L110">
        <v>82.14</v>
      </c>
      <c r="M110">
        <v>166.04</v>
      </c>
      <c r="N110">
        <v>0</v>
      </c>
      <c r="O110">
        <v>10</v>
      </c>
    </row>
    <row r="111" spans="1:15">
      <c r="A111" t="s">
        <v>317</v>
      </c>
      <c r="B111" s="39">
        <v>45445</v>
      </c>
      <c r="C111" s="39">
        <v>45451</v>
      </c>
      <c r="D111" t="s">
        <v>16</v>
      </c>
      <c r="E111" t="s">
        <v>17</v>
      </c>
      <c r="F111" t="s">
        <v>18</v>
      </c>
      <c r="G111" t="s">
        <v>48</v>
      </c>
      <c r="H111" t="s">
        <v>40</v>
      </c>
      <c r="I111" t="s">
        <v>75</v>
      </c>
      <c r="J111" t="s">
        <v>81</v>
      </c>
      <c r="K111" t="s">
        <v>318</v>
      </c>
      <c r="L111">
        <v>292.94</v>
      </c>
      <c r="M111">
        <v>356.55</v>
      </c>
      <c r="N111">
        <v>0.229</v>
      </c>
      <c r="O111">
        <v>2</v>
      </c>
    </row>
    <row r="112" spans="1:15">
      <c r="A112" t="s">
        <v>319</v>
      </c>
      <c r="B112" s="39">
        <v>45452</v>
      </c>
      <c r="C112" s="39">
        <v>45480</v>
      </c>
      <c r="D112" t="s">
        <v>45</v>
      </c>
      <c r="E112" t="s">
        <v>116</v>
      </c>
      <c r="F112" t="s">
        <v>117</v>
      </c>
      <c r="G112" t="s">
        <v>19</v>
      </c>
      <c r="H112" t="s">
        <v>28</v>
      </c>
      <c r="I112" t="s">
        <v>29</v>
      </c>
      <c r="J112" t="s">
        <v>22</v>
      </c>
      <c r="K112" t="s">
        <v>320</v>
      </c>
      <c r="L112">
        <v>550.22</v>
      </c>
      <c r="M112">
        <v>1025.05</v>
      </c>
      <c r="N112">
        <v>0</v>
      </c>
      <c r="O112">
        <v>27</v>
      </c>
    </row>
    <row r="113" spans="1:15">
      <c r="A113" t="s">
        <v>321</v>
      </c>
      <c r="B113" s="39">
        <v>45453</v>
      </c>
      <c r="C113" s="39">
        <v>45454</v>
      </c>
      <c r="D113" t="s">
        <v>78</v>
      </c>
      <c r="E113" t="s">
        <v>108</v>
      </c>
      <c r="F113" t="s">
        <v>109</v>
      </c>
      <c r="G113" t="s">
        <v>62</v>
      </c>
      <c r="H113" t="s">
        <v>40</v>
      </c>
      <c r="I113" t="s">
        <v>110</v>
      </c>
      <c r="J113" t="s">
        <v>57</v>
      </c>
      <c r="K113" t="s">
        <v>322</v>
      </c>
      <c r="L113">
        <v>1187.13</v>
      </c>
      <c r="M113">
        <v>1795.17</v>
      </c>
      <c r="N113">
        <v>0.012</v>
      </c>
      <c r="O113">
        <v>17</v>
      </c>
    </row>
    <row r="114" spans="1:15">
      <c r="A114" t="s">
        <v>323</v>
      </c>
      <c r="B114" s="39">
        <v>45472</v>
      </c>
      <c r="C114" s="39">
        <v>45499</v>
      </c>
      <c r="D114" t="s">
        <v>16</v>
      </c>
      <c r="E114" t="s">
        <v>148</v>
      </c>
      <c r="F114" t="s">
        <v>172</v>
      </c>
      <c r="G114" t="s">
        <v>105</v>
      </c>
      <c r="H114" t="s">
        <v>55</v>
      </c>
      <c r="I114" t="s">
        <v>56</v>
      </c>
      <c r="J114" t="s">
        <v>35</v>
      </c>
      <c r="K114" t="s">
        <v>324</v>
      </c>
      <c r="L114">
        <v>5.36</v>
      </c>
      <c r="M114">
        <v>4.37</v>
      </c>
      <c r="N114">
        <v>0.118</v>
      </c>
      <c r="O114">
        <v>9</v>
      </c>
    </row>
    <row r="115" spans="1:15">
      <c r="A115" t="s">
        <v>325</v>
      </c>
      <c r="B115" s="39">
        <v>45674</v>
      </c>
      <c r="C115" s="39">
        <v>45681</v>
      </c>
      <c r="D115" t="s">
        <v>52</v>
      </c>
      <c r="E115" t="s">
        <v>122</v>
      </c>
      <c r="F115" t="s">
        <v>326</v>
      </c>
      <c r="G115" t="s">
        <v>105</v>
      </c>
      <c r="H115" t="s">
        <v>28</v>
      </c>
      <c r="I115" t="s">
        <v>41</v>
      </c>
      <c r="J115" t="s">
        <v>81</v>
      </c>
      <c r="K115" t="s">
        <v>327</v>
      </c>
      <c r="L115">
        <v>142.09</v>
      </c>
      <c r="M115">
        <v>218.5</v>
      </c>
      <c r="N115">
        <v>0.119</v>
      </c>
      <c r="O115">
        <v>11</v>
      </c>
    </row>
    <row r="116" spans="1:15">
      <c r="A116" t="s">
        <v>328</v>
      </c>
      <c r="B116" s="39">
        <v>45250</v>
      </c>
      <c r="C116" s="39">
        <v>45265</v>
      </c>
      <c r="D116" t="s">
        <v>45</v>
      </c>
      <c r="E116" t="s">
        <v>46</v>
      </c>
      <c r="F116" t="s">
        <v>214</v>
      </c>
      <c r="G116" t="s">
        <v>105</v>
      </c>
      <c r="H116" t="s">
        <v>20</v>
      </c>
      <c r="I116" t="s">
        <v>49</v>
      </c>
      <c r="J116" t="s">
        <v>35</v>
      </c>
      <c r="K116" t="s">
        <v>329</v>
      </c>
      <c r="L116">
        <v>354.24</v>
      </c>
      <c r="M116">
        <v>249.87</v>
      </c>
      <c r="N116">
        <v>0</v>
      </c>
      <c r="O116">
        <v>6</v>
      </c>
    </row>
    <row r="117" spans="1:15">
      <c r="A117" t="s">
        <v>330</v>
      </c>
      <c r="B117" s="39">
        <v>44987</v>
      </c>
      <c r="C117" s="39">
        <v>44990</v>
      </c>
      <c r="D117" t="s">
        <v>52</v>
      </c>
      <c r="E117" t="s">
        <v>73</v>
      </c>
      <c r="F117" t="s">
        <v>87</v>
      </c>
      <c r="G117" t="s">
        <v>105</v>
      </c>
      <c r="H117" t="s">
        <v>98</v>
      </c>
      <c r="I117" t="s">
        <v>41</v>
      </c>
      <c r="J117" t="s">
        <v>64</v>
      </c>
      <c r="K117" t="s">
        <v>331</v>
      </c>
      <c r="L117">
        <v>1473.58</v>
      </c>
      <c r="M117">
        <v>3436.52</v>
      </c>
      <c r="N117">
        <v>0.108</v>
      </c>
      <c r="O117">
        <v>8</v>
      </c>
    </row>
    <row r="118" spans="1:15">
      <c r="A118" t="s">
        <v>332</v>
      </c>
      <c r="B118" s="39">
        <v>45811</v>
      </c>
      <c r="C118" s="39">
        <v>45818</v>
      </c>
      <c r="D118" t="s">
        <v>52</v>
      </c>
      <c r="E118" t="s">
        <v>53</v>
      </c>
      <c r="F118" t="s">
        <v>54</v>
      </c>
      <c r="G118" t="s">
        <v>48</v>
      </c>
      <c r="H118" t="s">
        <v>55</v>
      </c>
      <c r="I118" t="s">
        <v>68</v>
      </c>
      <c r="J118" t="s">
        <v>30</v>
      </c>
      <c r="K118" t="s">
        <v>333</v>
      </c>
      <c r="L118">
        <v>75.18</v>
      </c>
      <c r="M118">
        <v>53.45</v>
      </c>
      <c r="N118">
        <v>0.157</v>
      </c>
      <c r="O118">
        <v>17</v>
      </c>
    </row>
    <row r="119" spans="1:15">
      <c r="A119" t="s">
        <v>334</v>
      </c>
      <c r="B119" s="39">
        <v>45653</v>
      </c>
      <c r="C119" s="39">
        <v>45659</v>
      </c>
      <c r="D119" t="s">
        <v>78</v>
      </c>
      <c r="E119" t="s">
        <v>79</v>
      </c>
      <c r="F119" t="s">
        <v>335</v>
      </c>
      <c r="G119" t="s">
        <v>27</v>
      </c>
      <c r="H119" t="s">
        <v>98</v>
      </c>
      <c r="I119" t="s">
        <v>84</v>
      </c>
      <c r="J119" t="s">
        <v>57</v>
      </c>
      <c r="K119" t="s">
        <v>336</v>
      </c>
      <c r="L119">
        <v>1391.99</v>
      </c>
      <c r="M119">
        <v>3469.7</v>
      </c>
      <c r="N119">
        <v>0.184</v>
      </c>
      <c r="O119">
        <v>23</v>
      </c>
    </row>
    <row r="120" spans="1:15">
      <c r="A120" t="s">
        <v>337</v>
      </c>
      <c r="B120" s="39">
        <v>45086</v>
      </c>
      <c r="C120" s="39">
        <v>45096</v>
      </c>
      <c r="D120" t="s">
        <v>45</v>
      </c>
      <c r="E120" t="s">
        <v>116</v>
      </c>
      <c r="F120" t="s">
        <v>338</v>
      </c>
      <c r="G120" t="s">
        <v>105</v>
      </c>
      <c r="H120" t="s">
        <v>20</v>
      </c>
      <c r="I120" t="s">
        <v>84</v>
      </c>
      <c r="J120" t="s">
        <v>64</v>
      </c>
      <c r="K120" t="s">
        <v>339</v>
      </c>
      <c r="L120">
        <v>339.61</v>
      </c>
      <c r="M120">
        <v>621.02</v>
      </c>
      <c r="N120">
        <v>0.071</v>
      </c>
      <c r="O120">
        <v>10</v>
      </c>
    </row>
    <row r="121" spans="1:15">
      <c r="A121" t="s">
        <v>340</v>
      </c>
      <c r="B121" s="39">
        <v>45847</v>
      </c>
      <c r="C121" s="39">
        <v>45856</v>
      </c>
      <c r="D121" t="s">
        <v>52</v>
      </c>
      <c r="E121" t="s">
        <v>53</v>
      </c>
      <c r="F121" t="s">
        <v>179</v>
      </c>
      <c r="G121" t="s">
        <v>27</v>
      </c>
      <c r="H121" t="s">
        <v>55</v>
      </c>
      <c r="I121" t="s">
        <v>34</v>
      </c>
      <c r="J121" t="s">
        <v>57</v>
      </c>
      <c r="K121" t="s">
        <v>341</v>
      </c>
      <c r="L121">
        <v>57.96</v>
      </c>
      <c r="M121">
        <v>88.51</v>
      </c>
      <c r="N121">
        <v>0.043</v>
      </c>
      <c r="O121">
        <v>7</v>
      </c>
    </row>
    <row r="122" spans="1:15">
      <c r="A122" t="s">
        <v>342</v>
      </c>
      <c r="B122" s="39">
        <v>45827</v>
      </c>
      <c r="C122" s="39">
        <v>45850</v>
      </c>
      <c r="D122" t="s">
        <v>78</v>
      </c>
      <c r="E122" t="s">
        <v>108</v>
      </c>
      <c r="G122" t="s">
        <v>39</v>
      </c>
      <c r="H122" t="s">
        <v>98</v>
      </c>
      <c r="J122" t="s">
        <v>35</v>
      </c>
      <c r="K122" t="s">
        <v>343</v>
      </c>
      <c r="L122">
        <v>801.24</v>
      </c>
      <c r="M122">
        <v>1959.09</v>
      </c>
      <c r="N122">
        <v>0.123</v>
      </c>
      <c r="O122">
        <v>23</v>
      </c>
    </row>
    <row r="123" spans="1:15">
      <c r="A123" t="s">
        <v>344</v>
      </c>
      <c r="B123" s="39">
        <v>45249</v>
      </c>
      <c r="C123" s="39">
        <v>45273</v>
      </c>
      <c r="D123" t="s">
        <v>78</v>
      </c>
      <c r="E123" t="s">
        <v>90</v>
      </c>
      <c r="F123" t="s">
        <v>138</v>
      </c>
      <c r="G123" t="s">
        <v>39</v>
      </c>
      <c r="H123" t="s">
        <v>98</v>
      </c>
      <c r="I123" t="s">
        <v>92</v>
      </c>
      <c r="J123" t="s">
        <v>64</v>
      </c>
      <c r="K123" t="s">
        <v>345</v>
      </c>
      <c r="L123">
        <v>1297.42</v>
      </c>
      <c r="M123">
        <v>2742.97</v>
      </c>
      <c r="N123">
        <v>0.069</v>
      </c>
      <c r="O123">
        <v>9</v>
      </c>
    </row>
    <row r="124" spans="1:15">
      <c r="A124" t="s">
        <v>346</v>
      </c>
      <c r="B124" s="39">
        <v>45289</v>
      </c>
      <c r="C124" s="39">
        <v>45311</v>
      </c>
      <c r="D124" t="s">
        <v>16</v>
      </c>
      <c r="E124" t="s">
        <v>17</v>
      </c>
      <c r="F124" t="s">
        <v>18</v>
      </c>
      <c r="G124" t="s">
        <v>19</v>
      </c>
      <c r="H124" t="s">
        <v>98</v>
      </c>
      <c r="I124" t="s">
        <v>49</v>
      </c>
      <c r="J124" t="s">
        <v>42</v>
      </c>
      <c r="K124" t="s">
        <v>347</v>
      </c>
      <c r="L124">
        <v>1395.49</v>
      </c>
      <c r="M124">
        <v>1679.42</v>
      </c>
      <c r="N124">
        <v>0.203</v>
      </c>
      <c r="O124">
        <v>12</v>
      </c>
    </row>
    <row r="125" spans="1:15">
      <c r="A125" t="s">
        <v>348</v>
      </c>
      <c r="B125" s="39">
        <v>45598</v>
      </c>
      <c r="C125" s="39">
        <v>45625</v>
      </c>
      <c r="D125" t="s">
        <v>52</v>
      </c>
      <c r="E125" t="s">
        <v>73</v>
      </c>
      <c r="F125" t="s">
        <v>87</v>
      </c>
      <c r="G125" t="s">
        <v>62</v>
      </c>
      <c r="H125" t="s">
        <v>98</v>
      </c>
      <c r="I125" t="s">
        <v>34</v>
      </c>
      <c r="J125" t="s">
        <v>35</v>
      </c>
      <c r="K125" t="s">
        <v>349</v>
      </c>
      <c r="L125">
        <v>1363.51</v>
      </c>
      <c r="M125">
        <v>1433.9</v>
      </c>
      <c r="N125">
        <v>0.057</v>
      </c>
      <c r="O125">
        <v>8</v>
      </c>
    </row>
    <row r="126" spans="1:15">
      <c r="A126" t="s">
        <v>350</v>
      </c>
      <c r="B126" s="39">
        <v>45159</v>
      </c>
      <c r="C126" s="39">
        <v>45173</v>
      </c>
      <c r="D126" t="s">
        <v>52</v>
      </c>
      <c r="E126" t="s">
        <v>53</v>
      </c>
      <c r="F126" t="s">
        <v>144</v>
      </c>
      <c r="G126" t="s">
        <v>27</v>
      </c>
      <c r="H126" t="s">
        <v>55</v>
      </c>
      <c r="I126" t="s">
        <v>84</v>
      </c>
      <c r="J126" t="s">
        <v>22</v>
      </c>
      <c r="K126" t="s">
        <v>351</v>
      </c>
      <c r="L126">
        <v>178.19</v>
      </c>
      <c r="M126">
        <v>284.43</v>
      </c>
      <c r="N126">
        <v>0.089</v>
      </c>
      <c r="O126">
        <v>8</v>
      </c>
    </row>
    <row r="127" spans="1:15">
      <c r="A127" t="s">
        <v>352</v>
      </c>
      <c r="B127" s="39">
        <v>45150</v>
      </c>
      <c r="C127" s="39">
        <v>45175</v>
      </c>
      <c r="D127" t="s">
        <v>45</v>
      </c>
      <c r="E127" t="s">
        <v>116</v>
      </c>
      <c r="F127" t="s">
        <v>162</v>
      </c>
      <c r="G127" t="s">
        <v>62</v>
      </c>
      <c r="H127" t="s">
        <v>20</v>
      </c>
      <c r="I127" t="s">
        <v>56</v>
      </c>
      <c r="J127" t="s">
        <v>22</v>
      </c>
      <c r="K127" t="s">
        <v>353</v>
      </c>
      <c r="L127">
        <v>950.77</v>
      </c>
      <c r="M127">
        <v>694.78</v>
      </c>
      <c r="N127">
        <v>0.084</v>
      </c>
      <c r="O127">
        <v>14</v>
      </c>
    </row>
    <row r="128" spans="1:15">
      <c r="A128" t="s">
        <v>354</v>
      </c>
      <c r="B128" s="39">
        <v>45450</v>
      </c>
      <c r="C128" s="39">
        <v>45469</v>
      </c>
      <c r="D128" t="s">
        <v>78</v>
      </c>
      <c r="E128" t="s">
        <v>79</v>
      </c>
      <c r="F128" t="s">
        <v>80</v>
      </c>
      <c r="G128" t="s">
        <v>39</v>
      </c>
      <c r="H128" t="s">
        <v>40</v>
      </c>
      <c r="I128" t="s">
        <v>110</v>
      </c>
      <c r="J128" t="s">
        <v>22</v>
      </c>
      <c r="K128" t="s">
        <v>355</v>
      </c>
      <c r="L128">
        <v>1064.32</v>
      </c>
      <c r="M128">
        <v>1848.39</v>
      </c>
      <c r="N128">
        <v>0.073</v>
      </c>
      <c r="O128">
        <v>38</v>
      </c>
    </row>
    <row r="129" spans="1:15">
      <c r="A129" t="s">
        <v>356</v>
      </c>
      <c r="B129" s="39">
        <v>45874</v>
      </c>
      <c r="C129" s="39">
        <v>45883</v>
      </c>
      <c r="D129" t="s">
        <v>78</v>
      </c>
      <c r="E129" t="s">
        <v>108</v>
      </c>
      <c r="F129" t="s">
        <v>152</v>
      </c>
      <c r="G129" t="s">
        <v>39</v>
      </c>
      <c r="H129" t="s">
        <v>98</v>
      </c>
      <c r="I129" t="s">
        <v>63</v>
      </c>
      <c r="J129" t="s">
        <v>22</v>
      </c>
      <c r="K129" t="s">
        <v>357</v>
      </c>
      <c r="L129">
        <v>41.76</v>
      </c>
      <c r="M129">
        <v>45.19</v>
      </c>
      <c r="N129">
        <v>0.179</v>
      </c>
      <c r="O129">
        <v>23</v>
      </c>
    </row>
    <row r="130" spans="1:15">
      <c r="A130" t="s">
        <v>358</v>
      </c>
      <c r="B130" s="39">
        <v>45442</v>
      </c>
      <c r="C130" s="39">
        <v>45456</v>
      </c>
      <c r="D130" t="s">
        <v>52</v>
      </c>
      <c r="E130" t="s">
        <v>122</v>
      </c>
      <c r="F130" t="s">
        <v>167</v>
      </c>
      <c r="G130" t="s">
        <v>62</v>
      </c>
      <c r="H130" t="s">
        <v>20</v>
      </c>
      <c r="I130" t="s">
        <v>84</v>
      </c>
      <c r="J130" t="s">
        <v>42</v>
      </c>
      <c r="K130" t="s">
        <v>359</v>
      </c>
      <c r="L130">
        <v>157.78</v>
      </c>
      <c r="M130">
        <v>361.1</v>
      </c>
      <c r="N130">
        <v>0.187</v>
      </c>
      <c r="O130">
        <v>9</v>
      </c>
    </row>
    <row r="131" spans="1:15">
      <c r="A131" t="s">
        <v>360</v>
      </c>
      <c r="B131" s="39">
        <v>44948</v>
      </c>
      <c r="C131" s="39">
        <v>44956</v>
      </c>
      <c r="D131" t="s">
        <v>52</v>
      </c>
      <c r="E131" t="s">
        <v>122</v>
      </c>
      <c r="F131" t="s">
        <v>167</v>
      </c>
      <c r="G131" t="s">
        <v>62</v>
      </c>
      <c r="H131" t="s">
        <v>28</v>
      </c>
      <c r="I131" t="s">
        <v>75</v>
      </c>
      <c r="J131" t="s">
        <v>35</v>
      </c>
      <c r="K131" t="s">
        <v>361</v>
      </c>
      <c r="L131">
        <v>413.52</v>
      </c>
      <c r="M131">
        <v>1004.34</v>
      </c>
      <c r="N131">
        <v>0.111</v>
      </c>
      <c r="O131">
        <v>18</v>
      </c>
    </row>
    <row r="132" spans="1:15">
      <c r="A132" t="s">
        <v>362</v>
      </c>
      <c r="B132" s="39">
        <v>45700</v>
      </c>
      <c r="C132" s="39">
        <v>45716</v>
      </c>
      <c r="D132" t="s">
        <v>52</v>
      </c>
      <c r="E132" t="s">
        <v>73</v>
      </c>
      <c r="F132" t="s">
        <v>74</v>
      </c>
      <c r="G132" t="s">
        <v>39</v>
      </c>
      <c r="H132" t="s">
        <v>98</v>
      </c>
      <c r="I132" t="s">
        <v>56</v>
      </c>
      <c r="J132" t="s">
        <v>64</v>
      </c>
      <c r="K132" t="s">
        <v>363</v>
      </c>
      <c r="L132">
        <v>414.95</v>
      </c>
      <c r="M132">
        <v>1027.73</v>
      </c>
      <c r="N132">
        <v>0.063</v>
      </c>
      <c r="O132">
        <v>8</v>
      </c>
    </row>
    <row r="133" spans="1:15">
      <c r="A133" t="s">
        <v>364</v>
      </c>
      <c r="B133" s="39">
        <v>45719</v>
      </c>
      <c r="C133" s="39">
        <v>45740</v>
      </c>
      <c r="D133" t="s">
        <v>16</v>
      </c>
      <c r="E133" t="s">
        <v>25</v>
      </c>
      <c r="F133" t="s">
        <v>67</v>
      </c>
      <c r="G133" t="s">
        <v>105</v>
      </c>
      <c r="H133" t="s">
        <v>98</v>
      </c>
      <c r="I133" t="s">
        <v>92</v>
      </c>
      <c r="J133" t="s">
        <v>81</v>
      </c>
      <c r="K133" t="s">
        <v>365</v>
      </c>
      <c r="L133">
        <v>555.95</v>
      </c>
      <c r="M133">
        <v>468.09</v>
      </c>
      <c r="N133">
        <v>0.142</v>
      </c>
      <c r="O133">
        <v>11</v>
      </c>
    </row>
    <row r="134" spans="1:15">
      <c r="A134" t="s">
        <v>366</v>
      </c>
      <c r="B134" s="39">
        <v>44953</v>
      </c>
      <c r="C134" s="39">
        <v>44957</v>
      </c>
      <c r="D134" t="s">
        <v>78</v>
      </c>
      <c r="E134" t="s">
        <v>108</v>
      </c>
      <c r="F134" t="s">
        <v>228</v>
      </c>
      <c r="G134" t="s">
        <v>105</v>
      </c>
      <c r="H134" t="s">
        <v>28</v>
      </c>
      <c r="I134" t="s">
        <v>126</v>
      </c>
      <c r="J134" t="s">
        <v>57</v>
      </c>
      <c r="K134" t="s">
        <v>367</v>
      </c>
      <c r="L134">
        <v>941.2</v>
      </c>
      <c r="M134">
        <v>668.02</v>
      </c>
      <c r="N134">
        <v>0.22</v>
      </c>
      <c r="O134">
        <v>16</v>
      </c>
    </row>
    <row r="135" spans="1:15">
      <c r="A135" t="s">
        <v>368</v>
      </c>
      <c r="B135" s="39">
        <v>45666</v>
      </c>
      <c r="C135" s="39">
        <v>45672</v>
      </c>
      <c r="D135" t="s">
        <v>45</v>
      </c>
      <c r="E135" t="s">
        <v>116</v>
      </c>
      <c r="F135" t="s">
        <v>338</v>
      </c>
      <c r="G135" t="s">
        <v>27</v>
      </c>
      <c r="H135" t="s">
        <v>28</v>
      </c>
      <c r="I135" t="s">
        <v>21</v>
      </c>
      <c r="J135" t="s">
        <v>42</v>
      </c>
      <c r="K135" t="s">
        <v>369</v>
      </c>
      <c r="L135">
        <v>304.78</v>
      </c>
      <c r="M135">
        <v>537.27</v>
      </c>
      <c r="N135">
        <v>0.187</v>
      </c>
      <c r="O135">
        <v>8</v>
      </c>
    </row>
    <row r="136" spans="1:15">
      <c r="A136" t="s">
        <v>370</v>
      </c>
      <c r="B136" s="39">
        <v>45647</v>
      </c>
      <c r="C136" s="39">
        <v>45652</v>
      </c>
      <c r="D136" t="s">
        <v>52</v>
      </c>
      <c r="E136" t="s">
        <v>122</v>
      </c>
      <c r="F136" t="s">
        <v>167</v>
      </c>
      <c r="G136" t="s">
        <v>48</v>
      </c>
      <c r="H136" t="s">
        <v>40</v>
      </c>
      <c r="I136" t="s">
        <v>110</v>
      </c>
      <c r="J136" t="s">
        <v>30</v>
      </c>
      <c r="K136" t="s">
        <v>371</v>
      </c>
      <c r="L136">
        <v>699.57</v>
      </c>
      <c r="M136">
        <v>572.71</v>
      </c>
      <c r="N136">
        <v>0.192</v>
      </c>
      <c r="O136">
        <v>26</v>
      </c>
    </row>
    <row r="137" spans="1:15">
      <c r="A137" t="s">
        <v>372</v>
      </c>
      <c r="B137" s="39">
        <v>45028</v>
      </c>
      <c r="C137" s="39">
        <v>45033</v>
      </c>
      <c r="D137" t="s">
        <v>78</v>
      </c>
      <c r="E137" t="s">
        <v>90</v>
      </c>
      <c r="F137" t="s">
        <v>138</v>
      </c>
      <c r="G137" t="s">
        <v>105</v>
      </c>
      <c r="H137" t="s">
        <v>98</v>
      </c>
      <c r="I137" t="s">
        <v>63</v>
      </c>
      <c r="J137" t="s">
        <v>64</v>
      </c>
      <c r="K137" t="s">
        <v>373</v>
      </c>
      <c r="L137">
        <v>1087.81</v>
      </c>
      <c r="M137">
        <v>2323.87</v>
      </c>
      <c r="N137">
        <v>0.094</v>
      </c>
      <c r="O137">
        <v>13</v>
      </c>
    </row>
    <row r="138" spans="1:15">
      <c r="A138" t="s">
        <v>374</v>
      </c>
      <c r="B138" s="39">
        <v>45640</v>
      </c>
      <c r="C138" s="39">
        <v>45669</v>
      </c>
      <c r="D138" t="s">
        <v>45</v>
      </c>
      <c r="E138" t="s">
        <v>116</v>
      </c>
      <c r="F138" t="s">
        <v>117</v>
      </c>
      <c r="G138" t="s">
        <v>27</v>
      </c>
      <c r="H138" t="s">
        <v>28</v>
      </c>
      <c r="I138" t="s">
        <v>29</v>
      </c>
      <c r="J138" t="s">
        <v>22</v>
      </c>
      <c r="K138" t="s">
        <v>375</v>
      </c>
      <c r="L138">
        <v>1412.15</v>
      </c>
      <c r="M138">
        <v>1631.04</v>
      </c>
      <c r="N138">
        <v>0.009</v>
      </c>
      <c r="O138">
        <v>6</v>
      </c>
    </row>
    <row r="139" spans="1:15">
      <c r="A139" t="s">
        <v>376</v>
      </c>
      <c r="B139" s="39">
        <v>45016</v>
      </c>
      <c r="C139" s="39">
        <v>45028</v>
      </c>
      <c r="D139" t="s">
        <v>16</v>
      </c>
      <c r="E139" t="s">
        <v>17</v>
      </c>
      <c r="F139" t="s">
        <v>113</v>
      </c>
      <c r="G139" t="s">
        <v>62</v>
      </c>
      <c r="H139" t="s">
        <v>28</v>
      </c>
      <c r="I139" t="s">
        <v>21</v>
      </c>
      <c r="J139" t="s">
        <v>42</v>
      </c>
      <c r="K139" t="s">
        <v>377</v>
      </c>
      <c r="L139">
        <v>304.22</v>
      </c>
      <c r="M139">
        <v>393.31</v>
      </c>
      <c r="N139">
        <v>0.265</v>
      </c>
      <c r="O139">
        <v>15</v>
      </c>
    </row>
    <row r="140" spans="1:15">
      <c r="A140" t="s">
        <v>378</v>
      </c>
      <c r="B140" s="39">
        <v>45616</v>
      </c>
      <c r="C140" s="39">
        <v>45641</v>
      </c>
      <c r="D140" t="s">
        <v>78</v>
      </c>
      <c r="E140" t="s">
        <v>90</v>
      </c>
      <c r="F140" t="s">
        <v>217</v>
      </c>
      <c r="G140" t="s">
        <v>19</v>
      </c>
      <c r="H140" t="s">
        <v>28</v>
      </c>
      <c r="I140" t="s">
        <v>41</v>
      </c>
      <c r="J140" t="s">
        <v>30</v>
      </c>
      <c r="K140" t="s">
        <v>379</v>
      </c>
      <c r="L140">
        <v>1203.58</v>
      </c>
      <c r="M140">
        <v>1856.16</v>
      </c>
      <c r="N140">
        <v>0.129</v>
      </c>
      <c r="O140">
        <v>22</v>
      </c>
    </row>
    <row r="141" spans="1:15">
      <c r="A141" t="s">
        <v>380</v>
      </c>
      <c r="B141" s="39">
        <v>45336</v>
      </c>
      <c r="C141" s="39">
        <v>45336</v>
      </c>
      <c r="D141" t="s">
        <v>45</v>
      </c>
      <c r="E141" t="s">
        <v>116</v>
      </c>
      <c r="F141" t="s">
        <v>338</v>
      </c>
      <c r="G141" t="s">
        <v>19</v>
      </c>
      <c r="H141" t="s">
        <v>55</v>
      </c>
      <c r="I141" t="s">
        <v>49</v>
      </c>
      <c r="J141" t="s">
        <v>81</v>
      </c>
      <c r="K141" t="s">
        <v>381</v>
      </c>
      <c r="L141">
        <v>65.93</v>
      </c>
      <c r="M141">
        <v>84.9</v>
      </c>
      <c r="N141">
        <v>0.259</v>
      </c>
      <c r="O141">
        <v>23</v>
      </c>
    </row>
    <row r="142" spans="1:15">
      <c r="A142" t="s">
        <v>382</v>
      </c>
      <c r="B142" s="39">
        <v>45048</v>
      </c>
      <c r="C142" s="39">
        <v>45064</v>
      </c>
      <c r="D142" t="s">
        <v>45</v>
      </c>
      <c r="E142" t="s">
        <v>60</v>
      </c>
      <c r="F142" t="s">
        <v>141</v>
      </c>
      <c r="G142" t="s">
        <v>62</v>
      </c>
      <c r="H142" t="s">
        <v>40</v>
      </c>
      <c r="I142" t="s">
        <v>95</v>
      </c>
      <c r="J142" t="s">
        <v>64</v>
      </c>
      <c r="K142" t="s">
        <v>383</v>
      </c>
      <c r="L142">
        <v>1463.92</v>
      </c>
      <c r="M142">
        <v>2252.24</v>
      </c>
      <c r="N142">
        <v>0.118</v>
      </c>
      <c r="O142">
        <v>44</v>
      </c>
    </row>
    <row r="143" spans="1:15">
      <c r="A143" t="s">
        <v>384</v>
      </c>
      <c r="B143" s="39">
        <v>45649</v>
      </c>
      <c r="C143" s="39">
        <v>45668</v>
      </c>
      <c r="D143" t="s">
        <v>78</v>
      </c>
      <c r="E143" t="s">
        <v>79</v>
      </c>
      <c r="F143" t="s">
        <v>80</v>
      </c>
      <c r="G143" t="s">
        <v>27</v>
      </c>
      <c r="H143" t="s">
        <v>20</v>
      </c>
      <c r="I143" t="s">
        <v>95</v>
      </c>
      <c r="J143" t="s">
        <v>42</v>
      </c>
      <c r="K143" t="s">
        <v>385</v>
      </c>
      <c r="L143">
        <v>501.81</v>
      </c>
      <c r="M143">
        <v>921.62</v>
      </c>
      <c r="N143">
        <v>0.01</v>
      </c>
      <c r="O143">
        <v>9</v>
      </c>
    </row>
    <row r="144" spans="1:15">
      <c r="A144" t="s">
        <v>386</v>
      </c>
      <c r="B144" s="39">
        <v>45133</v>
      </c>
      <c r="C144" s="39">
        <v>45163</v>
      </c>
      <c r="D144" t="s">
        <v>52</v>
      </c>
      <c r="E144" t="s">
        <v>122</v>
      </c>
      <c r="F144" t="s">
        <v>387</v>
      </c>
      <c r="G144" t="s">
        <v>48</v>
      </c>
      <c r="H144" t="s">
        <v>20</v>
      </c>
      <c r="I144" t="s">
        <v>110</v>
      </c>
      <c r="J144" t="s">
        <v>81</v>
      </c>
      <c r="K144" t="s">
        <v>388</v>
      </c>
      <c r="L144">
        <v>1261.48</v>
      </c>
      <c r="M144">
        <v>1643.18</v>
      </c>
      <c r="N144">
        <v>0.151</v>
      </c>
      <c r="O144">
        <v>23</v>
      </c>
    </row>
    <row r="145" spans="1:15">
      <c r="A145" t="s">
        <v>389</v>
      </c>
      <c r="B145" s="39">
        <v>45458</v>
      </c>
      <c r="C145" s="39">
        <v>45479</v>
      </c>
      <c r="D145" t="s">
        <v>52</v>
      </c>
      <c r="E145" t="s">
        <v>53</v>
      </c>
      <c r="F145" t="s">
        <v>54</v>
      </c>
      <c r="G145" t="s">
        <v>105</v>
      </c>
      <c r="H145" t="s">
        <v>55</v>
      </c>
      <c r="I145" t="s">
        <v>49</v>
      </c>
      <c r="J145" t="s">
        <v>30</v>
      </c>
      <c r="K145" t="s">
        <v>390</v>
      </c>
      <c r="L145">
        <v>817.23</v>
      </c>
      <c r="M145">
        <v>1467.17</v>
      </c>
      <c r="N145">
        <v>0.245</v>
      </c>
      <c r="O145">
        <v>9</v>
      </c>
    </row>
    <row r="146" spans="1:15">
      <c r="A146" t="s">
        <v>391</v>
      </c>
      <c r="B146" s="39">
        <v>45112</v>
      </c>
      <c r="C146" s="39">
        <v>45121</v>
      </c>
      <c r="D146" t="s">
        <v>52</v>
      </c>
      <c r="E146" t="s">
        <v>73</v>
      </c>
      <c r="F146" t="s">
        <v>87</v>
      </c>
      <c r="G146" t="s">
        <v>105</v>
      </c>
      <c r="H146" t="s">
        <v>98</v>
      </c>
      <c r="I146" t="s">
        <v>56</v>
      </c>
      <c r="J146" t="s">
        <v>35</v>
      </c>
      <c r="K146" t="s">
        <v>392</v>
      </c>
      <c r="L146">
        <v>578.85</v>
      </c>
      <c r="M146">
        <v>998.76</v>
      </c>
      <c r="N146">
        <v>0.082</v>
      </c>
      <c r="O146">
        <v>28</v>
      </c>
    </row>
    <row r="147" spans="1:15">
      <c r="A147" t="s">
        <v>393</v>
      </c>
      <c r="B147" s="39">
        <v>45260</v>
      </c>
      <c r="C147" s="39">
        <v>45259</v>
      </c>
      <c r="D147" t="s">
        <v>16</v>
      </c>
      <c r="E147" t="s">
        <v>148</v>
      </c>
      <c r="F147" t="s">
        <v>172</v>
      </c>
      <c r="G147" t="s">
        <v>62</v>
      </c>
      <c r="H147" t="s">
        <v>40</v>
      </c>
      <c r="I147" t="s">
        <v>63</v>
      </c>
      <c r="J147" t="s">
        <v>57</v>
      </c>
      <c r="K147" t="s">
        <v>394</v>
      </c>
      <c r="L147">
        <v>275.56</v>
      </c>
      <c r="M147">
        <v>630.72</v>
      </c>
      <c r="N147">
        <v>0.107</v>
      </c>
      <c r="O147">
        <v>23</v>
      </c>
    </row>
    <row r="148" spans="1:15">
      <c r="A148" t="s">
        <v>395</v>
      </c>
      <c r="B148" s="39">
        <v>45911</v>
      </c>
      <c r="C148" s="39">
        <v>45928</v>
      </c>
      <c r="D148" t="s">
        <v>16</v>
      </c>
      <c r="E148" t="s">
        <v>17</v>
      </c>
      <c r="F148" t="s">
        <v>33</v>
      </c>
      <c r="G148" t="s">
        <v>39</v>
      </c>
      <c r="H148" t="s">
        <v>55</v>
      </c>
      <c r="I148" t="s">
        <v>29</v>
      </c>
      <c r="J148" t="s">
        <v>57</v>
      </c>
      <c r="K148" t="s">
        <v>396</v>
      </c>
      <c r="L148">
        <v>891.46</v>
      </c>
      <c r="M148">
        <v>728.61</v>
      </c>
      <c r="N148">
        <v>0.185</v>
      </c>
      <c r="O148">
        <v>6</v>
      </c>
    </row>
    <row r="149" spans="1:15">
      <c r="A149" t="s">
        <v>397</v>
      </c>
      <c r="B149" s="39">
        <v>45386</v>
      </c>
      <c r="C149" s="39">
        <v>45406</v>
      </c>
      <c r="D149" t="s">
        <v>78</v>
      </c>
      <c r="E149" t="s">
        <v>79</v>
      </c>
      <c r="F149" t="s">
        <v>335</v>
      </c>
      <c r="G149" t="s">
        <v>39</v>
      </c>
      <c r="H149" t="s">
        <v>98</v>
      </c>
      <c r="I149" t="s">
        <v>68</v>
      </c>
      <c r="J149" t="s">
        <v>81</v>
      </c>
      <c r="K149" t="s">
        <v>398</v>
      </c>
      <c r="L149">
        <v>683.42</v>
      </c>
      <c r="M149">
        <v>951.51</v>
      </c>
      <c r="N149">
        <v>0</v>
      </c>
      <c r="O149">
        <v>14</v>
      </c>
    </row>
    <row r="150" spans="1:15">
      <c r="A150" t="s">
        <v>399</v>
      </c>
      <c r="B150" s="39">
        <v>45183</v>
      </c>
      <c r="C150" s="39">
        <v>45185</v>
      </c>
      <c r="D150" t="s">
        <v>78</v>
      </c>
      <c r="E150" t="s">
        <v>90</v>
      </c>
      <c r="F150" t="s">
        <v>138</v>
      </c>
      <c r="G150" t="s">
        <v>39</v>
      </c>
      <c r="H150" t="s">
        <v>98</v>
      </c>
      <c r="I150" t="s">
        <v>56</v>
      </c>
      <c r="J150" t="s">
        <v>30</v>
      </c>
      <c r="K150" t="s">
        <v>400</v>
      </c>
      <c r="L150">
        <v>376.83</v>
      </c>
      <c r="M150">
        <v>732.88</v>
      </c>
      <c r="N150">
        <v>0.188</v>
      </c>
      <c r="O150">
        <v>25</v>
      </c>
    </row>
    <row r="151" spans="1:15">
      <c r="A151" t="s">
        <v>401</v>
      </c>
      <c r="B151" s="39">
        <v>45558</v>
      </c>
      <c r="C151" s="39">
        <v>45583</v>
      </c>
      <c r="D151" t="s">
        <v>52</v>
      </c>
      <c r="E151" t="s">
        <v>53</v>
      </c>
      <c r="F151" t="s">
        <v>179</v>
      </c>
      <c r="G151" t="s">
        <v>62</v>
      </c>
      <c r="H151" t="s">
        <v>28</v>
      </c>
      <c r="I151" t="s">
        <v>126</v>
      </c>
      <c r="J151" t="s">
        <v>42</v>
      </c>
      <c r="K151" t="s">
        <v>402</v>
      </c>
      <c r="L151">
        <v>1297</v>
      </c>
      <c r="M151">
        <v>2411.52</v>
      </c>
      <c r="N151">
        <v>0.021</v>
      </c>
      <c r="O151">
        <v>18</v>
      </c>
    </row>
    <row r="152" spans="1:15">
      <c r="A152" t="s">
        <v>403</v>
      </c>
      <c r="B152" s="39">
        <v>45763</v>
      </c>
      <c r="C152" s="39">
        <v>45793</v>
      </c>
      <c r="D152" t="s">
        <v>52</v>
      </c>
      <c r="E152" t="s">
        <v>53</v>
      </c>
      <c r="F152" t="s">
        <v>144</v>
      </c>
      <c r="G152" t="s">
        <v>105</v>
      </c>
      <c r="H152" t="s">
        <v>55</v>
      </c>
      <c r="I152" t="s">
        <v>95</v>
      </c>
      <c r="J152" t="s">
        <v>30</v>
      </c>
      <c r="K152" t="s">
        <v>404</v>
      </c>
      <c r="L152">
        <v>763.32</v>
      </c>
      <c r="M152">
        <v>568.29</v>
      </c>
      <c r="N152">
        <v>0.131</v>
      </c>
      <c r="O152">
        <v>16</v>
      </c>
    </row>
    <row r="153" spans="1:15">
      <c r="A153" t="s">
        <v>405</v>
      </c>
      <c r="B153" s="39">
        <v>45110</v>
      </c>
      <c r="C153" s="39">
        <v>45130</v>
      </c>
      <c r="D153" t="s">
        <v>16</v>
      </c>
      <c r="E153" t="s">
        <v>148</v>
      </c>
      <c r="F153" t="s">
        <v>149</v>
      </c>
      <c r="G153" t="s">
        <v>62</v>
      </c>
      <c r="H153" t="s">
        <v>55</v>
      </c>
      <c r="I153" t="s">
        <v>84</v>
      </c>
      <c r="J153" t="s">
        <v>57</v>
      </c>
      <c r="K153" t="s">
        <v>406</v>
      </c>
      <c r="L153">
        <v>1001.96</v>
      </c>
      <c r="M153">
        <v>1254.95</v>
      </c>
      <c r="N153">
        <v>0.045</v>
      </c>
      <c r="O153">
        <v>18</v>
      </c>
    </row>
    <row r="154" spans="1:15">
      <c r="A154" t="s">
        <v>407</v>
      </c>
      <c r="B154" s="39">
        <v>45267</v>
      </c>
      <c r="C154" s="39">
        <v>45265</v>
      </c>
      <c r="D154" t="s">
        <v>45</v>
      </c>
      <c r="E154" t="s">
        <v>46</v>
      </c>
      <c r="F154" t="s">
        <v>214</v>
      </c>
      <c r="G154" t="s">
        <v>39</v>
      </c>
      <c r="H154" t="s">
        <v>40</v>
      </c>
      <c r="I154" t="s">
        <v>92</v>
      </c>
      <c r="J154" t="s">
        <v>30</v>
      </c>
      <c r="K154" t="s">
        <v>408</v>
      </c>
      <c r="L154">
        <v>1097.59</v>
      </c>
      <c r="M154">
        <v>845.55</v>
      </c>
      <c r="N154">
        <v>0.184</v>
      </c>
      <c r="O154">
        <v>6</v>
      </c>
    </row>
    <row r="155" spans="1:15">
      <c r="A155" t="s">
        <v>409</v>
      </c>
      <c r="B155" s="39">
        <v>45340</v>
      </c>
      <c r="C155" s="39">
        <v>45355</v>
      </c>
      <c r="D155" t="s">
        <v>16</v>
      </c>
      <c r="E155" t="s">
        <v>17</v>
      </c>
      <c r="F155" t="s">
        <v>18</v>
      </c>
      <c r="G155" t="s">
        <v>27</v>
      </c>
      <c r="H155" t="s">
        <v>98</v>
      </c>
      <c r="I155" t="s">
        <v>95</v>
      </c>
      <c r="J155" t="s">
        <v>30</v>
      </c>
      <c r="K155" t="s">
        <v>410</v>
      </c>
      <c r="L155">
        <v>928.68</v>
      </c>
      <c r="M155">
        <v>2145.17</v>
      </c>
      <c r="N155">
        <v>0.136</v>
      </c>
      <c r="O155">
        <v>16</v>
      </c>
    </row>
    <row r="156" spans="1:15">
      <c r="A156" t="s">
        <v>411</v>
      </c>
      <c r="B156" s="39">
        <v>45230</v>
      </c>
      <c r="C156" s="39">
        <v>45232</v>
      </c>
      <c r="D156" t="s">
        <v>16</v>
      </c>
      <c r="E156" t="s">
        <v>17</v>
      </c>
      <c r="F156" t="s">
        <v>18</v>
      </c>
      <c r="G156" t="s">
        <v>27</v>
      </c>
      <c r="H156" t="s">
        <v>20</v>
      </c>
      <c r="I156" t="s">
        <v>68</v>
      </c>
      <c r="J156" t="s">
        <v>81</v>
      </c>
      <c r="K156" t="s">
        <v>412</v>
      </c>
      <c r="L156">
        <v>867.89</v>
      </c>
      <c r="M156">
        <v>1349.94</v>
      </c>
      <c r="N156">
        <v>0.184</v>
      </c>
      <c r="O156">
        <v>10</v>
      </c>
    </row>
    <row r="157" spans="1:15">
      <c r="A157" t="s">
        <v>413</v>
      </c>
      <c r="B157" s="39">
        <v>45511</v>
      </c>
      <c r="C157" s="39">
        <v>45521</v>
      </c>
      <c r="D157" t="s">
        <v>45</v>
      </c>
      <c r="E157" t="s">
        <v>46</v>
      </c>
      <c r="F157" t="s">
        <v>47</v>
      </c>
      <c r="G157" t="s">
        <v>48</v>
      </c>
      <c r="H157" t="s">
        <v>28</v>
      </c>
      <c r="I157" t="s">
        <v>95</v>
      </c>
      <c r="J157" t="s">
        <v>35</v>
      </c>
      <c r="K157" t="s">
        <v>414</v>
      </c>
      <c r="L157">
        <v>436.58</v>
      </c>
      <c r="M157">
        <v>527.48</v>
      </c>
      <c r="N157">
        <v>0.111</v>
      </c>
      <c r="O157">
        <v>19</v>
      </c>
    </row>
    <row r="158" spans="1:15">
      <c r="A158" t="s">
        <v>415</v>
      </c>
      <c r="B158" s="39">
        <v>45323</v>
      </c>
      <c r="C158" s="39">
        <v>45343</v>
      </c>
      <c r="D158" t="s">
        <v>78</v>
      </c>
      <c r="E158" t="s">
        <v>90</v>
      </c>
      <c r="F158" t="s">
        <v>217</v>
      </c>
      <c r="G158" t="s">
        <v>62</v>
      </c>
      <c r="H158" t="s">
        <v>40</v>
      </c>
      <c r="I158" t="s">
        <v>75</v>
      </c>
      <c r="J158" t="s">
        <v>35</v>
      </c>
      <c r="K158" t="s">
        <v>416</v>
      </c>
      <c r="L158">
        <v>656.2</v>
      </c>
      <c r="M158">
        <v>1467.17</v>
      </c>
      <c r="N158">
        <v>0.018</v>
      </c>
      <c r="O158">
        <v>5</v>
      </c>
    </row>
    <row r="159" spans="1:15">
      <c r="A159" t="s">
        <v>417</v>
      </c>
      <c r="B159" s="39">
        <v>45531</v>
      </c>
      <c r="C159" s="39">
        <v>45553</v>
      </c>
      <c r="D159" t="s">
        <v>45</v>
      </c>
      <c r="E159" t="s">
        <v>60</v>
      </c>
      <c r="F159" t="s">
        <v>141</v>
      </c>
      <c r="G159" t="s">
        <v>48</v>
      </c>
      <c r="H159" t="s">
        <v>98</v>
      </c>
      <c r="I159" t="s">
        <v>56</v>
      </c>
      <c r="J159" t="s">
        <v>22</v>
      </c>
      <c r="K159" t="s">
        <v>418</v>
      </c>
      <c r="L159">
        <v>896.75</v>
      </c>
      <c r="M159">
        <v>1651.14</v>
      </c>
      <c r="N159">
        <v>0.025</v>
      </c>
      <c r="O159">
        <v>15</v>
      </c>
    </row>
    <row r="160" spans="1:15">
      <c r="A160" t="s">
        <v>419</v>
      </c>
      <c r="B160" s="39">
        <v>45703</v>
      </c>
      <c r="C160" s="39">
        <v>45703</v>
      </c>
      <c r="D160" t="s">
        <v>78</v>
      </c>
      <c r="E160" t="s">
        <v>79</v>
      </c>
      <c r="F160" t="s">
        <v>335</v>
      </c>
      <c r="G160" t="s">
        <v>62</v>
      </c>
      <c r="H160" t="s">
        <v>40</v>
      </c>
      <c r="I160" t="s">
        <v>49</v>
      </c>
      <c r="J160" t="s">
        <v>81</v>
      </c>
      <c r="K160" t="s">
        <v>420</v>
      </c>
      <c r="L160">
        <v>815.83</v>
      </c>
      <c r="M160">
        <v>1982.18</v>
      </c>
      <c r="N160">
        <v>0.127</v>
      </c>
      <c r="O160">
        <v>6</v>
      </c>
    </row>
    <row r="161" spans="1:15">
      <c r="A161" t="s">
        <v>421</v>
      </c>
      <c r="B161" s="39">
        <v>45870</v>
      </c>
      <c r="C161" s="39">
        <v>45890</v>
      </c>
      <c r="D161" t="s">
        <v>45</v>
      </c>
      <c r="E161" t="s">
        <v>116</v>
      </c>
      <c r="F161" t="s">
        <v>162</v>
      </c>
      <c r="G161" t="s">
        <v>19</v>
      </c>
      <c r="H161" t="s">
        <v>98</v>
      </c>
      <c r="I161" t="s">
        <v>34</v>
      </c>
      <c r="J161" t="s">
        <v>42</v>
      </c>
      <c r="K161" t="s">
        <v>422</v>
      </c>
      <c r="L161">
        <v>1220.41</v>
      </c>
      <c r="M161">
        <v>2552.22</v>
      </c>
      <c r="N161">
        <v>0.181</v>
      </c>
      <c r="O161">
        <v>14</v>
      </c>
    </row>
    <row r="162" spans="1:15">
      <c r="A162" t="s">
        <v>423</v>
      </c>
      <c r="B162" s="39">
        <v>44977</v>
      </c>
      <c r="C162" s="39">
        <v>44989</v>
      </c>
      <c r="D162" t="s">
        <v>45</v>
      </c>
      <c r="E162" t="s">
        <v>60</v>
      </c>
      <c r="F162" t="s">
        <v>141</v>
      </c>
      <c r="G162" t="s">
        <v>48</v>
      </c>
      <c r="H162" t="s">
        <v>55</v>
      </c>
      <c r="I162" t="s">
        <v>110</v>
      </c>
      <c r="J162" t="s">
        <v>64</v>
      </c>
      <c r="K162" t="s">
        <v>424</v>
      </c>
      <c r="L162">
        <v>299.75</v>
      </c>
      <c r="M162">
        <v>523.01</v>
      </c>
      <c r="N162">
        <v>0.157</v>
      </c>
      <c r="O162">
        <v>50</v>
      </c>
    </row>
    <row r="163" spans="1:15">
      <c r="A163" t="s">
        <v>425</v>
      </c>
      <c r="B163" s="39">
        <v>45595</v>
      </c>
      <c r="C163" s="39">
        <v>45620</v>
      </c>
      <c r="D163" t="s">
        <v>45</v>
      </c>
      <c r="E163" t="s">
        <v>116</v>
      </c>
      <c r="F163" t="s">
        <v>117</v>
      </c>
      <c r="G163" t="s">
        <v>62</v>
      </c>
      <c r="H163" t="s">
        <v>28</v>
      </c>
      <c r="I163" t="s">
        <v>63</v>
      </c>
      <c r="J163" t="s">
        <v>22</v>
      </c>
      <c r="K163" t="s">
        <v>426</v>
      </c>
      <c r="L163">
        <v>811.05</v>
      </c>
      <c r="M163">
        <v>1217.71</v>
      </c>
      <c r="N163">
        <v>0.072</v>
      </c>
      <c r="O163">
        <v>5</v>
      </c>
    </row>
    <row r="164" spans="1:15">
      <c r="A164" t="s">
        <v>427</v>
      </c>
      <c r="B164" s="39">
        <v>45385</v>
      </c>
      <c r="C164" s="39">
        <v>45389</v>
      </c>
      <c r="D164" t="s">
        <v>52</v>
      </c>
      <c r="E164" t="s">
        <v>73</v>
      </c>
      <c r="F164" t="s">
        <v>87</v>
      </c>
      <c r="G164" t="s">
        <v>39</v>
      </c>
      <c r="H164" t="s">
        <v>98</v>
      </c>
      <c r="I164" t="s">
        <v>126</v>
      </c>
      <c r="J164" t="s">
        <v>42</v>
      </c>
      <c r="K164" t="s">
        <v>428</v>
      </c>
      <c r="L164">
        <v>1023.27</v>
      </c>
      <c r="M164">
        <v>1343.64</v>
      </c>
      <c r="N164">
        <v>0.133</v>
      </c>
      <c r="O164">
        <v>7</v>
      </c>
    </row>
    <row r="165" spans="1:15">
      <c r="A165" t="s">
        <v>429</v>
      </c>
      <c r="B165" s="39">
        <v>45010</v>
      </c>
      <c r="C165" s="39">
        <v>45011</v>
      </c>
      <c r="D165" t="s">
        <v>45</v>
      </c>
      <c r="E165" t="s">
        <v>46</v>
      </c>
      <c r="F165" t="s">
        <v>47</v>
      </c>
      <c r="G165" t="s">
        <v>62</v>
      </c>
      <c r="H165" t="s">
        <v>55</v>
      </c>
      <c r="I165" t="s">
        <v>34</v>
      </c>
      <c r="J165" t="s">
        <v>64</v>
      </c>
      <c r="K165" t="s">
        <v>430</v>
      </c>
      <c r="L165">
        <v>135.12</v>
      </c>
      <c r="M165">
        <v>301.7</v>
      </c>
      <c r="N165">
        <v>0.14</v>
      </c>
      <c r="O165">
        <v>47</v>
      </c>
    </row>
    <row r="166" spans="1:15">
      <c r="A166" t="s">
        <v>431</v>
      </c>
      <c r="B166" s="39">
        <v>45447</v>
      </c>
      <c r="C166" s="39">
        <v>45459</v>
      </c>
      <c r="D166" t="s">
        <v>45</v>
      </c>
      <c r="E166" t="s">
        <v>116</v>
      </c>
      <c r="F166" t="s">
        <v>162</v>
      </c>
      <c r="G166" t="s">
        <v>19</v>
      </c>
      <c r="H166" t="s">
        <v>20</v>
      </c>
      <c r="I166" t="s">
        <v>29</v>
      </c>
      <c r="J166" t="s">
        <v>30</v>
      </c>
      <c r="K166" t="s">
        <v>432</v>
      </c>
      <c r="L166">
        <v>918.42</v>
      </c>
      <c r="M166">
        <v>1511.71</v>
      </c>
      <c r="N166">
        <v>0.02</v>
      </c>
      <c r="O166">
        <v>8</v>
      </c>
    </row>
    <row r="167" spans="1:15">
      <c r="A167" t="s">
        <v>433</v>
      </c>
      <c r="B167" s="39">
        <v>44976</v>
      </c>
      <c r="C167" s="39">
        <v>44997</v>
      </c>
      <c r="D167" t="s">
        <v>78</v>
      </c>
      <c r="E167" t="s">
        <v>79</v>
      </c>
      <c r="F167" t="s">
        <v>80</v>
      </c>
      <c r="G167" t="s">
        <v>62</v>
      </c>
      <c r="H167" t="s">
        <v>98</v>
      </c>
      <c r="I167" t="s">
        <v>49</v>
      </c>
      <c r="J167" t="s">
        <v>64</v>
      </c>
      <c r="K167" t="s">
        <v>434</v>
      </c>
      <c r="L167">
        <v>1234.81</v>
      </c>
      <c r="M167">
        <v>2055.24</v>
      </c>
      <c r="N167">
        <v>0.053</v>
      </c>
      <c r="O167">
        <v>44</v>
      </c>
    </row>
    <row r="168" spans="1:15">
      <c r="A168" t="s">
        <v>435</v>
      </c>
      <c r="B168" s="39">
        <v>45034</v>
      </c>
      <c r="C168" s="39">
        <v>45064</v>
      </c>
      <c r="D168" t="s">
        <v>45</v>
      </c>
      <c r="E168" t="s">
        <v>116</v>
      </c>
      <c r="F168" t="s">
        <v>117</v>
      </c>
      <c r="G168" t="s">
        <v>39</v>
      </c>
      <c r="H168" t="s">
        <v>20</v>
      </c>
      <c r="I168" t="s">
        <v>92</v>
      </c>
      <c r="J168" t="s">
        <v>57</v>
      </c>
      <c r="K168" t="s">
        <v>436</v>
      </c>
      <c r="L168">
        <v>329.03</v>
      </c>
      <c r="M168">
        <v>391.15</v>
      </c>
      <c r="N168">
        <v>0.197</v>
      </c>
      <c r="O168">
        <v>46</v>
      </c>
    </row>
    <row r="169" spans="1:15">
      <c r="A169" t="s">
        <v>437</v>
      </c>
      <c r="B169" s="39">
        <v>45435</v>
      </c>
      <c r="C169" s="39">
        <v>45457</v>
      </c>
      <c r="D169" t="s">
        <v>78</v>
      </c>
      <c r="E169" t="s">
        <v>90</v>
      </c>
      <c r="F169" t="s">
        <v>91</v>
      </c>
      <c r="G169" t="s">
        <v>62</v>
      </c>
      <c r="H169" t="s">
        <v>28</v>
      </c>
      <c r="I169" t="s">
        <v>126</v>
      </c>
      <c r="J169" t="s">
        <v>64</v>
      </c>
      <c r="K169" t="s">
        <v>438</v>
      </c>
      <c r="L169">
        <v>1481.74</v>
      </c>
      <c r="M169">
        <v>1848.97</v>
      </c>
      <c r="N169">
        <v>0.254</v>
      </c>
      <c r="O169">
        <v>9</v>
      </c>
    </row>
    <row r="170" spans="1:15">
      <c r="A170" t="s">
        <v>439</v>
      </c>
      <c r="B170" s="39">
        <v>45206</v>
      </c>
      <c r="C170" s="39">
        <v>45222</v>
      </c>
      <c r="D170" t="s">
        <v>45</v>
      </c>
      <c r="E170" t="s">
        <v>60</v>
      </c>
      <c r="F170" t="s">
        <v>281</v>
      </c>
      <c r="G170" t="s">
        <v>48</v>
      </c>
      <c r="H170" t="s">
        <v>20</v>
      </c>
      <c r="I170" t="s">
        <v>41</v>
      </c>
      <c r="J170" t="s">
        <v>64</v>
      </c>
      <c r="K170" t="s">
        <v>440</v>
      </c>
      <c r="L170">
        <v>906.81</v>
      </c>
      <c r="M170">
        <v>1395.56</v>
      </c>
      <c r="N170">
        <v>0.185</v>
      </c>
      <c r="O170">
        <v>6</v>
      </c>
    </row>
    <row r="171" spans="1:15">
      <c r="A171" t="s">
        <v>441</v>
      </c>
      <c r="B171" s="39">
        <v>45574</v>
      </c>
      <c r="C171" s="39">
        <v>45604</v>
      </c>
      <c r="D171" t="s">
        <v>78</v>
      </c>
      <c r="E171" t="s">
        <v>108</v>
      </c>
      <c r="F171" t="s">
        <v>228</v>
      </c>
      <c r="G171" t="s">
        <v>62</v>
      </c>
      <c r="H171" t="s">
        <v>55</v>
      </c>
      <c r="I171" t="s">
        <v>29</v>
      </c>
      <c r="J171" t="s">
        <v>22</v>
      </c>
      <c r="K171" t="s">
        <v>442</v>
      </c>
      <c r="L171">
        <v>343.85</v>
      </c>
      <c r="M171">
        <v>538.04</v>
      </c>
      <c r="N171">
        <v>0.139</v>
      </c>
      <c r="O171">
        <v>5</v>
      </c>
    </row>
    <row r="172" spans="1:15">
      <c r="A172" t="s">
        <v>443</v>
      </c>
      <c r="B172" s="39">
        <v>45488</v>
      </c>
      <c r="C172" s="39">
        <v>45488</v>
      </c>
      <c r="D172" t="s">
        <v>45</v>
      </c>
      <c r="E172" t="s">
        <v>46</v>
      </c>
      <c r="F172" t="s">
        <v>214</v>
      </c>
      <c r="G172" t="s">
        <v>62</v>
      </c>
      <c r="H172" t="s">
        <v>40</v>
      </c>
      <c r="I172" t="s">
        <v>41</v>
      </c>
      <c r="J172" t="s">
        <v>81</v>
      </c>
      <c r="K172" t="s">
        <v>444</v>
      </c>
      <c r="L172">
        <v>801.77</v>
      </c>
      <c r="M172">
        <v>1218.92</v>
      </c>
      <c r="N172">
        <v>0.254</v>
      </c>
      <c r="O172">
        <v>16</v>
      </c>
    </row>
    <row r="173" spans="1:15">
      <c r="A173" t="s">
        <v>445</v>
      </c>
      <c r="B173" s="39">
        <v>45190</v>
      </c>
      <c r="C173" s="39">
        <v>45209</v>
      </c>
      <c r="D173" t="s">
        <v>45</v>
      </c>
      <c r="E173" t="s">
        <v>46</v>
      </c>
      <c r="F173" t="s">
        <v>214</v>
      </c>
      <c r="G173" t="s">
        <v>27</v>
      </c>
      <c r="H173" t="s">
        <v>28</v>
      </c>
      <c r="I173" t="s">
        <v>145</v>
      </c>
      <c r="J173" t="s">
        <v>22</v>
      </c>
      <c r="K173" t="s">
        <v>446</v>
      </c>
      <c r="L173">
        <v>845.63</v>
      </c>
      <c r="M173">
        <v>2062.12</v>
      </c>
      <c r="N173">
        <v>0.134</v>
      </c>
      <c r="O173">
        <v>5</v>
      </c>
    </row>
    <row r="174" spans="1:15">
      <c r="A174" t="s">
        <v>447</v>
      </c>
      <c r="B174" s="39">
        <v>44981</v>
      </c>
      <c r="C174" s="39">
        <v>44994</v>
      </c>
      <c r="D174" t="s">
        <v>52</v>
      </c>
      <c r="E174" t="s">
        <v>122</v>
      </c>
      <c r="F174" t="s">
        <v>387</v>
      </c>
      <c r="G174" t="s">
        <v>105</v>
      </c>
      <c r="H174" t="s">
        <v>28</v>
      </c>
      <c r="I174" t="s">
        <v>110</v>
      </c>
      <c r="J174" t="s">
        <v>22</v>
      </c>
      <c r="K174" t="s">
        <v>448</v>
      </c>
      <c r="L174">
        <v>6.85</v>
      </c>
      <c r="M174">
        <v>10.18</v>
      </c>
      <c r="N174">
        <v>0.047</v>
      </c>
      <c r="O174">
        <v>10</v>
      </c>
    </row>
    <row r="175" spans="1:15">
      <c r="A175" t="s">
        <v>449</v>
      </c>
      <c r="B175" s="39">
        <v>45798</v>
      </c>
      <c r="C175" s="39">
        <v>45796</v>
      </c>
      <c r="D175" t="s">
        <v>16</v>
      </c>
      <c r="E175" t="s">
        <v>148</v>
      </c>
      <c r="F175" t="s">
        <v>149</v>
      </c>
      <c r="G175" t="s">
        <v>39</v>
      </c>
      <c r="H175" t="s">
        <v>55</v>
      </c>
      <c r="I175" t="s">
        <v>68</v>
      </c>
      <c r="J175" t="s">
        <v>57</v>
      </c>
      <c r="K175" t="s">
        <v>450</v>
      </c>
      <c r="L175">
        <v>1263.84</v>
      </c>
      <c r="M175">
        <v>2281.72</v>
      </c>
      <c r="N175">
        <v>0.078</v>
      </c>
      <c r="O175">
        <v>15</v>
      </c>
    </row>
    <row r="176" spans="1:15">
      <c r="A176" t="s">
        <v>451</v>
      </c>
      <c r="B176" s="39">
        <v>45435</v>
      </c>
      <c r="C176" s="39">
        <v>45446</v>
      </c>
      <c r="D176" t="s">
        <v>16</v>
      </c>
      <c r="E176" t="s">
        <v>148</v>
      </c>
      <c r="F176" t="s">
        <v>149</v>
      </c>
      <c r="G176" t="s">
        <v>62</v>
      </c>
      <c r="H176" t="s">
        <v>55</v>
      </c>
      <c r="I176" t="s">
        <v>84</v>
      </c>
      <c r="J176" t="s">
        <v>30</v>
      </c>
      <c r="K176" t="s">
        <v>452</v>
      </c>
      <c r="L176">
        <v>180.89</v>
      </c>
      <c r="M176">
        <v>249.57</v>
      </c>
      <c r="N176">
        <v>0.022</v>
      </c>
      <c r="O176">
        <v>8</v>
      </c>
    </row>
    <row r="177" spans="1:15">
      <c r="A177" t="s">
        <v>453</v>
      </c>
      <c r="B177" s="39">
        <v>45761</v>
      </c>
      <c r="C177" s="39">
        <v>45781</v>
      </c>
      <c r="D177" t="s">
        <v>78</v>
      </c>
      <c r="E177" t="s">
        <v>108</v>
      </c>
      <c r="F177" t="s">
        <v>109</v>
      </c>
      <c r="G177" t="s">
        <v>105</v>
      </c>
      <c r="H177" t="s">
        <v>40</v>
      </c>
      <c r="I177" t="s">
        <v>95</v>
      </c>
      <c r="J177" t="s">
        <v>64</v>
      </c>
      <c r="K177" t="s">
        <v>454</v>
      </c>
      <c r="L177">
        <v>1413.87</v>
      </c>
      <c r="M177">
        <v>3275</v>
      </c>
      <c r="N177">
        <v>0.255</v>
      </c>
      <c r="O177">
        <v>38</v>
      </c>
    </row>
    <row r="178" spans="1:15">
      <c r="A178" t="s">
        <v>455</v>
      </c>
      <c r="B178" s="39">
        <v>45165</v>
      </c>
      <c r="C178" s="39">
        <v>45180</v>
      </c>
      <c r="D178" t="s">
        <v>78</v>
      </c>
      <c r="E178" t="s">
        <v>108</v>
      </c>
      <c r="F178" t="s">
        <v>152</v>
      </c>
      <c r="G178" t="s">
        <v>48</v>
      </c>
      <c r="H178" t="s">
        <v>40</v>
      </c>
      <c r="I178" t="s">
        <v>126</v>
      </c>
      <c r="J178" t="s">
        <v>30</v>
      </c>
      <c r="K178" t="s">
        <v>456</v>
      </c>
      <c r="L178">
        <v>943.79</v>
      </c>
      <c r="M178">
        <v>1913.76</v>
      </c>
      <c r="N178">
        <v>0.091</v>
      </c>
      <c r="O178">
        <v>9</v>
      </c>
    </row>
    <row r="179" spans="1:15">
      <c r="A179" t="s">
        <v>457</v>
      </c>
      <c r="B179" s="39">
        <v>45325</v>
      </c>
      <c r="C179" s="39">
        <v>45343</v>
      </c>
      <c r="D179" t="s">
        <v>78</v>
      </c>
      <c r="E179" t="s">
        <v>79</v>
      </c>
      <c r="F179" t="s">
        <v>335</v>
      </c>
      <c r="G179" t="s">
        <v>19</v>
      </c>
      <c r="H179" t="s">
        <v>20</v>
      </c>
      <c r="I179" t="s">
        <v>92</v>
      </c>
      <c r="J179" t="s">
        <v>22</v>
      </c>
      <c r="K179" t="s">
        <v>458</v>
      </c>
      <c r="L179">
        <v>39.23</v>
      </c>
      <c r="M179">
        <v>30.09</v>
      </c>
      <c r="N179">
        <v>0.177</v>
      </c>
      <c r="O179">
        <v>13</v>
      </c>
    </row>
    <row r="180" spans="1:15">
      <c r="A180" t="s">
        <v>459</v>
      </c>
      <c r="B180" s="39">
        <v>45021</v>
      </c>
      <c r="C180" s="39">
        <v>45032</v>
      </c>
      <c r="D180" t="s">
        <v>52</v>
      </c>
      <c r="E180" t="s">
        <v>53</v>
      </c>
      <c r="F180" t="s">
        <v>179</v>
      </c>
      <c r="G180" t="s">
        <v>39</v>
      </c>
      <c r="H180" t="s">
        <v>28</v>
      </c>
      <c r="I180" t="s">
        <v>68</v>
      </c>
      <c r="J180" t="s">
        <v>64</v>
      </c>
      <c r="K180" t="s">
        <v>460</v>
      </c>
      <c r="L180">
        <v>213.1</v>
      </c>
      <c r="M180">
        <v>501.31</v>
      </c>
      <c r="N180">
        <v>0.056</v>
      </c>
      <c r="O180">
        <v>15</v>
      </c>
    </row>
    <row r="181" spans="1:15">
      <c r="A181" t="s">
        <v>461</v>
      </c>
      <c r="B181" s="39">
        <v>45890</v>
      </c>
      <c r="C181" s="39">
        <v>45912</v>
      </c>
      <c r="D181" t="s">
        <v>45</v>
      </c>
      <c r="E181" t="s">
        <v>116</v>
      </c>
      <c r="F181" t="s">
        <v>117</v>
      </c>
      <c r="G181" t="s">
        <v>27</v>
      </c>
      <c r="H181" t="s">
        <v>20</v>
      </c>
      <c r="I181" t="s">
        <v>56</v>
      </c>
      <c r="J181" t="s">
        <v>30</v>
      </c>
      <c r="K181" t="s">
        <v>462</v>
      </c>
      <c r="L181">
        <v>352.66</v>
      </c>
      <c r="M181">
        <v>411.18</v>
      </c>
      <c r="N181">
        <v>0.173</v>
      </c>
      <c r="O181">
        <v>13</v>
      </c>
    </row>
    <row r="182" spans="1:15">
      <c r="A182" t="s">
        <v>463</v>
      </c>
      <c r="B182" s="39">
        <v>45915</v>
      </c>
      <c r="C182" s="39">
        <v>45918</v>
      </c>
      <c r="D182" t="s">
        <v>52</v>
      </c>
      <c r="E182" t="s">
        <v>73</v>
      </c>
      <c r="F182" t="s">
        <v>225</v>
      </c>
      <c r="G182" t="s">
        <v>39</v>
      </c>
      <c r="H182" t="s">
        <v>98</v>
      </c>
      <c r="I182" t="s">
        <v>49</v>
      </c>
      <c r="J182" t="s">
        <v>81</v>
      </c>
      <c r="K182" t="s">
        <v>464</v>
      </c>
      <c r="L182">
        <v>5.5</v>
      </c>
      <c r="M182">
        <v>5.92</v>
      </c>
      <c r="N182">
        <v>0.212</v>
      </c>
      <c r="O182">
        <v>4</v>
      </c>
    </row>
    <row r="183" spans="1:15">
      <c r="A183" t="s">
        <v>465</v>
      </c>
      <c r="B183" s="39">
        <v>45568</v>
      </c>
      <c r="C183" s="39">
        <v>45576</v>
      </c>
      <c r="D183" t="s">
        <v>45</v>
      </c>
      <c r="E183" t="s">
        <v>116</v>
      </c>
      <c r="F183" t="s">
        <v>338</v>
      </c>
      <c r="G183" t="s">
        <v>105</v>
      </c>
      <c r="H183" t="s">
        <v>98</v>
      </c>
      <c r="I183" t="s">
        <v>56</v>
      </c>
      <c r="J183" t="s">
        <v>42</v>
      </c>
      <c r="K183" t="s">
        <v>466</v>
      </c>
      <c r="L183">
        <v>1132.61</v>
      </c>
      <c r="M183">
        <v>2206.63</v>
      </c>
      <c r="N183">
        <v>0.063</v>
      </c>
      <c r="O183">
        <v>20</v>
      </c>
    </row>
    <row r="184" spans="1:15">
      <c r="A184" t="s">
        <v>467</v>
      </c>
      <c r="B184" s="39">
        <v>45690</v>
      </c>
      <c r="C184" s="39">
        <v>45720</v>
      </c>
      <c r="D184" t="s">
        <v>45</v>
      </c>
      <c r="E184" t="s">
        <v>46</v>
      </c>
      <c r="F184" t="s">
        <v>47</v>
      </c>
      <c r="G184" t="s">
        <v>27</v>
      </c>
      <c r="H184" t="s">
        <v>55</v>
      </c>
      <c r="I184" t="s">
        <v>49</v>
      </c>
      <c r="J184" t="s">
        <v>81</v>
      </c>
      <c r="K184" t="s">
        <v>468</v>
      </c>
      <c r="L184">
        <v>766.59</v>
      </c>
      <c r="M184">
        <v>1912.8</v>
      </c>
      <c r="N184">
        <v>0.196</v>
      </c>
      <c r="O184">
        <v>5</v>
      </c>
    </row>
    <row r="185" spans="1:15">
      <c r="A185" t="s">
        <v>469</v>
      </c>
      <c r="B185" s="39">
        <v>45157</v>
      </c>
      <c r="C185" s="39">
        <v>45161</v>
      </c>
      <c r="D185" t="s">
        <v>16</v>
      </c>
      <c r="E185" t="s">
        <v>25</v>
      </c>
      <c r="F185" t="s">
        <v>67</v>
      </c>
      <c r="G185" t="s">
        <v>62</v>
      </c>
      <c r="H185" t="s">
        <v>28</v>
      </c>
      <c r="I185" t="s">
        <v>29</v>
      </c>
      <c r="J185" t="s">
        <v>64</v>
      </c>
      <c r="K185" t="s">
        <v>470</v>
      </c>
      <c r="L185">
        <v>790.63</v>
      </c>
      <c r="M185">
        <v>1382.31</v>
      </c>
      <c r="N185">
        <v>0.101</v>
      </c>
      <c r="O185">
        <v>7</v>
      </c>
    </row>
    <row r="186" spans="1:15">
      <c r="A186" t="s">
        <v>471</v>
      </c>
      <c r="B186" s="39">
        <v>45587</v>
      </c>
      <c r="C186" s="39">
        <v>45594</v>
      </c>
      <c r="D186" t="s">
        <v>16</v>
      </c>
      <c r="E186" t="s">
        <v>25</v>
      </c>
      <c r="F186" t="s">
        <v>26</v>
      </c>
      <c r="G186" t="s">
        <v>105</v>
      </c>
      <c r="H186" t="s">
        <v>55</v>
      </c>
      <c r="I186" t="s">
        <v>110</v>
      </c>
      <c r="J186" t="s">
        <v>64</v>
      </c>
      <c r="K186" t="s">
        <v>472</v>
      </c>
      <c r="L186">
        <v>1023.06</v>
      </c>
      <c r="M186">
        <v>1355.61</v>
      </c>
      <c r="N186">
        <v>0.153</v>
      </c>
      <c r="O186">
        <v>23</v>
      </c>
    </row>
    <row r="187" spans="1:15">
      <c r="A187" t="s">
        <v>473</v>
      </c>
      <c r="B187" s="39">
        <v>45099</v>
      </c>
      <c r="C187" s="39">
        <v>45128</v>
      </c>
      <c r="D187" t="s">
        <v>78</v>
      </c>
      <c r="E187" t="s">
        <v>90</v>
      </c>
      <c r="F187" t="s">
        <v>138</v>
      </c>
      <c r="G187" t="s">
        <v>19</v>
      </c>
      <c r="H187" t="s">
        <v>20</v>
      </c>
      <c r="I187" t="s">
        <v>29</v>
      </c>
      <c r="J187" t="s">
        <v>81</v>
      </c>
      <c r="K187" t="s">
        <v>474</v>
      </c>
      <c r="L187">
        <v>734.34</v>
      </c>
      <c r="M187">
        <v>887.9</v>
      </c>
      <c r="N187">
        <v>0.025</v>
      </c>
      <c r="O187">
        <v>12</v>
      </c>
    </row>
    <row r="188" spans="1:15">
      <c r="A188" t="s">
        <v>475</v>
      </c>
      <c r="B188" s="39">
        <v>45670</v>
      </c>
      <c r="C188" s="39">
        <v>45696</v>
      </c>
      <c r="D188" t="s">
        <v>78</v>
      </c>
      <c r="E188" t="s">
        <v>90</v>
      </c>
      <c r="F188" t="s">
        <v>217</v>
      </c>
      <c r="G188" t="s">
        <v>39</v>
      </c>
      <c r="I188" t="s">
        <v>63</v>
      </c>
      <c r="J188" t="s">
        <v>64</v>
      </c>
      <c r="K188" t="s">
        <v>476</v>
      </c>
      <c r="L188">
        <v>594.74</v>
      </c>
      <c r="M188">
        <v>1020.69</v>
      </c>
      <c r="N188">
        <v>0.211</v>
      </c>
      <c r="O188">
        <v>6</v>
      </c>
    </row>
    <row r="189" spans="1:15">
      <c r="A189" t="s">
        <v>360</v>
      </c>
      <c r="B189" s="39">
        <v>44955</v>
      </c>
      <c r="C189" s="39">
        <v>44985</v>
      </c>
      <c r="D189" t="s">
        <v>45</v>
      </c>
      <c r="E189" t="s">
        <v>60</v>
      </c>
      <c r="F189" t="s">
        <v>61</v>
      </c>
      <c r="G189" t="s">
        <v>39</v>
      </c>
      <c r="H189" t="s">
        <v>20</v>
      </c>
      <c r="I189" t="s">
        <v>56</v>
      </c>
      <c r="J189" t="s">
        <v>81</v>
      </c>
      <c r="K189" t="s">
        <v>477</v>
      </c>
      <c r="L189">
        <v>1262.1</v>
      </c>
      <c r="M189">
        <v>1395.53</v>
      </c>
      <c r="N189">
        <v>0.233</v>
      </c>
      <c r="O189">
        <v>25</v>
      </c>
    </row>
    <row r="190" spans="1:15">
      <c r="A190" t="s">
        <v>478</v>
      </c>
      <c r="B190" s="39">
        <v>45126</v>
      </c>
      <c r="C190" s="39">
        <v>45138</v>
      </c>
      <c r="D190" t="s">
        <v>52</v>
      </c>
      <c r="E190" t="s">
        <v>73</v>
      </c>
      <c r="F190" t="s">
        <v>225</v>
      </c>
      <c r="G190" t="s">
        <v>19</v>
      </c>
      <c r="H190" t="s">
        <v>20</v>
      </c>
      <c r="I190" t="s">
        <v>21</v>
      </c>
      <c r="J190" t="s">
        <v>64</v>
      </c>
      <c r="K190" t="s">
        <v>479</v>
      </c>
      <c r="L190">
        <v>1334.64</v>
      </c>
      <c r="M190">
        <v>2273.42</v>
      </c>
      <c r="N190">
        <v>0.118</v>
      </c>
      <c r="O190">
        <v>14</v>
      </c>
    </row>
    <row r="191" spans="1:15">
      <c r="A191" t="s">
        <v>480</v>
      </c>
      <c r="B191" s="39">
        <v>45431</v>
      </c>
      <c r="C191" s="39">
        <v>45451</v>
      </c>
      <c r="D191" t="s">
        <v>52</v>
      </c>
      <c r="E191" t="s">
        <v>73</v>
      </c>
      <c r="F191" t="s">
        <v>87</v>
      </c>
      <c r="G191" t="s">
        <v>62</v>
      </c>
      <c r="H191" t="s">
        <v>20</v>
      </c>
      <c r="I191" t="s">
        <v>63</v>
      </c>
      <c r="J191" t="s">
        <v>64</v>
      </c>
      <c r="K191" t="s">
        <v>481</v>
      </c>
      <c r="L191">
        <v>1075.9</v>
      </c>
      <c r="M191">
        <v>1242.15</v>
      </c>
      <c r="N191">
        <v>0.012</v>
      </c>
      <c r="O191">
        <v>7</v>
      </c>
    </row>
    <row r="192" spans="1:15">
      <c r="A192" t="s">
        <v>482</v>
      </c>
      <c r="B192" s="39">
        <v>45325</v>
      </c>
      <c r="C192" s="39">
        <v>45341</v>
      </c>
      <c r="D192" t="s">
        <v>45</v>
      </c>
      <c r="E192" t="s">
        <v>116</v>
      </c>
      <c r="F192" t="s">
        <v>117</v>
      </c>
      <c r="G192" t="s">
        <v>62</v>
      </c>
      <c r="H192" t="s">
        <v>28</v>
      </c>
      <c r="I192" t="s">
        <v>92</v>
      </c>
      <c r="J192" t="s">
        <v>57</v>
      </c>
      <c r="K192" t="s">
        <v>483</v>
      </c>
      <c r="L192">
        <v>993.75</v>
      </c>
      <c r="M192">
        <v>1310.29</v>
      </c>
      <c r="N192">
        <v>0.215</v>
      </c>
      <c r="O192">
        <v>19</v>
      </c>
    </row>
    <row r="193" spans="1:15">
      <c r="A193" t="s">
        <v>484</v>
      </c>
      <c r="B193" s="39">
        <v>45146</v>
      </c>
      <c r="C193" s="39">
        <v>45160</v>
      </c>
      <c r="D193" t="s">
        <v>78</v>
      </c>
      <c r="E193" t="s">
        <v>108</v>
      </c>
      <c r="F193" t="s">
        <v>109</v>
      </c>
      <c r="G193" t="s">
        <v>39</v>
      </c>
      <c r="H193" t="s">
        <v>98</v>
      </c>
      <c r="I193" t="s">
        <v>126</v>
      </c>
      <c r="J193" t="s">
        <v>64</v>
      </c>
      <c r="K193" t="s">
        <v>485</v>
      </c>
      <c r="L193">
        <v>446.69</v>
      </c>
      <c r="M193">
        <v>967.25</v>
      </c>
      <c r="N193">
        <v>0.094</v>
      </c>
      <c r="O193">
        <v>10</v>
      </c>
    </row>
    <row r="194" spans="1:15">
      <c r="A194" t="s">
        <v>486</v>
      </c>
      <c r="B194" s="39">
        <v>45516</v>
      </c>
      <c r="C194" s="39">
        <v>45538</v>
      </c>
      <c r="D194" t="s">
        <v>52</v>
      </c>
      <c r="E194" t="s">
        <v>122</v>
      </c>
      <c r="F194" t="s">
        <v>326</v>
      </c>
      <c r="G194" t="s">
        <v>48</v>
      </c>
      <c r="H194" t="s">
        <v>55</v>
      </c>
      <c r="I194" t="s">
        <v>34</v>
      </c>
      <c r="J194" t="s">
        <v>57</v>
      </c>
      <c r="K194" t="s">
        <v>487</v>
      </c>
      <c r="L194">
        <v>797.8</v>
      </c>
      <c r="M194">
        <v>886.22</v>
      </c>
      <c r="N194">
        <v>0.236</v>
      </c>
      <c r="O194">
        <v>36</v>
      </c>
    </row>
    <row r="195" spans="1:15">
      <c r="A195" t="s">
        <v>488</v>
      </c>
      <c r="B195" s="39">
        <v>45214</v>
      </c>
      <c r="C195" s="39">
        <v>45243</v>
      </c>
      <c r="D195" t="s">
        <v>45</v>
      </c>
      <c r="E195" t="s">
        <v>116</v>
      </c>
      <c r="F195" t="s">
        <v>117</v>
      </c>
      <c r="G195" t="s">
        <v>39</v>
      </c>
      <c r="H195" t="s">
        <v>55</v>
      </c>
      <c r="I195" t="s">
        <v>29</v>
      </c>
      <c r="J195" t="s">
        <v>30</v>
      </c>
      <c r="K195" t="s">
        <v>489</v>
      </c>
      <c r="L195">
        <v>986.44</v>
      </c>
      <c r="M195">
        <v>790.61</v>
      </c>
      <c r="N195">
        <v>0.072</v>
      </c>
      <c r="O195">
        <v>6</v>
      </c>
    </row>
    <row r="196" spans="1:15">
      <c r="A196" t="s">
        <v>490</v>
      </c>
      <c r="B196" s="39">
        <v>45050</v>
      </c>
      <c r="C196" s="39">
        <v>45072</v>
      </c>
      <c r="D196" t="s">
        <v>52</v>
      </c>
      <c r="E196" t="s">
        <v>122</v>
      </c>
      <c r="F196" t="s">
        <v>167</v>
      </c>
      <c r="G196" t="s">
        <v>105</v>
      </c>
      <c r="H196" t="s">
        <v>28</v>
      </c>
      <c r="I196" t="s">
        <v>29</v>
      </c>
      <c r="J196" t="s">
        <v>35</v>
      </c>
      <c r="K196" t="s">
        <v>491</v>
      </c>
      <c r="L196">
        <v>249.71</v>
      </c>
      <c r="M196">
        <v>361.33</v>
      </c>
      <c r="N196">
        <v>0.094</v>
      </c>
      <c r="O196">
        <v>12</v>
      </c>
    </row>
    <row r="197" spans="1:15">
      <c r="A197" t="s">
        <v>492</v>
      </c>
      <c r="B197" s="39">
        <v>45557</v>
      </c>
      <c r="C197" s="39">
        <v>45566</v>
      </c>
      <c r="D197" t="s">
        <v>52</v>
      </c>
      <c r="E197" t="s">
        <v>73</v>
      </c>
      <c r="F197" t="s">
        <v>74</v>
      </c>
      <c r="G197" t="s">
        <v>39</v>
      </c>
      <c r="H197" t="s">
        <v>28</v>
      </c>
      <c r="I197" t="s">
        <v>95</v>
      </c>
      <c r="J197" t="s">
        <v>64</v>
      </c>
      <c r="K197" t="s">
        <v>493</v>
      </c>
      <c r="L197">
        <v>1378.8</v>
      </c>
      <c r="M197">
        <v>1952.04</v>
      </c>
      <c r="N197">
        <v>0.159</v>
      </c>
      <c r="O197">
        <v>19</v>
      </c>
    </row>
    <row r="198" spans="1:15">
      <c r="A198" t="s">
        <v>494</v>
      </c>
      <c r="B198" s="39">
        <v>45588</v>
      </c>
      <c r="C198" s="39">
        <v>45610</v>
      </c>
      <c r="D198" t="s">
        <v>45</v>
      </c>
      <c r="E198" t="s">
        <v>46</v>
      </c>
      <c r="F198" t="s">
        <v>47</v>
      </c>
      <c r="G198" t="s">
        <v>39</v>
      </c>
      <c r="H198" t="s">
        <v>98</v>
      </c>
      <c r="I198" t="s">
        <v>56</v>
      </c>
      <c r="J198" t="s">
        <v>42</v>
      </c>
      <c r="K198" t="s">
        <v>495</v>
      </c>
      <c r="L198">
        <v>1406.4</v>
      </c>
      <c r="M198">
        <v>1564.76</v>
      </c>
      <c r="N198">
        <v>0.185</v>
      </c>
      <c r="O198">
        <v>17</v>
      </c>
    </row>
    <row r="199" spans="1:15">
      <c r="A199" t="s">
        <v>496</v>
      </c>
      <c r="B199" s="39">
        <v>45333</v>
      </c>
      <c r="C199" s="39">
        <v>45354</v>
      </c>
      <c r="D199" t="s">
        <v>16</v>
      </c>
      <c r="E199" t="s">
        <v>17</v>
      </c>
      <c r="F199" t="s">
        <v>18</v>
      </c>
      <c r="G199" t="s">
        <v>105</v>
      </c>
      <c r="H199" t="s">
        <v>28</v>
      </c>
      <c r="I199" t="s">
        <v>56</v>
      </c>
      <c r="J199" t="s">
        <v>42</v>
      </c>
      <c r="K199" t="s">
        <v>497</v>
      </c>
      <c r="L199">
        <v>516.86</v>
      </c>
      <c r="M199">
        <v>852.54</v>
      </c>
      <c r="N199">
        <v>0.051</v>
      </c>
      <c r="O199">
        <v>14</v>
      </c>
    </row>
    <row r="200" spans="1:15">
      <c r="A200" t="s">
        <v>498</v>
      </c>
      <c r="B200" s="39">
        <v>44956</v>
      </c>
      <c r="C200" s="39">
        <v>44978</v>
      </c>
      <c r="D200" t="s">
        <v>78</v>
      </c>
      <c r="E200" t="s">
        <v>79</v>
      </c>
      <c r="F200" t="s">
        <v>159</v>
      </c>
      <c r="G200" t="s">
        <v>62</v>
      </c>
      <c r="H200" t="s">
        <v>40</v>
      </c>
      <c r="I200" t="s">
        <v>41</v>
      </c>
      <c r="J200" t="s">
        <v>35</v>
      </c>
      <c r="K200" t="s">
        <v>499</v>
      </c>
      <c r="L200">
        <v>1142.88</v>
      </c>
      <c r="M200">
        <v>1465.29</v>
      </c>
      <c r="N200">
        <v>0.186</v>
      </c>
      <c r="O200">
        <v>7</v>
      </c>
    </row>
    <row r="201" spans="1:15">
      <c r="A201" t="s">
        <v>500</v>
      </c>
      <c r="B201" s="39">
        <v>45030</v>
      </c>
      <c r="C201" s="39">
        <v>45059</v>
      </c>
      <c r="D201" t="s">
        <v>78</v>
      </c>
      <c r="E201" t="s">
        <v>79</v>
      </c>
      <c r="F201" t="s">
        <v>335</v>
      </c>
      <c r="G201" t="s">
        <v>48</v>
      </c>
      <c r="H201" t="s">
        <v>98</v>
      </c>
      <c r="I201" t="s">
        <v>29</v>
      </c>
      <c r="J201" t="s">
        <v>30</v>
      </c>
      <c r="K201" t="s">
        <v>501</v>
      </c>
      <c r="L201">
        <v>1320.33</v>
      </c>
      <c r="M201">
        <v>2645.23</v>
      </c>
      <c r="N201">
        <v>0.155</v>
      </c>
      <c r="O201">
        <v>25</v>
      </c>
    </row>
    <row r="202" spans="1:15">
      <c r="A202" t="s">
        <v>502</v>
      </c>
      <c r="B202" s="39">
        <v>44939</v>
      </c>
      <c r="C202" s="39">
        <v>44945</v>
      </c>
      <c r="D202" t="s">
        <v>52</v>
      </c>
      <c r="E202" t="s">
        <v>122</v>
      </c>
      <c r="F202" t="s">
        <v>123</v>
      </c>
      <c r="G202" t="s">
        <v>19</v>
      </c>
      <c r="H202" t="s">
        <v>98</v>
      </c>
      <c r="I202" t="s">
        <v>92</v>
      </c>
      <c r="J202" t="s">
        <v>42</v>
      </c>
      <c r="K202" t="s">
        <v>503</v>
      </c>
      <c r="L202">
        <v>833.57</v>
      </c>
      <c r="M202">
        <v>881.57</v>
      </c>
      <c r="N202">
        <v>0.057</v>
      </c>
      <c r="O202">
        <v>18</v>
      </c>
    </row>
    <row r="203" spans="1:15">
      <c r="A203" t="s">
        <v>504</v>
      </c>
      <c r="B203" s="39">
        <v>45303</v>
      </c>
      <c r="C203" s="39">
        <v>45320</v>
      </c>
      <c r="D203" t="s">
        <v>52</v>
      </c>
      <c r="E203" t="s">
        <v>122</v>
      </c>
      <c r="F203" t="s">
        <v>123</v>
      </c>
      <c r="G203" t="s">
        <v>27</v>
      </c>
      <c r="H203" t="s">
        <v>55</v>
      </c>
      <c r="I203" t="s">
        <v>75</v>
      </c>
      <c r="J203" t="s">
        <v>30</v>
      </c>
      <c r="K203" t="s">
        <v>505</v>
      </c>
      <c r="L203">
        <v>493.76</v>
      </c>
      <c r="M203">
        <v>625.04</v>
      </c>
      <c r="N203">
        <v>0.258</v>
      </c>
      <c r="O203">
        <v>10</v>
      </c>
    </row>
    <row r="204" spans="1:15">
      <c r="A204" t="s">
        <v>506</v>
      </c>
      <c r="B204" s="39">
        <v>45153</v>
      </c>
      <c r="C204" s="39">
        <v>45176</v>
      </c>
      <c r="D204" t="s">
        <v>52</v>
      </c>
      <c r="E204" t="s">
        <v>122</v>
      </c>
      <c r="F204" t="s">
        <v>387</v>
      </c>
      <c r="G204" t="s">
        <v>105</v>
      </c>
      <c r="H204" t="s">
        <v>28</v>
      </c>
      <c r="I204" t="s">
        <v>95</v>
      </c>
      <c r="J204" t="s">
        <v>42</v>
      </c>
      <c r="K204" t="s">
        <v>507</v>
      </c>
      <c r="L204">
        <v>590.33</v>
      </c>
      <c r="M204">
        <v>973.04</v>
      </c>
      <c r="N204">
        <v>0</v>
      </c>
      <c r="O204">
        <v>26</v>
      </c>
    </row>
    <row r="205" spans="1:15">
      <c r="A205" t="s">
        <v>508</v>
      </c>
      <c r="B205" s="39">
        <v>44946</v>
      </c>
      <c r="C205" s="39">
        <v>44960</v>
      </c>
      <c r="D205" t="s">
        <v>16</v>
      </c>
      <c r="E205" t="s">
        <v>17</v>
      </c>
      <c r="F205" t="s">
        <v>18</v>
      </c>
      <c r="G205" t="s">
        <v>19</v>
      </c>
      <c r="H205" t="s">
        <v>20</v>
      </c>
      <c r="I205" t="s">
        <v>110</v>
      </c>
      <c r="J205" t="s">
        <v>35</v>
      </c>
      <c r="K205" t="s">
        <v>509</v>
      </c>
      <c r="L205">
        <v>884.36</v>
      </c>
      <c r="M205">
        <v>1545.34</v>
      </c>
      <c r="N205">
        <v>0.243</v>
      </c>
      <c r="O205">
        <v>41</v>
      </c>
    </row>
    <row r="206" spans="1:15">
      <c r="A206" t="s">
        <v>510</v>
      </c>
      <c r="B206" s="39">
        <v>45692</v>
      </c>
      <c r="C206" s="39">
        <v>45713</v>
      </c>
      <c r="D206" t="s">
        <v>78</v>
      </c>
      <c r="E206" t="s">
        <v>108</v>
      </c>
      <c r="F206" t="s">
        <v>109</v>
      </c>
      <c r="G206" t="s">
        <v>19</v>
      </c>
      <c r="H206" t="s">
        <v>40</v>
      </c>
      <c r="I206" t="s">
        <v>145</v>
      </c>
      <c r="J206" t="s">
        <v>64</v>
      </c>
      <c r="K206" t="s">
        <v>511</v>
      </c>
      <c r="L206">
        <v>1016.32</v>
      </c>
      <c r="M206">
        <v>2253.42</v>
      </c>
      <c r="N206">
        <v>0.055</v>
      </c>
      <c r="O206">
        <v>12</v>
      </c>
    </row>
    <row r="207" spans="1:15">
      <c r="A207" t="s">
        <v>512</v>
      </c>
      <c r="B207" s="39">
        <v>45035</v>
      </c>
      <c r="C207" s="39">
        <v>45044</v>
      </c>
      <c r="D207" t="s">
        <v>78</v>
      </c>
      <c r="E207" t="s">
        <v>79</v>
      </c>
      <c r="F207" t="s">
        <v>80</v>
      </c>
      <c r="G207" t="s">
        <v>27</v>
      </c>
      <c r="H207" t="s">
        <v>28</v>
      </c>
      <c r="I207" t="s">
        <v>63</v>
      </c>
      <c r="J207" t="s">
        <v>64</v>
      </c>
      <c r="K207" t="s">
        <v>513</v>
      </c>
      <c r="L207">
        <v>1178.42</v>
      </c>
      <c r="M207">
        <v>2446.56</v>
      </c>
      <c r="N207">
        <v>0.029</v>
      </c>
      <c r="O207">
        <v>11</v>
      </c>
    </row>
    <row r="208" spans="1:15">
      <c r="A208" t="s">
        <v>514</v>
      </c>
      <c r="B208" s="39">
        <v>45109</v>
      </c>
      <c r="C208" s="39">
        <v>45139</v>
      </c>
      <c r="D208" t="s">
        <v>78</v>
      </c>
      <c r="E208" t="s">
        <v>108</v>
      </c>
      <c r="F208" t="s">
        <v>109</v>
      </c>
      <c r="G208" t="s">
        <v>62</v>
      </c>
      <c r="H208" t="s">
        <v>20</v>
      </c>
      <c r="I208" t="s">
        <v>56</v>
      </c>
      <c r="J208" t="s">
        <v>22</v>
      </c>
      <c r="K208" t="s">
        <v>515</v>
      </c>
      <c r="L208">
        <v>137.46</v>
      </c>
      <c r="M208">
        <v>188.3</v>
      </c>
      <c r="N208">
        <v>0.038</v>
      </c>
      <c r="O208">
        <v>37</v>
      </c>
    </row>
    <row r="209" spans="1:15">
      <c r="A209" t="s">
        <v>516</v>
      </c>
      <c r="B209" s="39">
        <v>45678</v>
      </c>
      <c r="C209" s="39">
        <v>45702</v>
      </c>
      <c r="D209" t="s">
        <v>16</v>
      </c>
      <c r="E209" t="s">
        <v>17</v>
      </c>
      <c r="F209" t="s">
        <v>33</v>
      </c>
      <c r="G209" t="s">
        <v>62</v>
      </c>
      <c r="H209" t="s">
        <v>20</v>
      </c>
      <c r="I209" t="s">
        <v>29</v>
      </c>
      <c r="J209" t="s">
        <v>81</v>
      </c>
      <c r="K209" t="s">
        <v>517</v>
      </c>
      <c r="L209">
        <v>1030.44</v>
      </c>
      <c r="M209">
        <v>2562.84</v>
      </c>
      <c r="N209">
        <v>0.148</v>
      </c>
      <c r="O209">
        <v>13</v>
      </c>
    </row>
    <row r="210" spans="1:15">
      <c r="A210" t="s">
        <v>518</v>
      </c>
      <c r="B210" s="39">
        <v>45545</v>
      </c>
      <c r="C210" s="39">
        <v>45572</v>
      </c>
      <c r="D210" t="s">
        <v>16</v>
      </c>
      <c r="E210" t="s">
        <v>17</v>
      </c>
      <c r="F210" t="s">
        <v>18</v>
      </c>
      <c r="G210" t="s">
        <v>48</v>
      </c>
      <c r="H210" t="s">
        <v>20</v>
      </c>
      <c r="I210" t="s">
        <v>49</v>
      </c>
      <c r="J210" t="s">
        <v>30</v>
      </c>
      <c r="K210" t="s">
        <v>519</v>
      </c>
      <c r="L210">
        <v>1248.39</v>
      </c>
      <c r="M210">
        <v>1805.11</v>
      </c>
      <c r="N210">
        <v>0.203</v>
      </c>
      <c r="O210">
        <v>11</v>
      </c>
    </row>
    <row r="211" spans="1:15">
      <c r="A211" t="s">
        <v>520</v>
      </c>
      <c r="B211" s="39">
        <v>45859</v>
      </c>
      <c r="C211" s="39">
        <v>45876</v>
      </c>
      <c r="D211" t="s">
        <v>16</v>
      </c>
      <c r="E211" t="s">
        <v>25</v>
      </c>
      <c r="F211" t="s">
        <v>38</v>
      </c>
      <c r="G211" t="s">
        <v>105</v>
      </c>
      <c r="H211" t="s">
        <v>98</v>
      </c>
      <c r="I211" t="s">
        <v>110</v>
      </c>
      <c r="J211" t="s">
        <v>81</v>
      </c>
      <c r="K211" t="s">
        <v>521</v>
      </c>
      <c r="L211">
        <v>1204.95</v>
      </c>
      <c r="M211">
        <v>2065.73</v>
      </c>
      <c r="N211">
        <v>0.136</v>
      </c>
      <c r="O211">
        <v>10</v>
      </c>
    </row>
    <row r="212" spans="1:15">
      <c r="A212" t="s">
        <v>522</v>
      </c>
      <c r="B212" s="39">
        <v>45567</v>
      </c>
      <c r="C212" s="39">
        <v>45588</v>
      </c>
      <c r="D212" t="s">
        <v>16</v>
      </c>
      <c r="E212" t="s">
        <v>148</v>
      </c>
      <c r="F212" t="s">
        <v>172</v>
      </c>
      <c r="G212" t="s">
        <v>19</v>
      </c>
      <c r="H212" t="s">
        <v>40</v>
      </c>
      <c r="I212" t="s">
        <v>75</v>
      </c>
      <c r="J212" t="s">
        <v>22</v>
      </c>
      <c r="K212" t="s">
        <v>523</v>
      </c>
      <c r="L212">
        <v>1095.61</v>
      </c>
      <c r="M212">
        <v>2366.51</v>
      </c>
      <c r="N212">
        <v>0.152</v>
      </c>
      <c r="O212">
        <v>9</v>
      </c>
    </row>
    <row r="213" spans="1:15">
      <c r="A213" t="s">
        <v>524</v>
      </c>
      <c r="B213" s="39">
        <v>45852</v>
      </c>
      <c r="C213" s="39">
        <v>45873</v>
      </c>
      <c r="D213" t="s">
        <v>52</v>
      </c>
      <c r="E213" t="s">
        <v>53</v>
      </c>
      <c r="F213" t="s">
        <v>144</v>
      </c>
      <c r="G213" t="s">
        <v>48</v>
      </c>
      <c r="H213" t="s">
        <v>28</v>
      </c>
      <c r="I213" t="s">
        <v>92</v>
      </c>
      <c r="J213" t="s">
        <v>64</v>
      </c>
      <c r="K213" t="s">
        <v>525</v>
      </c>
      <c r="L213">
        <v>90.3</v>
      </c>
      <c r="M213">
        <v>131.76</v>
      </c>
      <c r="N213">
        <v>0.102</v>
      </c>
      <c r="O213">
        <v>15</v>
      </c>
    </row>
    <row r="214" spans="1:15">
      <c r="A214" t="s">
        <v>526</v>
      </c>
      <c r="B214" s="39">
        <v>45544</v>
      </c>
      <c r="C214" s="39">
        <v>45566</v>
      </c>
      <c r="D214" t="s">
        <v>45</v>
      </c>
      <c r="E214" t="s">
        <v>116</v>
      </c>
      <c r="F214" t="s">
        <v>117</v>
      </c>
      <c r="G214" t="s">
        <v>48</v>
      </c>
      <c r="H214" t="s">
        <v>98</v>
      </c>
      <c r="I214" t="s">
        <v>49</v>
      </c>
      <c r="J214" t="s">
        <v>30</v>
      </c>
      <c r="K214" t="s">
        <v>527</v>
      </c>
      <c r="L214">
        <v>1166.18</v>
      </c>
      <c r="M214">
        <v>1335.02</v>
      </c>
      <c r="N214">
        <v>0.128</v>
      </c>
      <c r="O214">
        <v>6</v>
      </c>
    </row>
    <row r="215" spans="1:15">
      <c r="A215" t="s">
        <v>528</v>
      </c>
      <c r="B215" s="39">
        <v>45686</v>
      </c>
      <c r="C215" s="39">
        <v>45694</v>
      </c>
      <c r="D215" t="s">
        <v>16</v>
      </c>
      <c r="E215" t="s">
        <v>17</v>
      </c>
      <c r="F215" t="s">
        <v>18</v>
      </c>
      <c r="G215" t="s">
        <v>27</v>
      </c>
      <c r="H215" t="s">
        <v>20</v>
      </c>
      <c r="I215" t="s">
        <v>56</v>
      </c>
      <c r="J215" t="s">
        <v>42</v>
      </c>
      <c r="K215" t="s">
        <v>529</v>
      </c>
      <c r="L215">
        <v>1445.27</v>
      </c>
      <c r="M215">
        <v>2691.45</v>
      </c>
      <c r="N215">
        <v>0</v>
      </c>
      <c r="O215">
        <v>9</v>
      </c>
    </row>
    <row r="216" spans="1:15">
      <c r="A216" t="s">
        <v>530</v>
      </c>
      <c r="B216" s="39">
        <v>45240</v>
      </c>
      <c r="C216" s="39">
        <v>45258</v>
      </c>
      <c r="D216" t="s">
        <v>52</v>
      </c>
      <c r="E216" t="s">
        <v>73</v>
      </c>
      <c r="F216" t="s">
        <v>87</v>
      </c>
      <c r="G216" t="s">
        <v>27</v>
      </c>
      <c r="H216" t="s">
        <v>40</v>
      </c>
      <c r="I216" t="s">
        <v>49</v>
      </c>
      <c r="J216" t="s">
        <v>81</v>
      </c>
      <c r="K216" t="s">
        <v>531</v>
      </c>
      <c r="L216">
        <v>388.51</v>
      </c>
      <c r="M216">
        <v>776.46</v>
      </c>
      <c r="N216">
        <v>0.157</v>
      </c>
      <c r="O216">
        <v>12</v>
      </c>
    </row>
    <row r="217" spans="1:15">
      <c r="A217" t="s">
        <v>532</v>
      </c>
      <c r="B217" s="39">
        <v>45351</v>
      </c>
      <c r="C217" s="39">
        <v>45381</v>
      </c>
      <c r="D217" t="s">
        <v>45</v>
      </c>
      <c r="E217" t="s">
        <v>46</v>
      </c>
      <c r="F217" t="s">
        <v>231</v>
      </c>
      <c r="G217" t="s">
        <v>62</v>
      </c>
      <c r="H217" t="s">
        <v>98</v>
      </c>
      <c r="I217" t="s">
        <v>34</v>
      </c>
      <c r="J217" t="s">
        <v>35</v>
      </c>
      <c r="K217" t="s">
        <v>533</v>
      </c>
      <c r="L217">
        <v>231.11</v>
      </c>
      <c r="M217">
        <v>318.17</v>
      </c>
      <c r="N217">
        <v>0.201</v>
      </c>
      <c r="O217">
        <v>60</v>
      </c>
    </row>
    <row r="218" spans="1:15">
      <c r="A218" t="s">
        <v>534</v>
      </c>
      <c r="B218" s="39">
        <v>45280</v>
      </c>
      <c r="C218" s="39">
        <v>45305</v>
      </c>
      <c r="D218" t="s">
        <v>45</v>
      </c>
      <c r="E218" t="s">
        <v>60</v>
      </c>
      <c r="F218" t="s">
        <v>220</v>
      </c>
      <c r="G218" t="s">
        <v>39</v>
      </c>
      <c r="H218" t="s">
        <v>40</v>
      </c>
      <c r="I218" t="s">
        <v>49</v>
      </c>
      <c r="J218" t="s">
        <v>64</v>
      </c>
      <c r="K218" t="s">
        <v>535</v>
      </c>
      <c r="L218">
        <v>1085.61</v>
      </c>
      <c r="M218">
        <v>1246.41</v>
      </c>
      <c r="N218">
        <v>0.113</v>
      </c>
      <c r="O218">
        <v>7</v>
      </c>
    </row>
    <row r="219" spans="1:15">
      <c r="A219" t="s">
        <v>536</v>
      </c>
      <c r="B219" s="39">
        <v>44948</v>
      </c>
      <c r="C219" s="39">
        <v>44947</v>
      </c>
      <c r="D219" t="s">
        <v>78</v>
      </c>
      <c r="E219" t="s">
        <v>79</v>
      </c>
      <c r="F219" t="s">
        <v>159</v>
      </c>
      <c r="G219" t="s">
        <v>19</v>
      </c>
      <c r="H219" t="s">
        <v>98</v>
      </c>
      <c r="I219" t="s">
        <v>84</v>
      </c>
      <c r="J219" t="s">
        <v>64</v>
      </c>
      <c r="K219" t="s">
        <v>537</v>
      </c>
      <c r="L219">
        <v>150.86</v>
      </c>
      <c r="M219">
        <v>346.96</v>
      </c>
      <c r="N219">
        <v>0.196</v>
      </c>
      <c r="O219">
        <v>8</v>
      </c>
    </row>
    <row r="220" spans="1:15">
      <c r="A220" t="s">
        <v>538</v>
      </c>
      <c r="B220" s="39">
        <v>45576</v>
      </c>
      <c r="C220" s="39">
        <v>45605</v>
      </c>
      <c r="D220" t="s">
        <v>45</v>
      </c>
      <c r="E220" t="s">
        <v>116</v>
      </c>
      <c r="F220" t="s">
        <v>162</v>
      </c>
      <c r="G220" t="s">
        <v>39</v>
      </c>
      <c r="H220" t="s">
        <v>28</v>
      </c>
      <c r="I220" t="s">
        <v>84</v>
      </c>
      <c r="J220" t="s">
        <v>30</v>
      </c>
      <c r="K220" t="s">
        <v>539</v>
      </c>
      <c r="L220">
        <v>391.64</v>
      </c>
      <c r="M220">
        <v>504.76</v>
      </c>
      <c r="N220">
        <v>0.004</v>
      </c>
      <c r="O220">
        <v>13</v>
      </c>
    </row>
    <row r="221" spans="1:15">
      <c r="A221" t="s">
        <v>540</v>
      </c>
      <c r="B221" s="39">
        <v>45554</v>
      </c>
      <c r="C221" s="39">
        <v>45579</v>
      </c>
      <c r="D221" t="s">
        <v>52</v>
      </c>
      <c r="E221" t="s">
        <v>73</v>
      </c>
      <c r="F221" t="s">
        <v>225</v>
      </c>
      <c r="G221" t="s">
        <v>62</v>
      </c>
      <c r="H221" t="s">
        <v>20</v>
      </c>
      <c r="I221" t="s">
        <v>95</v>
      </c>
      <c r="J221" t="s">
        <v>30</v>
      </c>
      <c r="K221" t="s">
        <v>541</v>
      </c>
      <c r="L221">
        <v>386.96</v>
      </c>
      <c r="M221">
        <v>937.46</v>
      </c>
      <c r="N221">
        <v>0.266</v>
      </c>
      <c r="O221">
        <v>41</v>
      </c>
    </row>
    <row r="222" spans="1:15">
      <c r="A222" t="s">
        <v>542</v>
      </c>
      <c r="B222" s="39">
        <v>45894</v>
      </c>
      <c r="C222" s="39">
        <v>45924</v>
      </c>
      <c r="D222" t="s">
        <v>16</v>
      </c>
      <c r="E222" t="s">
        <v>17</v>
      </c>
      <c r="F222" t="s">
        <v>33</v>
      </c>
      <c r="G222" t="s">
        <v>48</v>
      </c>
      <c r="H222" t="s">
        <v>98</v>
      </c>
      <c r="I222" t="s">
        <v>56</v>
      </c>
      <c r="J222" t="s">
        <v>22</v>
      </c>
      <c r="K222" t="s">
        <v>543</v>
      </c>
      <c r="L222">
        <v>589.14</v>
      </c>
      <c r="M222">
        <v>1300.58</v>
      </c>
      <c r="N222">
        <v>0.055</v>
      </c>
      <c r="O222">
        <v>11</v>
      </c>
    </row>
    <row r="223" spans="1:15">
      <c r="A223" t="s">
        <v>544</v>
      </c>
      <c r="B223" s="39">
        <v>45194</v>
      </c>
      <c r="C223" s="39">
        <v>45201</v>
      </c>
      <c r="D223" t="s">
        <v>52</v>
      </c>
      <c r="E223" t="s">
        <v>122</v>
      </c>
      <c r="F223" t="s">
        <v>387</v>
      </c>
      <c r="G223" t="s">
        <v>27</v>
      </c>
      <c r="H223" t="s">
        <v>40</v>
      </c>
      <c r="I223" t="s">
        <v>34</v>
      </c>
      <c r="J223" t="s">
        <v>81</v>
      </c>
      <c r="K223" t="s">
        <v>545</v>
      </c>
      <c r="L223">
        <v>145.58</v>
      </c>
      <c r="M223">
        <v>228.15</v>
      </c>
      <c r="N223">
        <v>0.204</v>
      </c>
      <c r="O223">
        <v>5</v>
      </c>
    </row>
    <row r="224" spans="1:15">
      <c r="A224" t="s">
        <v>546</v>
      </c>
      <c r="B224" s="39">
        <v>45164</v>
      </c>
      <c r="C224" s="39">
        <v>45179</v>
      </c>
      <c r="D224" t="s">
        <v>16</v>
      </c>
      <c r="E224" t="s">
        <v>148</v>
      </c>
      <c r="F224" t="s">
        <v>258</v>
      </c>
      <c r="G224" t="s">
        <v>39</v>
      </c>
      <c r="H224" t="s">
        <v>98</v>
      </c>
      <c r="I224" t="s">
        <v>126</v>
      </c>
      <c r="J224" t="s">
        <v>22</v>
      </c>
      <c r="K224" t="s">
        <v>547</v>
      </c>
      <c r="L224">
        <v>241.14</v>
      </c>
      <c r="M224">
        <v>496.52</v>
      </c>
      <c r="N224">
        <v>0.093</v>
      </c>
      <c r="O224">
        <v>10</v>
      </c>
    </row>
    <row r="225" spans="1:15">
      <c r="A225" t="s">
        <v>548</v>
      </c>
      <c r="B225" s="39">
        <v>45854</v>
      </c>
      <c r="C225" s="39">
        <v>45855</v>
      </c>
      <c r="D225" t="s">
        <v>16</v>
      </c>
      <c r="E225" t="s">
        <v>148</v>
      </c>
      <c r="F225" t="s">
        <v>172</v>
      </c>
      <c r="G225" t="s">
        <v>62</v>
      </c>
      <c r="H225" t="s">
        <v>55</v>
      </c>
      <c r="I225" t="s">
        <v>56</v>
      </c>
      <c r="J225" t="s">
        <v>35</v>
      </c>
      <c r="K225" t="s">
        <v>549</v>
      </c>
      <c r="L225">
        <v>1198.9</v>
      </c>
      <c r="M225">
        <v>2941.2</v>
      </c>
      <c r="N225">
        <v>0.051</v>
      </c>
      <c r="O225">
        <v>24</v>
      </c>
    </row>
    <row r="226" spans="1:15">
      <c r="A226" t="s">
        <v>550</v>
      </c>
      <c r="B226" s="39">
        <v>45035</v>
      </c>
      <c r="C226" s="39">
        <v>45053</v>
      </c>
      <c r="D226" t="s">
        <v>78</v>
      </c>
      <c r="E226" t="s">
        <v>108</v>
      </c>
      <c r="F226" t="s">
        <v>109</v>
      </c>
      <c r="G226" t="s">
        <v>105</v>
      </c>
      <c r="H226" t="s">
        <v>20</v>
      </c>
      <c r="I226" t="s">
        <v>126</v>
      </c>
      <c r="J226" t="s">
        <v>57</v>
      </c>
      <c r="K226" t="s">
        <v>551</v>
      </c>
      <c r="L226">
        <v>1089.15</v>
      </c>
      <c r="M226">
        <v>1088.2</v>
      </c>
      <c r="N226">
        <v>0.051</v>
      </c>
      <c r="O226">
        <v>15</v>
      </c>
    </row>
    <row r="227" spans="1:15">
      <c r="A227" t="s">
        <v>552</v>
      </c>
      <c r="B227" s="39">
        <v>45279</v>
      </c>
      <c r="C227" s="39">
        <v>45280</v>
      </c>
      <c r="D227" t="s">
        <v>52</v>
      </c>
      <c r="E227" t="s">
        <v>73</v>
      </c>
      <c r="F227" t="s">
        <v>225</v>
      </c>
      <c r="G227" t="s">
        <v>48</v>
      </c>
      <c r="H227" t="s">
        <v>55</v>
      </c>
      <c r="I227" t="s">
        <v>29</v>
      </c>
      <c r="J227" t="s">
        <v>42</v>
      </c>
      <c r="K227" t="s">
        <v>553</v>
      </c>
      <c r="L227">
        <v>1080.43</v>
      </c>
      <c r="M227">
        <v>2529.15</v>
      </c>
      <c r="N227">
        <v>0.147</v>
      </c>
      <c r="O227">
        <v>10</v>
      </c>
    </row>
    <row r="228" spans="1:15">
      <c r="A228" t="s">
        <v>554</v>
      </c>
      <c r="B228" s="39">
        <v>45137</v>
      </c>
      <c r="C228" s="39">
        <v>45145</v>
      </c>
      <c r="D228" t="s">
        <v>45</v>
      </c>
      <c r="E228" t="s">
        <v>46</v>
      </c>
      <c r="F228" t="s">
        <v>231</v>
      </c>
      <c r="G228" t="s">
        <v>27</v>
      </c>
      <c r="H228" t="s">
        <v>40</v>
      </c>
      <c r="I228" t="s">
        <v>75</v>
      </c>
      <c r="J228" t="s">
        <v>35</v>
      </c>
      <c r="K228" t="s">
        <v>555</v>
      </c>
      <c r="L228">
        <v>1352.44</v>
      </c>
      <c r="M228">
        <v>2698.01</v>
      </c>
      <c r="N228">
        <v>0.131</v>
      </c>
      <c r="O228">
        <v>13</v>
      </c>
    </row>
    <row r="229" spans="1:15">
      <c r="A229" t="s">
        <v>556</v>
      </c>
      <c r="B229" s="39">
        <v>45203</v>
      </c>
      <c r="C229" s="39">
        <v>45228</v>
      </c>
      <c r="D229" t="s">
        <v>52</v>
      </c>
      <c r="E229" t="s">
        <v>122</v>
      </c>
      <c r="F229" t="s">
        <v>167</v>
      </c>
      <c r="G229" t="s">
        <v>62</v>
      </c>
      <c r="H229" t="s">
        <v>55</v>
      </c>
      <c r="I229" t="s">
        <v>68</v>
      </c>
      <c r="J229" t="s">
        <v>81</v>
      </c>
      <c r="K229" t="s">
        <v>557</v>
      </c>
      <c r="L229">
        <v>1239.84</v>
      </c>
      <c r="M229">
        <v>1482.75</v>
      </c>
      <c r="N229">
        <v>0.067</v>
      </c>
      <c r="O229">
        <v>4</v>
      </c>
    </row>
    <row r="230" spans="1:15">
      <c r="A230" t="s">
        <v>558</v>
      </c>
      <c r="B230" s="39">
        <v>45879</v>
      </c>
      <c r="C230" s="39">
        <v>45899</v>
      </c>
      <c r="D230" t="s">
        <v>52</v>
      </c>
      <c r="E230" t="s">
        <v>122</v>
      </c>
      <c r="F230" t="s">
        <v>167</v>
      </c>
      <c r="G230" t="s">
        <v>19</v>
      </c>
      <c r="H230" t="s">
        <v>40</v>
      </c>
      <c r="I230" t="s">
        <v>95</v>
      </c>
      <c r="J230" t="s">
        <v>30</v>
      </c>
      <c r="K230" t="s">
        <v>559</v>
      </c>
      <c r="L230">
        <v>933.29</v>
      </c>
      <c r="M230">
        <v>1456.81</v>
      </c>
      <c r="N230">
        <v>0.123</v>
      </c>
      <c r="O230">
        <v>13</v>
      </c>
    </row>
    <row r="231" spans="1:15">
      <c r="A231" t="s">
        <v>560</v>
      </c>
      <c r="B231" s="39">
        <v>44992</v>
      </c>
      <c r="C231" s="39">
        <v>45017</v>
      </c>
      <c r="D231" t="s">
        <v>16</v>
      </c>
      <c r="E231" t="s">
        <v>17</v>
      </c>
      <c r="F231" t="s">
        <v>33</v>
      </c>
      <c r="G231" t="s">
        <v>48</v>
      </c>
      <c r="H231" t="s">
        <v>40</v>
      </c>
      <c r="I231" t="s">
        <v>145</v>
      </c>
      <c r="J231" t="s">
        <v>30</v>
      </c>
      <c r="K231" t="s">
        <v>561</v>
      </c>
      <c r="L231">
        <v>1024.1</v>
      </c>
      <c r="M231">
        <v>918.19</v>
      </c>
      <c r="N231">
        <v>0.189</v>
      </c>
      <c r="O231">
        <v>10</v>
      </c>
    </row>
    <row r="232" spans="1:15">
      <c r="A232" t="s">
        <v>562</v>
      </c>
      <c r="B232" s="39">
        <v>45069</v>
      </c>
      <c r="C232" s="39">
        <v>45087</v>
      </c>
      <c r="D232" t="s">
        <v>45</v>
      </c>
      <c r="E232" t="s">
        <v>116</v>
      </c>
      <c r="F232" t="s">
        <v>162</v>
      </c>
      <c r="G232" t="s">
        <v>19</v>
      </c>
      <c r="H232" t="s">
        <v>55</v>
      </c>
      <c r="I232" t="s">
        <v>63</v>
      </c>
      <c r="J232" t="s">
        <v>22</v>
      </c>
      <c r="K232" t="s">
        <v>563</v>
      </c>
      <c r="L232">
        <v>54.62</v>
      </c>
      <c r="M232">
        <v>48.94</v>
      </c>
      <c r="N232">
        <v>0.148</v>
      </c>
      <c r="O232">
        <v>16</v>
      </c>
    </row>
    <row r="233" spans="1:15">
      <c r="A233" t="s">
        <v>564</v>
      </c>
      <c r="B233" s="39">
        <v>45771</v>
      </c>
      <c r="C233" s="39">
        <v>45783</v>
      </c>
      <c r="D233" t="s">
        <v>52</v>
      </c>
      <c r="E233" t="s">
        <v>73</v>
      </c>
      <c r="F233" t="s">
        <v>87</v>
      </c>
      <c r="G233" t="s">
        <v>48</v>
      </c>
      <c r="H233" t="s">
        <v>28</v>
      </c>
      <c r="I233" t="s">
        <v>21</v>
      </c>
      <c r="J233" t="s">
        <v>42</v>
      </c>
      <c r="K233" t="s">
        <v>565</v>
      </c>
      <c r="L233">
        <v>394.13</v>
      </c>
      <c r="M233">
        <v>932.29</v>
      </c>
      <c r="N233">
        <v>0.109</v>
      </c>
      <c r="O233">
        <v>7</v>
      </c>
    </row>
    <row r="234" spans="1:15">
      <c r="A234" t="s">
        <v>566</v>
      </c>
      <c r="B234" s="39">
        <v>45538</v>
      </c>
      <c r="C234" s="39">
        <v>45543</v>
      </c>
      <c r="D234" t="s">
        <v>16</v>
      </c>
      <c r="E234" t="s">
        <v>25</v>
      </c>
      <c r="F234" t="s">
        <v>38</v>
      </c>
      <c r="G234" t="s">
        <v>62</v>
      </c>
      <c r="H234" t="s">
        <v>98</v>
      </c>
      <c r="I234" t="s">
        <v>95</v>
      </c>
      <c r="J234" t="s">
        <v>30</v>
      </c>
      <c r="K234" t="s">
        <v>567</v>
      </c>
      <c r="L234">
        <v>197.63</v>
      </c>
      <c r="M234">
        <v>325.79</v>
      </c>
      <c r="N234">
        <v>0.116</v>
      </c>
      <c r="O234">
        <v>10</v>
      </c>
    </row>
    <row r="235" spans="1:15">
      <c r="A235" t="s">
        <v>568</v>
      </c>
      <c r="B235" s="39">
        <v>45540</v>
      </c>
      <c r="C235" s="39">
        <v>45560</v>
      </c>
      <c r="D235" t="s">
        <v>45</v>
      </c>
      <c r="E235" t="s">
        <v>46</v>
      </c>
      <c r="F235" t="s">
        <v>47</v>
      </c>
      <c r="G235" t="s">
        <v>105</v>
      </c>
      <c r="H235" t="s">
        <v>55</v>
      </c>
      <c r="I235" t="s">
        <v>145</v>
      </c>
      <c r="J235" t="s">
        <v>64</v>
      </c>
      <c r="K235" t="s">
        <v>569</v>
      </c>
      <c r="L235">
        <v>195.54</v>
      </c>
      <c r="M235">
        <v>405.97</v>
      </c>
      <c r="N235">
        <v>0.187</v>
      </c>
      <c r="O235">
        <v>16</v>
      </c>
    </row>
    <row r="236" spans="1:15">
      <c r="A236" t="s">
        <v>570</v>
      </c>
      <c r="B236" s="39">
        <v>44999</v>
      </c>
      <c r="C236" s="39">
        <v>45015</v>
      </c>
      <c r="D236" t="s">
        <v>16</v>
      </c>
      <c r="E236" t="s">
        <v>148</v>
      </c>
      <c r="F236" t="s">
        <v>258</v>
      </c>
      <c r="G236" t="s">
        <v>48</v>
      </c>
      <c r="H236" t="s">
        <v>55</v>
      </c>
      <c r="I236" t="s">
        <v>95</v>
      </c>
      <c r="J236" t="s">
        <v>22</v>
      </c>
      <c r="K236" t="s">
        <v>571</v>
      </c>
      <c r="L236">
        <v>1309.77</v>
      </c>
      <c r="M236">
        <v>1589.07</v>
      </c>
      <c r="N236">
        <v>0.102</v>
      </c>
      <c r="O236">
        <v>10</v>
      </c>
    </row>
    <row r="237" spans="1:15">
      <c r="A237" t="s">
        <v>572</v>
      </c>
      <c r="B237" s="39">
        <v>45302</v>
      </c>
      <c r="C237" s="39">
        <v>45324</v>
      </c>
      <c r="D237" t="s">
        <v>45</v>
      </c>
      <c r="E237" t="s">
        <v>46</v>
      </c>
      <c r="F237" t="s">
        <v>231</v>
      </c>
      <c r="G237" t="s">
        <v>62</v>
      </c>
      <c r="H237" t="s">
        <v>28</v>
      </c>
      <c r="J237" t="s">
        <v>30</v>
      </c>
      <c r="K237" t="s">
        <v>573</v>
      </c>
      <c r="L237">
        <v>1237.68</v>
      </c>
      <c r="M237">
        <v>1432.8</v>
      </c>
      <c r="N237">
        <v>0.068</v>
      </c>
      <c r="O237">
        <v>13</v>
      </c>
    </row>
    <row r="238" spans="1:15">
      <c r="A238" t="s">
        <v>574</v>
      </c>
      <c r="B238" s="39">
        <v>45548</v>
      </c>
      <c r="C238" s="39">
        <v>45567</v>
      </c>
      <c r="D238" t="s">
        <v>16</v>
      </c>
      <c r="E238" t="s">
        <v>17</v>
      </c>
      <c r="F238" t="s">
        <v>113</v>
      </c>
      <c r="G238" t="s">
        <v>62</v>
      </c>
      <c r="H238" t="s">
        <v>20</v>
      </c>
      <c r="I238" t="s">
        <v>110</v>
      </c>
      <c r="J238" t="s">
        <v>42</v>
      </c>
      <c r="K238" t="s">
        <v>575</v>
      </c>
      <c r="L238">
        <v>1338.99</v>
      </c>
      <c r="M238">
        <v>1765.76</v>
      </c>
      <c r="N238">
        <v>0.126</v>
      </c>
      <c r="O238">
        <v>24</v>
      </c>
    </row>
    <row r="239" spans="1:15">
      <c r="A239" t="s">
        <v>576</v>
      </c>
      <c r="B239" s="39">
        <v>45855</v>
      </c>
      <c r="C239" s="39">
        <v>45861</v>
      </c>
      <c r="D239" t="s">
        <v>52</v>
      </c>
      <c r="E239" t="s">
        <v>53</v>
      </c>
      <c r="F239" t="s">
        <v>179</v>
      </c>
      <c r="G239" t="s">
        <v>48</v>
      </c>
      <c r="H239" t="s">
        <v>28</v>
      </c>
      <c r="I239" t="s">
        <v>92</v>
      </c>
      <c r="J239" t="s">
        <v>22</v>
      </c>
      <c r="K239" t="s">
        <v>577</v>
      </c>
      <c r="L239">
        <v>1364.89</v>
      </c>
      <c r="M239">
        <v>2757.54</v>
      </c>
      <c r="N239">
        <v>0.172</v>
      </c>
      <c r="O239">
        <v>61</v>
      </c>
    </row>
    <row r="240" spans="1:15">
      <c r="A240" t="s">
        <v>578</v>
      </c>
      <c r="B240" s="39">
        <v>45258</v>
      </c>
      <c r="C240" s="39">
        <v>45267</v>
      </c>
      <c r="D240" t="s">
        <v>45</v>
      </c>
      <c r="E240" t="s">
        <v>60</v>
      </c>
      <c r="F240" t="s">
        <v>141</v>
      </c>
      <c r="G240" t="s">
        <v>105</v>
      </c>
      <c r="H240" t="s">
        <v>40</v>
      </c>
      <c r="I240" t="s">
        <v>49</v>
      </c>
      <c r="J240" t="s">
        <v>42</v>
      </c>
      <c r="K240" t="s">
        <v>579</v>
      </c>
      <c r="L240">
        <v>699.33</v>
      </c>
      <c r="M240">
        <v>873.75</v>
      </c>
      <c r="N240">
        <v>0.235</v>
      </c>
      <c r="O240">
        <v>10</v>
      </c>
    </row>
    <row r="241" spans="1:15">
      <c r="A241" t="s">
        <v>580</v>
      </c>
      <c r="B241" s="39">
        <v>45381</v>
      </c>
      <c r="C241" s="39">
        <v>45406</v>
      </c>
      <c r="D241" t="s">
        <v>52</v>
      </c>
      <c r="E241" t="s">
        <v>122</v>
      </c>
      <c r="F241" t="s">
        <v>326</v>
      </c>
      <c r="G241" t="s">
        <v>39</v>
      </c>
      <c r="H241" t="s">
        <v>28</v>
      </c>
      <c r="I241" t="s">
        <v>41</v>
      </c>
      <c r="J241" t="s">
        <v>57</v>
      </c>
      <c r="K241" t="s">
        <v>581</v>
      </c>
      <c r="L241">
        <v>160.82</v>
      </c>
      <c r="M241">
        <v>258.52</v>
      </c>
      <c r="N241">
        <v>0.13</v>
      </c>
      <c r="O241">
        <v>17</v>
      </c>
    </row>
    <row r="242" spans="1:15">
      <c r="A242" t="s">
        <v>582</v>
      </c>
      <c r="B242" s="39">
        <v>45188</v>
      </c>
      <c r="C242" s="39">
        <v>45207</v>
      </c>
      <c r="D242" t="s">
        <v>45</v>
      </c>
      <c r="E242" t="s">
        <v>60</v>
      </c>
      <c r="F242" t="s">
        <v>61</v>
      </c>
      <c r="G242" t="s">
        <v>27</v>
      </c>
      <c r="H242" t="s">
        <v>98</v>
      </c>
      <c r="I242" t="s">
        <v>29</v>
      </c>
      <c r="J242" t="s">
        <v>30</v>
      </c>
      <c r="K242" t="s">
        <v>583</v>
      </c>
      <c r="L242">
        <v>385.32</v>
      </c>
      <c r="M242">
        <v>606.76</v>
      </c>
      <c r="N242">
        <v>0.086</v>
      </c>
      <c r="O242">
        <v>8</v>
      </c>
    </row>
    <row r="243" spans="1:15">
      <c r="A243" t="s">
        <v>584</v>
      </c>
      <c r="B243" s="39">
        <v>45793</v>
      </c>
      <c r="C243" s="39">
        <v>45804</v>
      </c>
      <c r="D243" t="s">
        <v>45</v>
      </c>
      <c r="E243" t="s">
        <v>116</v>
      </c>
      <c r="F243" t="s">
        <v>338</v>
      </c>
      <c r="G243" t="s">
        <v>105</v>
      </c>
      <c r="H243" t="s">
        <v>28</v>
      </c>
      <c r="I243" t="s">
        <v>84</v>
      </c>
      <c r="J243" t="s">
        <v>42</v>
      </c>
      <c r="K243" t="s">
        <v>585</v>
      </c>
      <c r="L243">
        <v>918.12</v>
      </c>
      <c r="M243">
        <v>1337.69</v>
      </c>
      <c r="N243">
        <v>0.095</v>
      </c>
      <c r="O243">
        <v>8</v>
      </c>
    </row>
    <row r="244" spans="1:15">
      <c r="A244" t="s">
        <v>586</v>
      </c>
      <c r="B244" s="39">
        <v>45871</v>
      </c>
      <c r="C244" s="39">
        <v>45877</v>
      </c>
      <c r="D244" t="s">
        <v>45</v>
      </c>
      <c r="E244" t="s">
        <v>46</v>
      </c>
      <c r="F244" t="s">
        <v>47</v>
      </c>
      <c r="G244" t="s">
        <v>48</v>
      </c>
      <c r="H244" t="s">
        <v>98</v>
      </c>
      <c r="I244" t="s">
        <v>126</v>
      </c>
      <c r="J244" t="s">
        <v>57</v>
      </c>
      <c r="K244" t="s">
        <v>587</v>
      </c>
      <c r="L244">
        <v>1225.94</v>
      </c>
      <c r="M244">
        <v>1793.08</v>
      </c>
      <c r="N244">
        <v>0.136</v>
      </c>
      <c r="O244">
        <v>22</v>
      </c>
    </row>
    <row r="245" spans="1:15">
      <c r="A245" t="s">
        <v>588</v>
      </c>
      <c r="B245" s="39">
        <v>45630</v>
      </c>
      <c r="C245" s="39">
        <v>45638</v>
      </c>
      <c r="D245" t="s">
        <v>78</v>
      </c>
      <c r="E245" t="s">
        <v>79</v>
      </c>
      <c r="F245" t="s">
        <v>335</v>
      </c>
      <c r="G245" t="s">
        <v>105</v>
      </c>
      <c r="H245" t="s">
        <v>40</v>
      </c>
      <c r="I245" t="s">
        <v>56</v>
      </c>
      <c r="J245" t="s">
        <v>30</v>
      </c>
      <c r="K245" t="s">
        <v>589</v>
      </c>
      <c r="L245">
        <v>72.06</v>
      </c>
      <c r="M245">
        <v>122.74</v>
      </c>
      <c r="N245">
        <v>0.238</v>
      </c>
      <c r="O245">
        <v>8</v>
      </c>
    </row>
    <row r="246" spans="1:15">
      <c r="A246" t="s">
        <v>590</v>
      </c>
      <c r="B246" s="39">
        <v>45035</v>
      </c>
      <c r="C246" s="39">
        <v>45044</v>
      </c>
      <c r="D246" t="s">
        <v>52</v>
      </c>
      <c r="E246" t="s">
        <v>73</v>
      </c>
      <c r="F246" t="s">
        <v>225</v>
      </c>
      <c r="G246" t="s">
        <v>19</v>
      </c>
      <c r="H246" t="s">
        <v>55</v>
      </c>
      <c r="I246" t="s">
        <v>110</v>
      </c>
      <c r="J246" t="s">
        <v>42</v>
      </c>
      <c r="K246" t="s">
        <v>591</v>
      </c>
      <c r="L246">
        <v>1013.54</v>
      </c>
      <c r="M246">
        <v>927.93</v>
      </c>
      <c r="N246">
        <v>0.175</v>
      </c>
      <c r="O246">
        <v>16</v>
      </c>
    </row>
    <row r="247" spans="1:15">
      <c r="A247" t="s">
        <v>592</v>
      </c>
      <c r="B247" s="39">
        <v>45357</v>
      </c>
      <c r="C247" s="39">
        <v>45377</v>
      </c>
      <c r="D247" t="s">
        <v>16</v>
      </c>
      <c r="E247" t="s">
        <v>25</v>
      </c>
      <c r="F247" t="s">
        <v>26</v>
      </c>
      <c r="G247" t="s">
        <v>48</v>
      </c>
      <c r="H247" t="s">
        <v>40</v>
      </c>
      <c r="I247" t="s">
        <v>34</v>
      </c>
      <c r="J247" t="s">
        <v>42</v>
      </c>
      <c r="K247" t="s">
        <v>593</v>
      </c>
      <c r="L247">
        <v>65.64</v>
      </c>
      <c r="M247">
        <v>151.88</v>
      </c>
      <c r="N247">
        <v>0.167</v>
      </c>
      <c r="O247">
        <v>23</v>
      </c>
    </row>
    <row r="248" spans="1:15">
      <c r="A248" t="s">
        <v>594</v>
      </c>
      <c r="B248" s="39">
        <v>45338</v>
      </c>
      <c r="C248" s="39">
        <v>45355</v>
      </c>
      <c r="D248" t="s">
        <v>52</v>
      </c>
      <c r="E248" t="s">
        <v>53</v>
      </c>
      <c r="F248" t="s">
        <v>144</v>
      </c>
      <c r="G248" t="s">
        <v>39</v>
      </c>
      <c r="H248" t="s">
        <v>20</v>
      </c>
      <c r="I248" t="s">
        <v>145</v>
      </c>
      <c r="J248" t="s">
        <v>57</v>
      </c>
      <c r="K248" t="s">
        <v>595</v>
      </c>
      <c r="L248">
        <v>1350.98</v>
      </c>
      <c r="M248">
        <v>2210.4</v>
      </c>
      <c r="N248">
        <v>0.263</v>
      </c>
      <c r="O248">
        <v>6</v>
      </c>
    </row>
    <row r="249" spans="1:15">
      <c r="A249" t="s">
        <v>596</v>
      </c>
      <c r="B249" s="39">
        <v>45769</v>
      </c>
      <c r="C249" s="39">
        <v>45779</v>
      </c>
      <c r="D249" t="s">
        <v>78</v>
      </c>
      <c r="E249" t="s">
        <v>79</v>
      </c>
      <c r="F249" t="s">
        <v>80</v>
      </c>
      <c r="G249" t="s">
        <v>19</v>
      </c>
      <c r="H249" t="s">
        <v>40</v>
      </c>
      <c r="I249" t="s">
        <v>21</v>
      </c>
      <c r="J249" t="s">
        <v>64</v>
      </c>
      <c r="K249" t="s">
        <v>597</v>
      </c>
      <c r="L249">
        <v>20.15</v>
      </c>
      <c r="M249">
        <v>39.74</v>
      </c>
      <c r="N249">
        <v>0.151</v>
      </c>
      <c r="O249">
        <v>18</v>
      </c>
    </row>
    <row r="250" spans="1:15">
      <c r="A250" t="s">
        <v>598</v>
      </c>
      <c r="B250" s="39">
        <v>45604</v>
      </c>
      <c r="C250" s="39">
        <v>45604</v>
      </c>
      <c r="D250" t="s">
        <v>16</v>
      </c>
      <c r="E250" t="s">
        <v>17</v>
      </c>
      <c r="F250" t="s">
        <v>135</v>
      </c>
      <c r="G250" t="s">
        <v>105</v>
      </c>
      <c r="H250" t="s">
        <v>40</v>
      </c>
      <c r="I250" t="s">
        <v>110</v>
      </c>
      <c r="J250" t="s">
        <v>35</v>
      </c>
      <c r="K250" t="s">
        <v>599</v>
      </c>
      <c r="L250">
        <v>803.28</v>
      </c>
      <c r="M250">
        <v>1009</v>
      </c>
      <c r="N250">
        <v>0.11</v>
      </c>
      <c r="O250">
        <v>4</v>
      </c>
    </row>
    <row r="251" spans="1:15">
      <c r="A251" t="s">
        <v>600</v>
      </c>
      <c r="B251" s="39">
        <v>45912</v>
      </c>
      <c r="C251" s="39">
        <v>45930</v>
      </c>
      <c r="D251" t="s">
        <v>45</v>
      </c>
      <c r="E251" t="s">
        <v>46</v>
      </c>
      <c r="F251" t="s">
        <v>231</v>
      </c>
      <c r="G251" t="s">
        <v>39</v>
      </c>
      <c r="H251" t="s">
        <v>40</v>
      </c>
      <c r="I251" t="s">
        <v>84</v>
      </c>
      <c r="J251" t="s">
        <v>64</v>
      </c>
      <c r="K251" t="s">
        <v>601</v>
      </c>
      <c r="L251">
        <v>1212.99</v>
      </c>
      <c r="M251">
        <v>1653.64</v>
      </c>
      <c r="N251">
        <v>0.107</v>
      </c>
      <c r="O251">
        <v>8</v>
      </c>
    </row>
    <row r="252" spans="1:15">
      <c r="A252" t="s">
        <v>602</v>
      </c>
      <c r="B252" s="39">
        <v>45537</v>
      </c>
      <c r="C252" s="39">
        <v>45543</v>
      </c>
      <c r="D252" t="s">
        <v>52</v>
      </c>
      <c r="E252" t="s">
        <v>122</v>
      </c>
      <c r="F252" t="s">
        <v>326</v>
      </c>
      <c r="G252" t="s">
        <v>48</v>
      </c>
      <c r="H252" t="s">
        <v>98</v>
      </c>
      <c r="I252" t="s">
        <v>92</v>
      </c>
      <c r="J252" t="s">
        <v>22</v>
      </c>
      <c r="K252" t="s">
        <v>603</v>
      </c>
      <c r="L252">
        <v>462.94</v>
      </c>
      <c r="M252">
        <v>1015.7</v>
      </c>
      <c r="N252">
        <v>0.143</v>
      </c>
      <c r="O252">
        <v>14</v>
      </c>
    </row>
    <row r="253" spans="1:15">
      <c r="A253" t="s">
        <v>604</v>
      </c>
      <c r="B253" s="39">
        <v>44989</v>
      </c>
      <c r="C253" s="39">
        <v>45009</v>
      </c>
      <c r="D253" t="s">
        <v>52</v>
      </c>
      <c r="E253" t="s">
        <v>53</v>
      </c>
      <c r="F253" t="s">
        <v>144</v>
      </c>
      <c r="G253" t="s">
        <v>48</v>
      </c>
      <c r="H253" t="s">
        <v>55</v>
      </c>
      <c r="I253" t="s">
        <v>34</v>
      </c>
      <c r="J253" t="s">
        <v>57</v>
      </c>
      <c r="K253" t="s">
        <v>605</v>
      </c>
      <c r="L253">
        <v>481.71</v>
      </c>
      <c r="M253">
        <v>912.45</v>
      </c>
      <c r="N253">
        <v>0.203</v>
      </c>
      <c r="O253">
        <v>24</v>
      </c>
    </row>
    <row r="254" spans="1:15">
      <c r="A254" t="s">
        <v>606</v>
      </c>
      <c r="B254" s="39">
        <v>45366</v>
      </c>
      <c r="C254" s="39">
        <v>45391</v>
      </c>
      <c r="D254" t="s">
        <v>52</v>
      </c>
      <c r="E254" t="s">
        <v>53</v>
      </c>
      <c r="F254" t="s">
        <v>179</v>
      </c>
      <c r="G254" t="s">
        <v>48</v>
      </c>
      <c r="H254" t="s">
        <v>28</v>
      </c>
      <c r="I254" t="s">
        <v>84</v>
      </c>
      <c r="J254" t="s">
        <v>64</v>
      </c>
      <c r="K254" t="s">
        <v>607</v>
      </c>
      <c r="L254">
        <v>648.64</v>
      </c>
      <c r="M254">
        <v>815.19</v>
      </c>
      <c r="N254">
        <v>0.225</v>
      </c>
      <c r="O254">
        <v>28</v>
      </c>
    </row>
    <row r="255" spans="1:15">
      <c r="A255" t="s">
        <v>608</v>
      </c>
      <c r="B255" s="39">
        <v>45502</v>
      </c>
      <c r="C255" s="39">
        <v>45504</v>
      </c>
      <c r="D255" t="s">
        <v>52</v>
      </c>
      <c r="E255" t="s">
        <v>122</v>
      </c>
      <c r="F255" t="s">
        <v>387</v>
      </c>
      <c r="G255" t="s">
        <v>27</v>
      </c>
      <c r="H255" t="s">
        <v>40</v>
      </c>
      <c r="I255" t="s">
        <v>34</v>
      </c>
      <c r="J255" t="s">
        <v>30</v>
      </c>
      <c r="K255" t="s">
        <v>609</v>
      </c>
      <c r="L255">
        <v>798.97</v>
      </c>
      <c r="M255">
        <v>1814.06</v>
      </c>
      <c r="N255">
        <v>0.122</v>
      </c>
      <c r="O255">
        <v>16</v>
      </c>
    </row>
    <row r="256" spans="1:15">
      <c r="A256" t="s">
        <v>610</v>
      </c>
      <c r="B256" s="39">
        <v>45592</v>
      </c>
      <c r="C256" s="39">
        <v>45616</v>
      </c>
      <c r="D256" t="s">
        <v>45</v>
      </c>
      <c r="E256" t="s">
        <v>46</v>
      </c>
      <c r="F256" t="s">
        <v>231</v>
      </c>
      <c r="G256" t="s">
        <v>39</v>
      </c>
      <c r="H256" t="s">
        <v>28</v>
      </c>
      <c r="I256" t="s">
        <v>92</v>
      </c>
      <c r="J256" t="s">
        <v>64</v>
      </c>
      <c r="K256" t="s">
        <v>611</v>
      </c>
      <c r="L256">
        <v>317.25</v>
      </c>
      <c r="M256">
        <v>758.92</v>
      </c>
      <c r="N256">
        <v>0.053</v>
      </c>
      <c r="O256">
        <v>9</v>
      </c>
    </row>
    <row r="257" spans="1:15">
      <c r="A257" t="s">
        <v>612</v>
      </c>
      <c r="B257" s="39">
        <v>45411</v>
      </c>
      <c r="C257" s="39">
        <v>45431</v>
      </c>
      <c r="D257" t="s">
        <v>78</v>
      </c>
      <c r="E257" t="s">
        <v>79</v>
      </c>
      <c r="F257" t="s">
        <v>335</v>
      </c>
      <c r="G257" t="s">
        <v>105</v>
      </c>
      <c r="H257" t="s">
        <v>40</v>
      </c>
      <c r="I257" t="s">
        <v>21</v>
      </c>
      <c r="J257" t="s">
        <v>57</v>
      </c>
      <c r="K257" t="s">
        <v>613</v>
      </c>
      <c r="L257">
        <v>668.97</v>
      </c>
      <c r="M257">
        <v>1667.44</v>
      </c>
      <c r="N257">
        <v>0.034</v>
      </c>
      <c r="O257">
        <v>15</v>
      </c>
    </row>
    <row r="258" spans="1:15">
      <c r="A258" t="s">
        <v>614</v>
      </c>
      <c r="B258" s="39">
        <v>45204</v>
      </c>
      <c r="C258" s="39">
        <v>45205</v>
      </c>
      <c r="D258" t="s">
        <v>45</v>
      </c>
      <c r="E258" t="s">
        <v>60</v>
      </c>
      <c r="F258" t="s">
        <v>61</v>
      </c>
      <c r="G258" t="s">
        <v>39</v>
      </c>
      <c r="H258" t="s">
        <v>28</v>
      </c>
      <c r="I258" t="s">
        <v>34</v>
      </c>
      <c r="J258" t="s">
        <v>22</v>
      </c>
      <c r="K258" t="s">
        <v>615</v>
      </c>
      <c r="L258">
        <v>1470.26</v>
      </c>
      <c r="M258">
        <v>2562.55</v>
      </c>
      <c r="N258">
        <v>0.173</v>
      </c>
      <c r="O258">
        <v>9</v>
      </c>
    </row>
    <row r="259" spans="1:15">
      <c r="A259" t="s">
        <v>616</v>
      </c>
      <c r="B259" s="39">
        <v>45035</v>
      </c>
      <c r="C259" s="39">
        <v>45053</v>
      </c>
      <c r="D259" t="s">
        <v>78</v>
      </c>
      <c r="E259" t="s">
        <v>108</v>
      </c>
      <c r="F259" t="s">
        <v>152</v>
      </c>
      <c r="G259" t="s">
        <v>39</v>
      </c>
      <c r="H259" t="s">
        <v>98</v>
      </c>
      <c r="I259" t="s">
        <v>92</v>
      </c>
      <c r="J259" t="s">
        <v>35</v>
      </c>
      <c r="K259" t="s">
        <v>617</v>
      </c>
      <c r="L259">
        <v>516.96</v>
      </c>
      <c r="M259">
        <v>745.38</v>
      </c>
      <c r="N259">
        <v>0.197</v>
      </c>
      <c r="O259">
        <v>4</v>
      </c>
    </row>
    <row r="260" spans="1:15">
      <c r="A260" t="s">
        <v>618</v>
      </c>
      <c r="B260" s="39">
        <v>45835</v>
      </c>
      <c r="C260" s="39">
        <v>45843</v>
      </c>
      <c r="D260" t="s">
        <v>78</v>
      </c>
      <c r="E260" t="s">
        <v>79</v>
      </c>
      <c r="F260" t="s">
        <v>159</v>
      </c>
      <c r="G260" t="s">
        <v>62</v>
      </c>
      <c r="H260" t="s">
        <v>98</v>
      </c>
      <c r="I260" t="s">
        <v>41</v>
      </c>
      <c r="J260" t="s">
        <v>64</v>
      </c>
      <c r="K260" t="s">
        <v>619</v>
      </c>
      <c r="L260">
        <v>314.93</v>
      </c>
      <c r="M260">
        <v>687.95</v>
      </c>
      <c r="N260">
        <v>0.205</v>
      </c>
      <c r="O260">
        <v>8</v>
      </c>
    </row>
    <row r="261" spans="1:15">
      <c r="A261" t="s">
        <v>620</v>
      </c>
      <c r="B261" s="39">
        <v>45210</v>
      </c>
      <c r="C261" s="39">
        <v>45212</v>
      </c>
      <c r="D261" t="s">
        <v>52</v>
      </c>
      <c r="E261" t="s">
        <v>73</v>
      </c>
      <c r="F261" t="s">
        <v>87</v>
      </c>
      <c r="G261" t="s">
        <v>48</v>
      </c>
      <c r="H261" t="s">
        <v>55</v>
      </c>
      <c r="J261" t="s">
        <v>81</v>
      </c>
      <c r="K261" t="s">
        <v>621</v>
      </c>
      <c r="L261">
        <v>715.94</v>
      </c>
      <c r="M261">
        <v>550.07</v>
      </c>
      <c r="N261">
        <v>0.14</v>
      </c>
      <c r="O261">
        <v>16</v>
      </c>
    </row>
    <row r="262" spans="1:15">
      <c r="A262" t="s">
        <v>622</v>
      </c>
      <c r="B262" s="39">
        <v>45066</v>
      </c>
      <c r="C262" s="39">
        <v>45084</v>
      </c>
      <c r="D262" t="s">
        <v>16</v>
      </c>
      <c r="E262" t="s">
        <v>25</v>
      </c>
      <c r="F262" t="s">
        <v>26</v>
      </c>
      <c r="G262" t="s">
        <v>105</v>
      </c>
      <c r="H262" t="s">
        <v>55</v>
      </c>
      <c r="I262" t="s">
        <v>63</v>
      </c>
      <c r="J262" t="s">
        <v>22</v>
      </c>
      <c r="K262" t="s">
        <v>623</v>
      </c>
      <c r="L262">
        <v>1120.06</v>
      </c>
      <c r="M262">
        <v>2068.21</v>
      </c>
      <c r="N262">
        <v>0.078</v>
      </c>
      <c r="O262">
        <v>12</v>
      </c>
    </row>
    <row r="263" spans="1:15">
      <c r="A263" t="s">
        <v>624</v>
      </c>
      <c r="B263" s="39">
        <v>45073</v>
      </c>
      <c r="C263" s="39">
        <v>45096</v>
      </c>
      <c r="D263" t="s">
        <v>78</v>
      </c>
      <c r="E263" t="s">
        <v>79</v>
      </c>
      <c r="F263" t="s">
        <v>80</v>
      </c>
      <c r="G263" t="s">
        <v>27</v>
      </c>
      <c r="H263" t="s">
        <v>20</v>
      </c>
      <c r="I263" t="s">
        <v>68</v>
      </c>
      <c r="J263" t="s">
        <v>81</v>
      </c>
      <c r="K263" t="s">
        <v>625</v>
      </c>
      <c r="L263">
        <v>1471.58</v>
      </c>
      <c r="M263">
        <v>2576.65</v>
      </c>
      <c r="N263">
        <v>0.004</v>
      </c>
      <c r="O263">
        <v>7</v>
      </c>
    </row>
    <row r="264" spans="1:15">
      <c r="A264" t="s">
        <v>626</v>
      </c>
      <c r="B264" s="39">
        <v>45142</v>
      </c>
      <c r="C264" s="39">
        <v>45162</v>
      </c>
      <c r="D264" t="s">
        <v>52</v>
      </c>
      <c r="E264" t="s">
        <v>73</v>
      </c>
      <c r="F264" t="s">
        <v>87</v>
      </c>
      <c r="G264" t="s">
        <v>39</v>
      </c>
      <c r="H264" t="s">
        <v>98</v>
      </c>
      <c r="J264" t="s">
        <v>35</v>
      </c>
      <c r="K264" t="s">
        <v>627</v>
      </c>
      <c r="L264">
        <v>582.88</v>
      </c>
      <c r="M264">
        <v>1044.14</v>
      </c>
      <c r="N264">
        <v>0.216</v>
      </c>
      <c r="O264">
        <v>10</v>
      </c>
    </row>
    <row r="265" spans="1:15">
      <c r="A265" t="s">
        <v>628</v>
      </c>
      <c r="B265" s="39">
        <v>45829</v>
      </c>
      <c r="C265" s="39">
        <v>45835</v>
      </c>
      <c r="D265" t="s">
        <v>16</v>
      </c>
      <c r="E265" t="s">
        <v>148</v>
      </c>
      <c r="F265" t="s">
        <v>172</v>
      </c>
      <c r="G265" t="s">
        <v>105</v>
      </c>
      <c r="H265" t="s">
        <v>55</v>
      </c>
      <c r="I265" t="s">
        <v>126</v>
      </c>
      <c r="J265" t="s">
        <v>42</v>
      </c>
      <c r="K265" t="s">
        <v>629</v>
      </c>
      <c r="L265">
        <v>93.91</v>
      </c>
      <c r="M265">
        <v>99.04</v>
      </c>
      <c r="N265">
        <v>0.057</v>
      </c>
      <c r="O265">
        <v>6</v>
      </c>
    </row>
    <row r="266" spans="1:15">
      <c r="A266" t="s">
        <v>630</v>
      </c>
      <c r="B266" s="39">
        <v>45763</v>
      </c>
      <c r="C266" s="39">
        <v>45773</v>
      </c>
      <c r="D266" t="s">
        <v>16</v>
      </c>
      <c r="E266" t="s">
        <v>25</v>
      </c>
      <c r="F266" t="s">
        <v>26</v>
      </c>
      <c r="G266" t="s">
        <v>105</v>
      </c>
      <c r="H266" t="s">
        <v>40</v>
      </c>
      <c r="I266" t="s">
        <v>84</v>
      </c>
      <c r="J266" t="s">
        <v>57</v>
      </c>
      <c r="K266" t="s">
        <v>631</v>
      </c>
      <c r="L266">
        <v>1457.44</v>
      </c>
      <c r="M266">
        <v>1996.81</v>
      </c>
      <c r="N266">
        <v>0.126</v>
      </c>
      <c r="O266">
        <v>23</v>
      </c>
    </row>
    <row r="267" spans="1:15">
      <c r="A267" t="s">
        <v>632</v>
      </c>
      <c r="B267" s="39">
        <v>45902</v>
      </c>
      <c r="C267" s="39">
        <v>45911</v>
      </c>
      <c r="D267" t="s">
        <v>52</v>
      </c>
      <c r="E267" t="s">
        <v>53</v>
      </c>
      <c r="F267" t="s">
        <v>54</v>
      </c>
      <c r="G267" t="s">
        <v>19</v>
      </c>
      <c r="H267" t="s">
        <v>55</v>
      </c>
      <c r="I267" t="s">
        <v>110</v>
      </c>
      <c r="J267" t="s">
        <v>30</v>
      </c>
      <c r="K267" t="s">
        <v>633</v>
      </c>
      <c r="L267">
        <v>1207.63</v>
      </c>
      <c r="M267">
        <v>921.68</v>
      </c>
      <c r="N267">
        <v>0.196</v>
      </c>
      <c r="O267">
        <v>17</v>
      </c>
    </row>
    <row r="268" spans="1:15">
      <c r="A268" t="s">
        <v>634</v>
      </c>
      <c r="B268" s="39">
        <v>45573</v>
      </c>
      <c r="C268" s="39">
        <v>45573</v>
      </c>
      <c r="D268" t="s">
        <v>78</v>
      </c>
      <c r="E268" t="s">
        <v>108</v>
      </c>
      <c r="F268" t="s">
        <v>152</v>
      </c>
      <c r="G268" t="s">
        <v>19</v>
      </c>
      <c r="H268" t="s">
        <v>28</v>
      </c>
      <c r="I268" t="s">
        <v>63</v>
      </c>
      <c r="J268" t="s">
        <v>64</v>
      </c>
      <c r="K268" t="s">
        <v>635</v>
      </c>
      <c r="L268">
        <v>1108.11</v>
      </c>
      <c r="M268">
        <v>2503.79</v>
      </c>
      <c r="N268">
        <v>0.184</v>
      </c>
      <c r="O268">
        <v>19</v>
      </c>
    </row>
    <row r="269" spans="1:15">
      <c r="A269" t="s">
        <v>636</v>
      </c>
      <c r="B269" s="39">
        <v>45053</v>
      </c>
      <c r="C269" s="39">
        <v>45051</v>
      </c>
      <c r="D269" t="s">
        <v>16</v>
      </c>
      <c r="E269" t="s">
        <v>25</v>
      </c>
      <c r="F269" t="s">
        <v>26</v>
      </c>
      <c r="G269" t="s">
        <v>39</v>
      </c>
      <c r="H269" t="s">
        <v>40</v>
      </c>
      <c r="I269" t="s">
        <v>75</v>
      </c>
      <c r="J269" t="s">
        <v>22</v>
      </c>
      <c r="K269" t="s">
        <v>637</v>
      </c>
      <c r="L269">
        <v>1269.65</v>
      </c>
      <c r="M269">
        <v>2462.77</v>
      </c>
      <c r="N269">
        <v>0.107</v>
      </c>
      <c r="O269">
        <v>8</v>
      </c>
    </row>
    <row r="270" spans="1:15">
      <c r="A270" t="s">
        <v>638</v>
      </c>
      <c r="B270" s="39">
        <v>45284</v>
      </c>
      <c r="C270" s="39">
        <v>45292</v>
      </c>
      <c r="D270" t="s">
        <v>52</v>
      </c>
      <c r="E270" t="s">
        <v>73</v>
      </c>
      <c r="F270" t="s">
        <v>74</v>
      </c>
      <c r="G270" t="s">
        <v>27</v>
      </c>
      <c r="H270" t="s">
        <v>98</v>
      </c>
      <c r="I270" t="s">
        <v>21</v>
      </c>
      <c r="J270" t="s">
        <v>42</v>
      </c>
      <c r="K270" t="s">
        <v>639</v>
      </c>
      <c r="L270">
        <v>526.49</v>
      </c>
      <c r="M270">
        <v>496.2</v>
      </c>
      <c r="N270">
        <v>0</v>
      </c>
      <c r="O270">
        <v>14</v>
      </c>
    </row>
    <row r="271" spans="1:15">
      <c r="A271" t="s">
        <v>640</v>
      </c>
      <c r="B271" s="39">
        <v>45301</v>
      </c>
      <c r="C271" s="39">
        <v>45314</v>
      </c>
      <c r="D271" t="s">
        <v>78</v>
      </c>
      <c r="E271" t="s">
        <v>90</v>
      </c>
      <c r="F271" t="s">
        <v>91</v>
      </c>
      <c r="G271" t="s">
        <v>19</v>
      </c>
      <c r="H271" t="s">
        <v>98</v>
      </c>
      <c r="I271" t="s">
        <v>75</v>
      </c>
      <c r="J271" t="s">
        <v>30</v>
      </c>
      <c r="K271" t="s">
        <v>641</v>
      </c>
      <c r="L271">
        <v>720</v>
      </c>
      <c r="M271">
        <v>907.59</v>
      </c>
      <c r="N271">
        <v>0.154</v>
      </c>
      <c r="O271">
        <v>10</v>
      </c>
    </row>
    <row r="272" spans="1:15">
      <c r="A272" t="s">
        <v>642</v>
      </c>
      <c r="B272" s="39">
        <v>45141</v>
      </c>
      <c r="C272" s="39">
        <v>45152</v>
      </c>
      <c r="D272" t="s">
        <v>52</v>
      </c>
      <c r="E272" t="s">
        <v>73</v>
      </c>
      <c r="F272" t="s">
        <v>87</v>
      </c>
      <c r="G272" t="s">
        <v>19</v>
      </c>
      <c r="H272" t="s">
        <v>98</v>
      </c>
      <c r="I272" t="s">
        <v>29</v>
      </c>
      <c r="J272" t="s">
        <v>81</v>
      </c>
      <c r="K272" t="s">
        <v>643</v>
      </c>
      <c r="L272">
        <v>232.73</v>
      </c>
      <c r="M272">
        <v>334.19</v>
      </c>
      <c r="N272">
        <v>0.134</v>
      </c>
      <c r="O272">
        <v>25</v>
      </c>
    </row>
    <row r="273" spans="1:15">
      <c r="A273" t="s">
        <v>644</v>
      </c>
      <c r="B273" s="39">
        <v>45707</v>
      </c>
      <c r="C273" s="39">
        <v>45725</v>
      </c>
      <c r="D273" t="s">
        <v>45</v>
      </c>
      <c r="E273" t="s">
        <v>60</v>
      </c>
      <c r="F273" t="s">
        <v>141</v>
      </c>
      <c r="G273" t="s">
        <v>62</v>
      </c>
      <c r="H273" t="s">
        <v>98</v>
      </c>
      <c r="I273" t="s">
        <v>68</v>
      </c>
      <c r="J273" t="s">
        <v>64</v>
      </c>
      <c r="K273" t="s">
        <v>645</v>
      </c>
      <c r="L273">
        <v>325.87</v>
      </c>
      <c r="M273">
        <v>538.79</v>
      </c>
      <c r="N273">
        <v>0.174</v>
      </c>
      <c r="O273">
        <v>16</v>
      </c>
    </row>
    <row r="274" spans="1:15">
      <c r="A274" t="s">
        <v>646</v>
      </c>
      <c r="B274" s="39">
        <v>45382</v>
      </c>
      <c r="C274" s="39">
        <v>45399</v>
      </c>
      <c r="D274" t="s">
        <v>78</v>
      </c>
      <c r="E274" t="s">
        <v>79</v>
      </c>
      <c r="F274" t="s">
        <v>335</v>
      </c>
      <c r="G274" t="s">
        <v>27</v>
      </c>
      <c r="H274" t="s">
        <v>98</v>
      </c>
      <c r="I274" t="s">
        <v>92</v>
      </c>
      <c r="J274" t="s">
        <v>64</v>
      </c>
      <c r="K274" t="s">
        <v>647</v>
      </c>
      <c r="L274">
        <v>1025.51</v>
      </c>
      <c r="M274">
        <v>1436.54</v>
      </c>
      <c r="N274">
        <v>0.139</v>
      </c>
      <c r="O274">
        <v>28</v>
      </c>
    </row>
    <row r="275" spans="1:15">
      <c r="A275" t="s">
        <v>648</v>
      </c>
      <c r="B275" s="39">
        <v>45131</v>
      </c>
      <c r="C275" s="39">
        <v>45151</v>
      </c>
      <c r="D275" t="s">
        <v>52</v>
      </c>
      <c r="E275" t="s">
        <v>53</v>
      </c>
      <c r="F275" t="s">
        <v>144</v>
      </c>
      <c r="G275" t="s">
        <v>27</v>
      </c>
      <c r="H275" t="s">
        <v>98</v>
      </c>
      <c r="I275" t="s">
        <v>21</v>
      </c>
      <c r="J275" t="s">
        <v>64</v>
      </c>
      <c r="K275" t="s">
        <v>649</v>
      </c>
      <c r="L275">
        <v>1082.38</v>
      </c>
      <c r="M275">
        <v>1766.55</v>
      </c>
      <c r="N275">
        <v>0.164</v>
      </c>
      <c r="O275">
        <v>20</v>
      </c>
    </row>
    <row r="276" spans="1:15">
      <c r="A276" t="s">
        <v>650</v>
      </c>
      <c r="B276" s="39">
        <v>45367</v>
      </c>
      <c r="C276" s="39">
        <v>45395</v>
      </c>
      <c r="D276" t="s">
        <v>78</v>
      </c>
      <c r="E276" t="s">
        <v>90</v>
      </c>
      <c r="F276" t="s">
        <v>217</v>
      </c>
      <c r="G276" t="s">
        <v>62</v>
      </c>
      <c r="H276" t="s">
        <v>28</v>
      </c>
      <c r="I276" t="s">
        <v>95</v>
      </c>
      <c r="J276" t="s">
        <v>30</v>
      </c>
      <c r="K276" t="s">
        <v>651</v>
      </c>
      <c r="L276">
        <v>287.61</v>
      </c>
      <c r="M276">
        <v>628.54</v>
      </c>
      <c r="N276">
        <v>0.135</v>
      </c>
      <c r="O276">
        <v>21</v>
      </c>
    </row>
    <row r="277" spans="1:15">
      <c r="A277" t="s">
        <v>652</v>
      </c>
      <c r="B277" s="39">
        <v>45316</v>
      </c>
      <c r="C277" s="39">
        <v>45318</v>
      </c>
      <c r="D277" t="s">
        <v>52</v>
      </c>
      <c r="E277" t="s">
        <v>73</v>
      </c>
      <c r="F277" t="s">
        <v>74</v>
      </c>
      <c r="G277" t="s">
        <v>39</v>
      </c>
      <c r="H277" t="s">
        <v>40</v>
      </c>
      <c r="I277" t="s">
        <v>126</v>
      </c>
      <c r="J277" t="s">
        <v>57</v>
      </c>
      <c r="K277" t="s">
        <v>653</v>
      </c>
      <c r="L277">
        <v>1410.97</v>
      </c>
      <c r="M277">
        <v>1650.75</v>
      </c>
      <c r="N277">
        <v>0.135</v>
      </c>
      <c r="O277">
        <v>6</v>
      </c>
    </row>
    <row r="278" spans="1:15">
      <c r="A278" t="s">
        <v>654</v>
      </c>
      <c r="B278" s="39">
        <v>45378</v>
      </c>
      <c r="C278" s="39">
        <v>45393</v>
      </c>
      <c r="D278" t="s">
        <v>52</v>
      </c>
      <c r="E278" t="s">
        <v>122</v>
      </c>
      <c r="F278" t="s">
        <v>167</v>
      </c>
      <c r="G278" t="s">
        <v>62</v>
      </c>
      <c r="H278" t="s">
        <v>98</v>
      </c>
      <c r="I278" t="s">
        <v>68</v>
      </c>
      <c r="J278" t="s">
        <v>35</v>
      </c>
      <c r="K278" t="s">
        <v>655</v>
      </c>
      <c r="L278">
        <v>1338.35</v>
      </c>
      <c r="M278">
        <v>2247.14</v>
      </c>
      <c r="N278">
        <v>0.115</v>
      </c>
      <c r="O278">
        <v>40</v>
      </c>
    </row>
    <row r="279" spans="1:15">
      <c r="A279" t="s">
        <v>656</v>
      </c>
      <c r="B279" s="39">
        <v>45832</v>
      </c>
      <c r="C279" s="39">
        <v>45852</v>
      </c>
      <c r="D279" t="s">
        <v>78</v>
      </c>
      <c r="E279" t="s">
        <v>79</v>
      </c>
      <c r="F279" t="s">
        <v>80</v>
      </c>
      <c r="G279" t="s">
        <v>19</v>
      </c>
      <c r="H279" t="s">
        <v>98</v>
      </c>
      <c r="I279" t="s">
        <v>68</v>
      </c>
      <c r="J279" t="s">
        <v>81</v>
      </c>
      <c r="K279" t="s">
        <v>657</v>
      </c>
      <c r="L279">
        <v>385.08</v>
      </c>
      <c r="M279">
        <v>893.19</v>
      </c>
      <c r="N279">
        <v>0.151</v>
      </c>
      <c r="O279">
        <v>8</v>
      </c>
    </row>
    <row r="280" spans="1:15">
      <c r="A280" t="s">
        <v>658</v>
      </c>
      <c r="B280" s="39">
        <v>45459</v>
      </c>
      <c r="C280" s="39">
        <v>45476</v>
      </c>
      <c r="D280" t="s">
        <v>16</v>
      </c>
      <c r="E280" t="s">
        <v>148</v>
      </c>
      <c r="F280" t="s">
        <v>149</v>
      </c>
      <c r="G280" t="s">
        <v>105</v>
      </c>
      <c r="H280" t="s">
        <v>40</v>
      </c>
      <c r="I280" t="s">
        <v>84</v>
      </c>
      <c r="J280" t="s">
        <v>42</v>
      </c>
      <c r="K280" t="s">
        <v>659</v>
      </c>
      <c r="L280">
        <v>1173.83</v>
      </c>
      <c r="M280">
        <v>2328.9</v>
      </c>
      <c r="N280">
        <v>0.12</v>
      </c>
      <c r="O280">
        <v>17</v>
      </c>
    </row>
    <row r="281" spans="1:15">
      <c r="A281" t="s">
        <v>660</v>
      </c>
      <c r="B281" s="39">
        <v>45229</v>
      </c>
      <c r="C281" s="39">
        <v>45244</v>
      </c>
      <c r="D281" t="s">
        <v>45</v>
      </c>
      <c r="E281" t="s">
        <v>60</v>
      </c>
      <c r="F281" t="s">
        <v>61</v>
      </c>
      <c r="G281" t="s">
        <v>19</v>
      </c>
      <c r="H281" t="s">
        <v>28</v>
      </c>
      <c r="I281" t="s">
        <v>84</v>
      </c>
      <c r="J281" t="s">
        <v>57</v>
      </c>
      <c r="K281" t="s">
        <v>661</v>
      </c>
      <c r="L281">
        <v>953.46</v>
      </c>
      <c r="M281">
        <v>2066.75</v>
      </c>
      <c r="N281">
        <v>0.138</v>
      </c>
      <c r="O281">
        <v>5</v>
      </c>
    </row>
    <row r="282" spans="1:15">
      <c r="A282" t="s">
        <v>662</v>
      </c>
      <c r="B282" s="39">
        <v>45092</v>
      </c>
      <c r="C282" s="39">
        <v>45100</v>
      </c>
      <c r="D282" t="s">
        <v>52</v>
      </c>
      <c r="E282" t="s">
        <v>122</v>
      </c>
      <c r="F282" t="s">
        <v>167</v>
      </c>
      <c r="G282" t="s">
        <v>48</v>
      </c>
      <c r="H282" t="s">
        <v>55</v>
      </c>
      <c r="I282" t="s">
        <v>68</v>
      </c>
      <c r="J282" t="s">
        <v>64</v>
      </c>
      <c r="K282" t="s">
        <v>663</v>
      </c>
      <c r="L282">
        <v>1097.09</v>
      </c>
      <c r="M282">
        <v>2182.31</v>
      </c>
      <c r="N282">
        <v>0.112</v>
      </c>
      <c r="O282">
        <v>9</v>
      </c>
    </row>
    <row r="283" spans="1:15">
      <c r="A283" t="s">
        <v>664</v>
      </c>
      <c r="B283" s="39">
        <v>45730</v>
      </c>
      <c r="C283" s="39">
        <v>45745</v>
      </c>
      <c r="D283" t="s">
        <v>45</v>
      </c>
      <c r="E283" t="s">
        <v>46</v>
      </c>
      <c r="F283" t="s">
        <v>214</v>
      </c>
      <c r="G283" t="s">
        <v>39</v>
      </c>
      <c r="H283" t="s">
        <v>98</v>
      </c>
      <c r="I283" t="s">
        <v>92</v>
      </c>
      <c r="J283" t="s">
        <v>35</v>
      </c>
      <c r="K283" t="s">
        <v>665</v>
      </c>
      <c r="L283">
        <v>1106.96</v>
      </c>
      <c r="M283">
        <v>2726.62</v>
      </c>
      <c r="N283">
        <v>0.317</v>
      </c>
      <c r="O283">
        <v>7</v>
      </c>
    </row>
    <row r="284" spans="1:15">
      <c r="A284" t="s">
        <v>666</v>
      </c>
      <c r="B284" s="39">
        <v>45153</v>
      </c>
      <c r="C284" s="39">
        <v>45163</v>
      </c>
      <c r="D284" t="s">
        <v>16</v>
      </c>
      <c r="E284" t="s">
        <v>17</v>
      </c>
      <c r="F284" t="s">
        <v>33</v>
      </c>
      <c r="G284" t="s">
        <v>62</v>
      </c>
      <c r="H284" t="s">
        <v>20</v>
      </c>
      <c r="I284" t="s">
        <v>126</v>
      </c>
      <c r="J284" t="s">
        <v>42</v>
      </c>
      <c r="K284" t="s">
        <v>667</v>
      </c>
      <c r="L284">
        <v>91.85</v>
      </c>
      <c r="M284">
        <v>111.29</v>
      </c>
      <c r="N284">
        <v>0</v>
      </c>
      <c r="O284">
        <v>6</v>
      </c>
    </row>
    <row r="285" spans="1:15">
      <c r="A285" t="s">
        <v>668</v>
      </c>
      <c r="B285" s="39">
        <v>45794</v>
      </c>
      <c r="C285" s="39">
        <v>45805</v>
      </c>
      <c r="D285" t="s">
        <v>45</v>
      </c>
      <c r="E285" t="s">
        <v>60</v>
      </c>
      <c r="F285" t="s">
        <v>61</v>
      </c>
      <c r="G285" t="s">
        <v>19</v>
      </c>
      <c r="H285" t="s">
        <v>55</v>
      </c>
      <c r="I285" t="s">
        <v>56</v>
      </c>
      <c r="J285" t="s">
        <v>57</v>
      </c>
      <c r="K285" t="s">
        <v>669</v>
      </c>
      <c r="L285">
        <v>623.4</v>
      </c>
      <c r="M285">
        <v>1100.09</v>
      </c>
      <c r="N285">
        <v>0.114</v>
      </c>
      <c r="O285">
        <v>12</v>
      </c>
    </row>
    <row r="286" spans="1:15">
      <c r="A286" t="s">
        <v>670</v>
      </c>
      <c r="B286" s="39">
        <v>45304</v>
      </c>
      <c r="C286" s="39">
        <v>45327</v>
      </c>
      <c r="D286" t="s">
        <v>78</v>
      </c>
      <c r="E286" t="s">
        <v>79</v>
      </c>
      <c r="F286" t="s">
        <v>335</v>
      </c>
      <c r="G286" t="s">
        <v>27</v>
      </c>
      <c r="H286" t="s">
        <v>98</v>
      </c>
      <c r="I286" t="s">
        <v>56</v>
      </c>
      <c r="J286" t="s">
        <v>57</v>
      </c>
      <c r="K286" t="s">
        <v>671</v>
      </c>
      <c r="L286">
        <v>1017.93</v>
      </c>
      <c r="M286">
        <v>1529.14</v>
      </c>
      <c r="N286">
        <v>0.155</v>
      </c>
      <c r="O286">
        <v>12</v>
      </c>
    </row>
    <row r="287" spans="1:15">
      <c r="A287" t="s">
        <v>672</v>
      </c>
      <c r="B287" s="39">
        <v>45101</v>
      </c>
      <c r="C287" s="39">
        <v>45128</v>
      </c>
      <c r="D287" t="s">
        <v>45</v>
      </c>
      <c r="E287" t="s">
        <v>46</v>
      </c>
      <c r="F287" t="s">
        <v>231</v>
      </c>
      <c r="G287" t="s">
        <v>48</v>
      </c>
      <c r="H287" t="s">
        <v>40</v>
      </c>
      <c r="I287" t="s">
        <v>29</v>
      </c>
      <c r="J287" t="s">
        <v>42</v>
      </c>
      <c r="K287" t="s">
        <v>673</v>
      </c>
      <c r="L287">
        <v>554.76</v>
      </c>
      <c r="M287">
        <v>728.69</v>
      </c>
      <c r="N287">
        <v>0.22</v>
      </c>
      <c r="O287">
        <v>7</v>
      </c>
    </row>
    <row r="288" spans="1:15">
      <c r="A288" t="s">
        <v>674</v>
      </c>
      <c r="B288" s="39">
        <v>45751</v>
      </c>
      <c r="C288" s="39">
        <v>45760</v>
      </c>
      <c r="D288" t="s">
        <v>78</v>
      </c>
      <c r="E288" t="s">
        <v>79</v>
      </c>
      <c r="F288" t="s">
        <v>159</v>
      </c>
      <c r="G288" t="s">
        <v>48</v>
      </c>
      <c r="H288" t="s">
        <v>40</v>
      </c>
      <c r="I288" t="s">
        <v>84</v>
      </c>
      <c r="J288" t="s">
        <v>42</v>
      </c>
      <c r="K288" t="s">
        <v>675</v>
      </c>
      <c r="L288">
        <v>7.02</v>
      </c>
      <c r="M288">
        <v>6.28</v>
      </c>
      <c r="N288">
        <v>0.134</v>
      </c>
      <c r="O288">
        <v>14</v>
      </c>
    </row>
    <row r="289" spans="1:15">
      <c r="A289" t="s">
        <v>676</v>
      </c>
      <c r="B289" s="39">
        <v>45542</v>
      </c>
      <c r="C289" s="39">
        <v>45542</v>
      </c>
      <c r="D289" t="s">
        <v>45</v>
      </c>
      <c r="E289" t="s">
        <v>60</v>
      </c>
      <c r="F289" t="s">
        <v>220</v>
      </c>
      <c r="G289" t="s">
        <v>27</v>
      </c>
      <c r="H289" t="s">
        <v>55</v>
      </c>
      <c r="I289" t="s">
        <v>56</v>
      </c>
      <c r="J289" t="s">
        <v>35</v>
      </c>
      <c r="K289" t="s">
        <v>677</v>
      </c>
      <c r="L289">
        <v>1066.65</v>
      </c>
      <c r="M289">
        <v>2569.77</v>
      </c>
      <c r="N289">
        <v>0.134</v>
      </c>
      <c r="O289">
        <v>9</v>
      </c>
    </row>
    <row r="290" spans="1:15">
      <c r="A290" t="s">
        <v>678</v>
      </c>
      <c r="B290" s="39">
        <v>45319</v>
      </c>
      <c r="C290" s="39">
        <v>45321</v>
      </c>
      <c r="D290" t="s">
        <v>16</v>
      </c>
      <c r="E290" t="s">
        <v>148</v>
      </c>
      <c r="F290" t="s">
        <v>258</v>
      </c>
      <c r="G290" t="s">
        <v>48</v>
      </c>
      <c r="H290" t="s">
        <v>98</v>
      </c>
      <c r="I290" t="s">
        <v>84</v>
      </c>
      <c r="J290" t="s">
        <v>81</v>
      </c>
      <c r="K290" t="s">
        <v>679</v>
      </c>
      <c r="L290">
        <v>798.45</v>
      </c>
      <c r="M290">
        <v>1592.02</v>
      </c>
      <c r="N290">
        <v>0.066</v>
      </c>
      <c r="O290">
        <v>18</v>
      </c>
    </row>
    <row r="291" spans="1:15">
      <c r="A291" t="s">
        <v>680</v>
      </c>
      <c r="B291" s="39">
        <v>45125</v>
      </c>
      <c r="C291" s="39">
        <v>45148</v>
      </c>
      <c r="D291" t="s">
        <v>16</v>
      </c>
      <c r="E291" t="s">
        <v>148</v>
      </c>
      <c r="F291" t="s">
        <v>149</v>
      </c>
      <c r="G291" t="s">
        <v>62</v>
      </c>
      <c r="H291" t="s">
        <v>20</v>
      </c>
      <c r="I291" t="s">
        <v>49</v>
      </c>
      <c r="J291" t="s">
        <v>22</v>
      </c>
      <c r="K291" t="s">
        <v>681</v>
      </c>
      <c r="L291">
        <v>1271.56</v>
      </c>
      <c r="M291">
        <v>995.47</v>
      </c>
      <c r="N291">
        <v>0.192</v>
      </c>
      <c r="O291">
        <v>13</v>
      </c>
    </row>
    <row r="292" spans="1:15">
      <c r="A292" t="s">
        <v>682</v>
      </c>
      <c r="B292" s="39">
        <v>45897</v>
      </c>
      <c r="C292" s="39">
        <v>45895</v>
      </c>
      <c r="D292" t="s">
        <v>16</v>
      </c>
      <c r="E292" t="s">
        <v>25</v>
      </c>
      <c r="F292" t="s">
        <v>26</v>
      </c>
      <c r="G292" t="s">
        <v>62</v>
      </c>
      <c r="H292" t="s">
        <v>20</v>
      </c>
      <c r="I292" t="s">
        <v>75</v>
      </c>
      <c r="J292" t="s">
        <v>81</v>
      </c>
      <c r="K292" t="s">
        <v>683</v>
      </c>
      <c r="L292">
        <v>521.06</v>
      </c>
      <c r="M292">
        <v>1240.31</v>
      </c>
      <c r="N292">
        <v>0.146</v>
      </c>
      <c r="O292">
        <v>18</v>
      </c>
    </row>
    <row r="293" spans="1:15">
      <c r="A293" t="s">
        <v>684</v>
      </c>
      <c r="B293" s="39">
        <v>45746</v>
      </c>
      <c r="C293" s="39">
        <v>45754</v>
      </c>
      <c r="D293" t="s">
        <v>52</v>
      </c>
      <c r="E293" t="s">
        <v>73</v>
      </c>
      <c r="F293" t="s">
        <v>74</v>
      </c>
      <c r="G293" t="s">
        <v>39</v>
      </c>
      <c r="H293" t="s">
        <v>98</v>
      </c>
      <c r="I293" t="s">
        <v>49</v>
      </c>
      <c r="J293" t="s">
        <v>30</v>
      </c>
      <c r="K293" t="s">
        <v>685</v>
      </c>
      <c r="L293">
        <v>71.62</v>
      </c>
      <c r="M293">
        <v>118.37</v>
      </c>
      <c r="N293">
        <v>0.156</v>
      </c>
      <c r="O293">
        <v>11</v>
      </c>
    </row>
    <row r="294" spans="1:15">
      <c r="A294" t="s">
        <v>686</v>
      </c>
      <c r="B294" s="39">
        <v>45220</v>
      </c>
      <c r="C294" s="39">
        <v>45239</v>
      </c>
      <c r="D294" t="s">
        <v>78</v>
      </c>
      <c r="E294" t="s">
        <v>108</v>
      </c>
      <c r="F294" t="s">
        <v>152</v>
      </c>
      <c r="G294" t="s">
        <v>39</v>
      </c>
      <c r="H294" t="s">
        <v>98</v>
      </c>
      <c r="I294" t="s">
        <v>75</v>
      </c>
      <c r="J294" t="s">
        <v>81</v>
      </c>
      <c r="K294" t="s">
        <v>687</v>
      </c>
      <c r="L294">
        <v>1142.48</v>
      </c>
      <c r="M294">
        <v>2105.53</v>
      </c>
      <c r="N294">
        <v>0.207</v>
      </c>
      <c r="O294">
        <v>14</v>
      </c>
    </row>
    <row r="295" spans="1:15">
      <c r="A295" t="s">
        <v>688</v>
      </c>
      <c r="B295" s="39">
        <v>45161</v>
      </c>
      <c r="C295" s="39">
        <v>45191</v>
      </c>
      <c r="D295" t="s">
        <v>78</v>
      </c>
      <c r="E295" t="s">
        <v>108</v>
      </c>
      <c r="F295" t="s">
        <v>152</v>
      </c>
      <c r="G295" t="s">
        <v>48</v>
      </c>
      <c r="H295" t="s">
        <v>55</v>
      </c>
      <c r="I295" t="s">
        <v>68</v>
      </c>
      <c r="J295" t="s">
        <v>81</v>
      </c>
      <c r="K295" t="s">
        <v>689</v>
      </c>
      <c r="L295">
        <v>209.81</v>
      </c>
      <c r="M295">
        <v>523</v>
      </c>
      <c r="N295">
        <v>0.059</v>
      </c>
      <c r="O295">
        <v>15</v>
      </c>
    </row>
    <row r="296" spans="1:15">
      <c r="A296" t="s">
        <v>690</v>
      </c>
      <c r="B296" s="39">
        <v>45758</v>
      </c>
      <c r="C296" s="39">
        <v>45781</v>
      </c>
      <c r="D296" t="s">
        <v>45</v>
      </c>
      <c r="E296" t="s">
        <v>46</v>
      </c>
      <c r="F296" t="s">
        <v>47</v>
      </c>
      <c r="G296" t="s">
        <v>62</v>
      </c>
      <c r="H296" t="s">
        <v>28</v>
      </c>
      <c r="I296" t="s">
        <v>110</v>
      </c>
      <c r="J296" t="s">
        <v>22</v>
      </c>
      <c r="K296" t="s">
        <v>691</v>
      </c>
      <c r="L296">
        <v>786.2</v>
      </c>
      <c r="M296">
        <v>1075.3</v>
      </c>
      <c r="N296">
        <v>0.08</v>
      </c>
      <c r="O296">
        <v>9</v>
      </c>
    </row>
    <row r="297" spans="1:15">
      <c r="A297" t="s">
        <v>692</v>
      </c>
      <c r="B297" s="39">
        <v>45809</v>
      </c>
      <c r="C297" s="39">
        <v>45835</v>
      </c>
      <c r="D297" t="s">
        <v>78</v>
      </c>
      <c r="E297" t="s">
        <v>79</v>
      </c>
      <c r="F297" t="s">
        <v>159</v>
      </c>
      <c r="G297" t="s">
        <v>48</v>
      </c>
      <c r="H297" t="s">
        <v>55</v>
      </c>
      <c r="I297" t="s">
        <v>63</v>
      </c>
      <c r="J297" t="s">
        <v>57</v>
      </c>
      <c r="K297" t="s">
        <v>693</v>
      </c>
      <c r="L297">
        <v>1362.31</v>
      </c>
      <c r="M297">
        <v>3294.57</v>
      </c>
      <c r="N297">
        <v>0.113</v>
      </c>
      <c r="O297">
        <v>7</v>
      </c>
    </row>
    <row r="298" spans="1:15">
      <c r="A298" t="s">
        <v>694</v>
      </c>
      <c r="B298" s="39">
        <v>45353</v>
      </c>
      <c r="C298" s="39">
        <v>45367</v>
      </c>
      <c r="D298" t="s">
        <v>52</v>
      </c>
      <c r="E298" t="s">
        <v>53</v>
      </c>
      <c r="F298" t="s">
        <v>179</v>
      </c>
      <c r="G298" t="s">
        <v>39</v>
      </c>
      <c r="H298" t="s">
        <v>98</v>
      </c>
      <c r="I298" t="s">
        <v>68</v>
      </c>
      <c r="J298" t="s">
        <v>30</v>
      </c>
      <c r="K298" t="s">
        <v>695</v>
      </c>
      <c r="L298">
        <v>248.24</v>
      </c>
      <c r="M298">
        <v>464.05</v>
      </c>
      <c r="N298">
        <v>0.169</v>
      </c>
      <c r="O298">
        <v>11</v>
      </c>
    </row>
    <row r="299" spans="1:15">
      <c r="A299" t="s">
        <v>696</v>
      </c>
      <c r="B299" s="39">
        <v>45097</v>
      </c>
      <c r="C299" s="39">
        <v>45115</v>
      </c>
      <c r="D299" t="s">
        <v>52</v>
      </c>
      <c r="E299" t="s">
        <v>122</v>
      </c>
      <c r="F299" t="s">
        <v>326</v>
      </c>
      <c r="G299" t="s">
        <v>39</v>
      </c>
      <c r="H299" t="s">
        <v>98</v>
      </c>
      <c r="I299" t="s">
        <v>84</v>
      </c>
      <c r="J299" t="s">
        <v>64</v>
      </c>
      <c r="K299" t="s">
        <v>697</v>
      </c>
      <c r="L299">
        <v>337</v>
      </c>
      <c r="M299">
        <v>511.03</v>
      </c>
      <c r="N299">
        <v>0.108</v>
      </c>
      <c r="O299">
        <v>7</v>
      </c>
    </row>
    <row r="300" spans="1:15">
      <c r="A300" t="s">
        <v>698</v>
      </c>
      <c r="B300" s="39">
        <v>45377</v>
      </c>
      <c r="C300" s="39">
        <v>45387</v>
      </c>
      <c r="D300" t="s">
        <v>52</v>
      </c>
      <c r="E300" t="s">
        <v>122</v>
      </c>
      <c r="F300" t="s">
        <v>326</v>
      </c>
      <c r="G300" t="s">
        <v>48</v>
      </c>
      <c r="H300" t="s">
        <v>98</v>
      </c>
      <c r="I300" t="s">
        <v>29</v>
      </c>
      <c r="J300" t="s">
        <v>64</v>
      </c>
      <c r="K300" t="s">
        <v>699</v>
      </c>
      <c r="L300">
        <v>5.66</v>
      </c>
      <c r="M300">
        <v>4.22</v>
      </c>
      <c r="N300">
        <v>0.119</v>
      </c>
      <c r="O300">
        <v>18</v>
      </c>
    </row>
    <row r="301" spans="1:15">
      <c r="A301" t="s">
        <v>700</v>
      </c>
      <c r="B301" s="39">
        <v>45679</v>
      </c>
      <c r="C301" s="39">
        <v>45679</v>
      </c>
      <c r="D301" t="s">
        <v>78</v>
      </c>
      <c r="E301" t="s">
        <v>90</v>
      </c>
      <c r="F301" t="s">
        <v>138</v>
      </c>
      <c r="G301" t="s">
        <v>62</v>
      </c>
      <c r="H301" t="s">
        <v>28</v>
      </c>
      <c r="I301" t="s">
        <v>56</v>
      </c>
      <c r="J301" t="s">
        <v>81</v>
      </c>
      <c r="K301" t="s">
        <v>701</v>
      </c>
      <c r="L301">
        <v>591.72</v>
      </c>
      <c r="M301">
        <v>577.24</v>
      </c>
      <c r="N301">
        <v>0</v>
      </c>
      <c r="O301">
        <v>22</v>
      </c>
    </row>
    <row r="302" spans="1:15">
      <c r="A302" t="s">
        <v>702</v>
      </c>
      <c r="B302" s="39">
        <v>45787</v>
      </c>
      <c r="C302" s="39">
        <v>45804</v>
      </c>
      <c r="D302" t="s">
        <v>52</v>
      </c>
      <c r="E302" t="s">
        <v>53</v>
      </c>
      <c r="F302" t="s">
        <v>179</v>
      </c>
      <c r="G302" t="s">
        <v>27</v>
      </c>
      <c r="H302" t="s">
        <v>98</v>
      </c>
      <c r="I302" t="s">
        <v>21</v>
      </c>
      <c r="J302" t="s">
        <v>22</v>
      </c>
      <c r="K302" t="s">
        <v>703</v>
      </c>
      <c r="L302">
        <v>862.89</v>
      </c>
      <c r="M302">
        <v>1426.03</v>
      </c>
      <c r="N302">
        <v>0.056</v>
      </c>
      <c r="O302">
        <v>19</v>
      </c>
    </row>
    <row r="303" spans="1:15">
      <c r="A303" t="s">
        <v>704</v>
      </c>
      <c r="B303" s="39">
        <v>45204</v>
      </c>
      <c r="C303" s="39">
        <v>45230</v>
      </c>
      <c r="D303" t="s">
        <v>45</v>
      </c>
      <c r="E303" t="s">
        <v>116</v>
      </c>
      <c r="F303" t="s">
        <v>162</v>
      </c>
      <c r="G303" t="s">
        <v>48</v>
      </c>
      <c r="I303" t="s">
        <v>29</v>
      </c>
      <c r="J303" t="s">
        <v>30</v>
      </c>
      <c r="K303" t="s">
        <v>705</v>
      </c>
      <c r="L303">
        <v>649.91</v>
      </c>
      <c r="M303">
        <v>1360.12</v>
      </c>
      <c r="N303">
        <v>0.194</v>
      </c>
      <c r="O303">
        <v>9</v>
      </c>
    </row>
    <row r="304" spans="1:15">
      <c r="A304" t="s">
        <v>706</v>
      </c>
      <c r="B304" s="39">
        <v>45125</v>
      </c>
      <c r="C304" s="39">
        <v>45129</v>
      </c>
      <c r="D304" t="s">
        <v>52</v>
      </c>
      <c r="E304" t="s">
        <v>73</v>
      </c>
      <c r="F304" t="s">
        <v>74</v>
      </c>
      <c r="G304" t="s">
        <v>48</v>
      </c>
      <c r="H304" t="s">
        <v>98</v>
      </c>
      <c r="I304" t="s">
        <v>84</v>
      </c>
      <c r="J304" t="s">
        <v>35</v>
      </c>
      <c r="K304" t="s">
        <v>707</v>
      </c>
      <c r="L304">
        <v>1269.55</v>
      </c>
      <c r="M304">
        <v>2071.1</v>
      </c>
      <c r="N304">
        <v>0.129</v>
      </c>
      <c r="O304">
        <v>22</v>
      </c>
    </row>
    <row r="305" spans="1:15">
      <c r="A305" t="s">
        <v>708</v>
      </c>
      <c r="B305" s="39">
        <v>45830</v>
      </c>
      <c r="C305" s="39">
        <v>45846</v>
      </c>
      <c r="D305" t="s">
        <v>78</v>
      </c>
      <c r="E305" t="s">
        <v>108</v>
      </c>
      <c r="F305" t="s">
        <v>152</v>
      </c>
      <c r="G305" t="s">
        <v>27</v>
      </c>
      <c r="H305" t="s">
        <v>98</v>
      </c>
      <c r="I305" t="s">
        <v>75</v>
      </c>
      <c r="J305" t="s">
        <v>42</v>
      </c>
      <c r="K305" t="s">
        <v>709</v>
      </c>
      <c r="L305">
        <v>892.73</v>
      </c>
      <c r="M305">
        <v>979.84</v>
      </c>
      <c r="N305">
        <v>0.174</v>
      </c>
      <c r="O305">
        <v>10</v>
      </c>
    </row>
    <row r="306" spans="1:15">
      <c r="A306" t="s">
        <v>710</v>
      </c>
      <c r="B306" s="39">
        <v>45462</v>
      </c>
      <c r="C306" s="39">
        <v>45463</v>
      </c>
      <c r="D306" t="s">
        <v>16</v>
      </c>
      <c r="E306" t="s">
        <v>17</v>
      </c>
      <c r="F306" t="s">
        <v>18</v>
      </c>
      <c r="G306" t="s">
        <v>62</v>
      </c>
      <c r="H306" t="s">
        <v>98</v>
      </c>
      <c r="I306" t="s">
        <v>29</v>
      </c>
      <c r="J306" t="s">
        <v>57</v>
      </c>
      <c r="K306" t="s">
        <v>711</v>
      </c>
      <c r="L306">
        <v>231.63</v>
      </c>
      <c r="M306">
        <v>537.39</v>
      </c>
      <c r="N306">
        <v>0.08</v>
      </c>
      <c r="O306">
        <v>12</v>
      </c>
    </row>
    <row r="307" spans="1:15">
      <c r="A307" t="s">
        <v>712</v>
      </c>
      <c r="B307" s="39">
        <v>45756</v>
      </c>
      <c r="C307" s="39">
        <v>45759</v>
      </c>
      <c r="D307" t="s">
        <v>78</v>
      </c>
      <c r="E307" t="s">
        <v>90</v>
      </c>
      <c r="F307" t="s">
        <v>138</v>
      </c>
      <c r="G307" t="s">
        <v>62</v>
      </c>
      <c r="H307" t="s">
        <v>55</v>
      </c>
      <c r="I307" t="s">
        <v>92</v>
      </c>
      <c r="J307" t="s">
        <v>64</v>
      </c>
      <c r="K307" t="s">
        <v>713</v>
      </c>
      <c r="L307">
        <v>86.68</v>
      </c>
      <c r="M307">
        <v>213.32</v>
      </c>
      <c r="N307">
        <v>0.038</v>
      </c>
      <c r="O307">
        <v>8</v>
      </c>
    </row>
    <row r="308" spans="1:15">
      <c r="A308" t="s">
        <v>714</v>
      </c>
      <c r="B308" s="39">
        <v>45741</v>
      </c>
      <c r="C308" s="39">
        <v>45742</v>
      </c>
      <c r="D308" t="s">
        <v>16</v>
      </c>
      <c r="E308" t="s">
        <v>25</v>
      </c>
      <c r="F308" t="s">
        <v>38</v>
      </c>
      <c r="G308" t="s">
        <v>27</v>
      </c>
      <c r="H308" t="s">
        <v>55</v>
      </c>
      <c r="I308" t="s">
        <v>41</v>
      </c>
      <c r="J308" t="s">
        <v>81</v>
      </c>
      <c r="K308" t="s">
        <v>715</v>
      </c>
      <c r="L308">
        <v>1450.43</v>
      </c>
      <c r="M308">
        <v>1994.67</v>
      </c>
      <c r="N308">
        <v>0.1</v>
      </c>
      <c r="O308">
        <v>24</v>
      </c>
    </row>
    <row r="309" spans="1:15">
      <c r="A309" t="s">
        <v>716</v>
      </c>
      <c r="B309" s="39">
        <v>45795</v>
      </c>
      <c r="C309" s="39">
        <v>45817</v>
      </c>
      <c r="D309" t="s">
        <v>52</v>
      </c>
      <c r="E309" t="s">
        <v>122</v>
      </c>
      <c r="F309" t="s">
        <v>387</v>
      </c>
      <c r="G309" t="s">
        <v>48</v>
      </c>
      <c r="H309" t="s">
        <v>20</v>
      </c>
      <c r="I309" t="s">
        <v>92</v>
      </c>
      <c r="J309" t="s">
        <v>35</v>
      </c>
      <c r="K309" t="s">
        <v>717</v>
      </c>
      <c r="L309">
        <v>382.96</v>
      </c>
      <c r="M309">
        <v>552.84</v>
      </c>
      <c r="N309">
        <v>0.176</v>
      </c>
      <c r="O309">
        <v>8</v>
      </c>
    </row>
    <row r="310" spans="1:15">
      <c r="A310" t="s">
        <v>718</v>
      </c>
      <c r="B310" s="39">
        <v>45679</v>
      </c>
      <c r="C310" s="39">
        <v>45692</v>
      </c>
      <c r="D310" t="s">
        <v>45</v>
      </c>
      <c r="E310" t="s">
        <v>46</v>
      </c>
      <c r="F310" t="s">
        <v>214</v>
      </c>
      <c r="G310" t="s">
        <v>62</v>
      </c>
      <c r="H310" t="s">
        <v>55</v>
      </c>
      <c r="I310" t="s">
        <v>49</v>
      </c>
      <c r="J310" t="s">
        <v>30</v>
      </c>
      <c r="K310" t="s">
        <v>719</v>
      </c>
      <c r="L310">
        <v>122.29</v>
      </c>
      <c r="M310">
        <v>224.95</v>
      </c>
      <c r="N310">
        <v>0.153</v>
      </c>
      <c r="O310">
        <v>28</v>
      </c>
    </row>
    <row r="311" spans="1:15">
      <c r="A311" t="s">
        <v>720</v>
      </c>
      <c r="B311" s="39">
        <v>44936</v>
      </c>
      <c r="C311" s="39">
        <v>44955</v>
      </c>
      <c r="D311" t="s">
        <v>78</v>
      </c>
      <c r="E311" t="s">
        <v>90</v>
      </c>
      <c r="F311" t="s">
        <v>138</v>
      </c>
      <c r="G311" t="s">
        <v>39</v>
      </c>
      <c r="H311" t="s">
        <v>98</v>
      </c>
      <c r="I311" t="s">
        <v>145</v>
      </c>
      <c r="J311" t="s">
        <v>57</v>
      </c>
      <c r="K311" t="s">
        <v>721</v>
      </c>
      <c r="L311">
        <v>401.66</v>
      </c>
      <c r="M311">
        <v>772.09</v>
      </c>
      <c r="N311">
        <v>0.089</v>
      </c>
      <c r="O311">
        <v>14</v>
      </c>
    </row>
    <row r="312" spans="1:15">
      <c r="A312" t="s">
        <v>722</v>
      </c>
      <c r="B312" s="39">
        <v>45655</v>
      </c>
      <c r="C312" s="39">
        <v>45669</v>
      </c>
      <c r="D312" t="s">
        <v>78</v>
      </c>
      <c r="E312" t="s">
        <v>108</v>
      </c>
      <c r="F312" t="s">
        <v>228</v>
      </c>
      <c r="G312" t="s">
        <v>19</v>
      </c>
      <c r="H312" t="s">
        <v>98</v>
      </c>
      <c r="I312" t="s">
        <v>56</v>
      </c>
      <c r="J312" t="s">
        <v>64</v>
      </c>
      <c r="K312" t="s">
        <v>723</v>
      </c>
      <c r="L312">
        <v>1399.72</v>
      </c>
      <c r="M312">
        <v>3149.21</v>
      </c>
      <c r="N312">
        <v>0.185</v>
      </c>
      <c r="O312">
        <v>12</v>
      </c>
    </row>
    <row r="313" spans="1:15">
      <c r="A313" t="s">
        <v>724</v>
      </c>
      <c r="B313" s="39">
        <v>45435</v>
      </c>
      <c r="C313" s="39">
        <v>45449</v>
      </c>
      <c r="D313" t="s">
        <v>52</v>
      </c>
      <c r="E313" t="s">
        <v>73</v>
      </c>
      <c r="F313" t="s">
        <v>225</v>
      </c>
      <c r="G313" t="s">
        <v>39</v>
      </c>
      <c r="H313" t="s">
        <v>28</v>
      </c>
      <c r="I313" t="s">
        <v>34</v>
      </c>
      <c r="J313" t="s">
        <v>35</v>
      </c>
      <c r="K313" t="s">
        <v>725</v>
      </c>
      <c r="L313">
        <v>51.13</v>
      </c>
      <c r="M313">
        <v>57.53</v>
      </c>
      <c r="N313">
        <v>0.045</v>
      </c>
      <c r="O313">
        <v>16</v>
      </c>
    </row>
    <row r="314" spans="1:15">
      <c r="A314" t="s">
        <v>726</v>
      </c>
      <c r="B314" s="39">
        <v>45101</v>
      </c>
      <c r="C314" s="39">
        <v>45099</v>
      </c>
      <c r="D314" t="s">
        <v>52</v>
      </c>
      <c r="E314" t="s">
        <v>53</v>
      </c>
      <c r="F314" t="s">
        <v>54</v>
      </c>
      <c r="G314" t="s">
        <v>39</v>
      </c>
      <c r="H314" t="s">
        <v>20</v>
      </c>
      <c r="I314" t="s">
        <v>110</v>
      </c>
      <c r="J314" t="s">
        <v>81</v>
      </c>
      <c r="K314" t="s">
        <v>727</v>
      </c>
      <c r="L314">
        <v>471.42</v>
      </c>
      <c r="M314">
        <v>824.81</v>
      </c>
      <c r="N314">
        <v>0.088</v>
      </c>
      <c r="O314">
        <v>15</v>
      </c>
    </row>
    <row r="315" spans="1:15">
      <c r="A315" t="s">
        <v>728</v>
      </c>
      <c r="B315" s="39">
        <v>45600</v>
      </c>
      <c r="C315" s="39">
        <v>45601</v>
      </c>
      <c r="D315" t="s">
        <v>78</v>
      </c>
      <c r="E315" t="s">
        <v>108</v>
      </c>
      <c r="F315" t="s">
        <v>152</v>
      </c>
      <c r="G315" t="s">
        <v>19</v>
      </c>
      <c r="H315" t="s">
        <v>20</v>
      </c>
      <c r="I315" t="s">
        <v>110</v>
      </c>
      <c r="J315" t="s">
        <v>30</v>
      </c>
      <c r="K315" t="s">
        <v>729</v>
      </c>
      <c r="L315">
        <v>840.68</v>
      </c>
      <c r="M315">
        <v>1493.53</v>
      </c>
      <c r="N315">
        <v>0</v>
      </c>
      <c r="O315">
        <v>27</v>
      </c>
    </row>
    <row r="316" spans="1:15">
      <c r="A316" t="s">
        <v>730</v>
      </c>
      <c r="B316" s="39">
        <v>45451</v>
      </c>
      <c r="C316" s="39">
        <v>45467</v>
      </c>
      <c r="D316" t="s">
        <v>16</v>
      </c>
      <c r="E316" t="s">
        <v>148</v>
      </c>
      <c r="F316" t="s">
        <v>172</v>
      </c>
      <c r="G316" t="s">
        <v>27</v>
      </c>
      <c r="H316" t="s">
        <v>55</v>
      </c>
      <c r="I316" t="s">
        <v>92</v>
      </c>
      <c r="J316" t="s">
        <v>64</v>
      </c>
      <c r="K316" t="s">
        <v>731</v>
      </c>
      <c r="L316">
        <v>597.85</v>
      </c>
      <c r="M316">
        <v>741.92</v>
      </c>
      <c r="N316">
        <v>0.031</v>
      </c>
      <c r="O316">
        <v>7</v>
      </c>
    </row>
    <row r="317" spans="1:15">
      <c r="A317" t="s">
        <v>732</v>
      </c>
      <c r="B317" s="39">
        <v>45809</v>
      </c>
      <c r="C317" s="39">
        <v>45814</v>
      </c>
      <c r="D317" t="s">
        <v>78</v>
      </c>
      <c r="E317" t="s">
        <v>90</v>
      </c>
      <c r="F317" t="s">
        <v>217</v>
      </c>
      <c r="G317" t="s">
        <v>48</v>
      </c>
      <c r="H317" t="s">
        <v>55</v>
      </c>
      <c r="I317" t="s">
        <v>41</v>
      </c>
      <c r="J317" t="s">
        <v>22</v>
      </c>
      <c r="K317" t="s">
        <v>733</v>
      </c>
      <c r="L317">
        <v>379.45</v>
      </c>
      <c r="M317">
        <v>742.23</v>
      </c>
      <c r="N317">
        <v>0.09</v>
      </c>
      <c r="O317">
        <v>13</v>
      </c>
    </row>
    <row r="318" spans="1:15">
      <c r="A318" t="s">
        <v>734</v>
      </c>
      <c r="B318" s="39">
        <v>45052</v>
      </c>
      <c r="C318" s="39">
        <v>45060</v>
      </c>
      <c r="D318" t="s">
        <v>45</v>
      </c>
      <c r="E318" t="s">
        <v>46</v>
      </c>
      <c r="F318" t="s">
        <v>47</v>
      </c>
      <c r="G318" t="s">
        <v>105</v>
      </c>
      <c r="H318" t="s">
        <v>40</v>
      </c>
      <c r="I318" t="s">
        <v>56</v>
      </c>
      <c r="J318" t="s">
        <v>42</v>
      </c>
      <c r="K318" t="s">
        <v>735</v>
      </c>
      <c r="L318">
        <v>291.18</v>
      </c>
      <c r="M318">
        <v>479.54</v>
      </c>
      <c r="N318">
        <v>0.141</v>
      </c>
      <c r="O318">
        <v>22</v>
      </c>
    </row>
    <row r="319" spans="1:15">
      <c r="A319" t="s">
        <v>736</v>
      </c>
      <c r="B319" s="39">
        <v>45244</v>
      </c>
      <c r="C319" s="39">
        <v>45260</v>
      </c>
      <c r="D319" t="s">
        <v>52</v>
      </c>
      <c r="E319" t="s">
        <v>73</v>
      </c>
      <c r="F319" t="s">
        <v>74</v>
      </c>
      <c r="G319" t="s">
        <v>105</v>
      </c>
      <c r="H319" t="s">
        <v>98</v>
      </c>
      <c r="I319" t="s">
        <v>95</v>
      </c>
      <c r="J319" t="s">
        <v>35</v>
      </c>
      <c r="K319" t="s">
        <v>737</v>
      </c>
      <c r="L319">
        <v>1017.92</v>
      </c>
      <c r="M319">
        <v>1175.25</v>
      </c>
      <c r="N319">
        <v>0.075</v>
      </c>
      <c r="O319">
        <v>15</v>
      </c>
    </row>
    <row r="320" spans="1:15">
      <c r="A320" t="s">
        <v>738</v>
      </c>
      <c r="B320" s="39">
        <v>45748</v>
      </c>
      <c r="C320" s="39">
        <v>45774</v>
      </c>
      <c r="D320" t="s">
        <v>52</v>
      </c>
      <c r="E320" t="s">
        <v>122</v>
      </c>
      <c r="F320" t="s">
        <v>167</v>
      </c>
      <c r="G320" t="s">
        <v>19</v>
      </c>
      <c r="H320" t="s">
        <v>98</v>
      </c>
      <c r="I320" t="s">
        <v>34</v>
      </c>
      <c r="J320" t="s">
        <v>64</v>
      </c>
      <c r="K320" t="s">
        <v>739</v>
      </c>
      <c r="L320">
        <v>156.55</v>
      </c>
      <c r="M320">
        <v>227.45</v>
      </c>
      <c r="N320">
        <v>0.014</v>
      </c>
      <c r="O320">
        <v>13</v>
      </c>
    </row>
    <row r="321" spans="1:15">
      <c r="A321" t="s">
        <v>740</v>
      </c>
      <c r="B321" s="39">
        <v>45008</v>
      </c>
      <c r="C321" s="39">
        <v>45031</v>
      </c>
      <c r="D321" t="s">
        <v>16</v>
      </c>
      <c r="E321" t="s">
        <v>17</v>
      </c>
      <c r="F321" t="s">
        <v>113</v>
      </c>
      <c r="G321" t="s">
        <v>62</v>
      </c>
      <c r="H321" t="s">
        <v>20</v>
      </c>
      <c r="I321" t="s">
        <v>21</v>
      </c>
      <c r="J321" t="s">
        <v>81</v>
      </c>
      <c r="K321" t="s">
        <v>741</v>
      </c>
      <c r="L321">
        <v>875.36</v>
      </c>
      <c r="M321">
        <v>1178.62</v>
      </c>
      <c r="N321">
        <v>0.151</v>
      </c>
      <c r="O321">
        <v>53</v>
      </c>
    </row>
    <row r="322" spans="1:15">
      <c r="A322" t="s">
        <v>742</v>
      </c>
      <c r="B322" s="39">
        <v>45440</v>
      </c>
      <c r="C322" s="39">
        <v>45461</v>
      </c>
      <c r="D322" t="s">
        <v>78</v>
      </c>
      <c r="E322" t="s">
        <v>79</v>
      </c>
      <c r="F322" t="s">
        <v>335</v>
      </c>
      <c r="G322" t="s">
        <v>62</v>
      </c>
      <c r="H322" t="s">
        <v>28</v>
      </c>
      <c r="I322" t="s">
        <v>63</v>
      </c>
      <c r="J322" t="s">
        <v>42</v>
      </c>
      <c r="K322" t="s">
        <v>743</v>
      </c>
      <c r="L322">
        <v>986.85</v>
      </c>
      <c r="M322">
        <v>2422.1</v>
      </c>
      <c r="N322">
        <v>0.076</v>
      </c>
      <c r="O322">
        <v>10</v>
      </c>
    </row>
    <row r="323" spans="1:15">
      <c r="A323" t="s">
        <v>744</v>
      </c>
      <c r="B323" s="39">
        <v>45293</v>
      </c>
      <c r="C323" s="39">
        <v>45292</v>
      </c>
      <c r="D323" t="s">
        <v>52</v>
      </c>
      <c r="E323" t="s">
        <v>122</v>
      </c>
      <c r="F323" t="s">
        <v>123</v>
      </c>
      <c r="G323" t="s">
        <v>27</v>
      </c>
      <c r="H323" t="s">
        <v>40</v>
      </c>
      <c r="I323" t="s">
        <v>56</v>
      </c>
      <c r="J323" t="s">
        <v>35</v>
      </c>
      <c r="K323" t="s">
        <v>745</v>
      </c>
      <c r="L323">
        <v>404.77</v>
      </c>
      <c r="M323">
        <v>433.88</v>
      </c>
      <c r="N323">
        <v>0.215</v>
      </c>
      <c r="O323">
        <v>22</v>
      </c>
    </row>
    <row r="324" spans="1:15">
      <c r="A324" t="s">
        <v>746</v>
      </c>
      <c r="B324" s="39">
        <v>44985</v>
      </c>
      <c r="C324" s="39">
        <v>44984</v>
      </c>
      <c r="D324" t="s">
        <v>78</v>
      </c>
      <c r="E324" t="s">
        <v>90</v>
      </c>
      <c r="F324" t="s">
        <v>91</v>
      </c>
      <c r="G324" t="s">
        <v>19</v>
      </c>
      <c r="H324" t="s">
        <v>20</v>
      </c>
      <c r="I324" t="s">
        <v>95</v>
      </c>
      <c r="J324" t="s">
        <v>35</v>
      </c>
      <c r="K324" t="s">
        <v>747</v>
      </c>
      <c r="L324">
        <v>1299.81</v>
      </c>
      <c r="M324">
        <v>3149.13</v>
      </c>
      <c r="N324">
        <v>0.103</v>
      </c>
      <c r="O324">
        <v>14</v>
      </c>
    </row>
    <row r="325" spans="1:15">
      <c r="A325" t="s">
        <v>748</v>
      </c>
      <c r="B325" s="39">
        <v>45340</v>
      </c>
      <c r="C325" s="39">
        <v>45362</v>
      </c>
      <c r="D325" t="s">
        <v>52</v>
      </c>
      <c r="E325" t="s">
        <v>73</v>
      </c>
      <c r="F325" t="s">
        <v>74</v>
      </c>
      <c r="G325" t="s">
        <v>48</v>
      </c>
      <c r="H325" t="s">
        <v>28</v>
      </c>
      <c r="I325" t="s">
        <v>75</v>
      </c>
      <c r="J325" t="s">
        <v>22</v>
      </c>
      <c r="K325" t="s">
        <v>749</v>
      </c>
      <c r="L325">
        <v>80.48</v>
      </c>
      <c r="M325">
        <v>65.65</v>
      </c>
      <c r="N325">
        <v>0.176</v>
      </c>
      <c r="O325">
        <v>13</v>
      </c>
    </row>
    <row r="326" spans="1:15">
      <c r="A326" t="s">
        <v>750</v>
      </c>
      <c r="B326" s="39">
        <v>45544</v>
      </c>
      <c r="C326" s="39">
        <v>45573</v>
      </c>
      <c r="D326" t="s">
        <v>52</v>
      </c>
      <c r="E326" t="s">
        <v>73</v>
      </c>
      <c r="F326" t="s">
        <v>74</v>
      </c>
      <c r="G326" t="s">
        <v>27</v>
      </c>
      <c r="H326" t="s">
        <v>98</v>
      </c>
      <c r="I326" t="s">
        <v>29</v>
      </c>
      <c r="J326" t="s">
        <v>22</v>
      </c>
      <c r="K326" t="s">
        <v>751</v>
      </c>
      <c r="L326">
        <v>1010.33</v>
      </c>
      <c r="M326">
        <v>2492.14</v>
      </c>
      <c r="N326">
        <v>0.051</v>
      </c>
      <c r="O326">
        <v>11</v>
      </c>
    </row>
    <row r="327" spans="1:15">
      <c r="A327" t="s">
        <v>752</v>
      </c>
      <c r="B327" s="39">
        <v>45053</v>
      </c>
      <c r="C327" s="39">
        <v>45075</v>
      </c>
      <c r="D327" t="s">
        <v>16</v>
      </c>
      <c r="E327" t="s">
        <v>148</v>
      </c>
      <c r="F327" t="s">
        <v>172</v>
      </c>
      <c r="G327" t="s">
        <v>27</v>
      </c>
      <c r="H327" t="s">
        <v>55</v>
      </c>
      <c r="I327" t="s">
        <v>95</v>
      </c>
      <c r="J327" t="s">
        <v>81</v>
      </c>
      <c r="K327" t="s">
        <v>753</v>
      </c>
      <c r="L327">
        <v>653.86</v>
      </c>
      <c r="M327">
        <v>931.84</v>
      </c>
      <c r="N327">
        <v>0.121</v>
      </c>
      <c r="O327">
        <v>12</v>
      </c>
    </row>
    <row r="328" spans="1:15">
      <c r="A328" t="s">
        <v>754</v>
      </c>
      <c r="B328" s="39">
        <v>45303</v>
      </c>
      <c r="C328" s="39">
        <v>45320</v>
      </c>
      <c r="D328" t="s">
        <v>45</v>
      </c>
      <c r="E328" t="s">
        <v>60</v>
      </c>
      <c r="F328" t="s">
        <v>281</v>
      </c>
      <c r="G328" t="s">
        <v>62</v>
      </c>
      <c r="H328" t="s">
        <v>98</v>
      </c>
      <c r="I328" t="s">
        <v>56</v>
      </c>
      <c r="J328" t="s">
        <v>22</v>
      </c>
      <c r="K328" t="s">
        <v>755</v>
      </c>
      <c r="L328">
        <v>310.02</v>
      </c>
      <c r="M328">
        <v>619.51</v>
      </c>
      <c r="N328">
        <v>0.042</v>
      </c>
      <c r="O328">
        <v>4</v>
      </c>
    </row>
    <row r="329" spans="1:15">
      <c r="A329" t="s">
        <v>756</v>
      </c>
      <c r="B329" s="39">
        <v>45087</v>
      </c>
      <c r="C329" s="39">
        <v>45095</v>
      </c>
      <c r="D329" t="s">
        <v>16</v>
      </c>
      <c r="E329" t="s">
        <v>17</v>
      </c>
      <c r="F329" t="s">
        <v>135</v>
      </c>
      <c r="G329" t="s">
        <v>105</v>
      </c>
      <c r="H329" t="s">
        <v>98</v>
      </c>
      <c r="I329" t="s">
        <v>92</v>
      </c>
      <c r="J329" t="s">
        <v>42</v>
      </c>
      <c r="K329" t="s">
        <v>757</v>
      </c>
      <c r="L329">
        <v>894.23</v>
      </c>
      <c r="M329">
        <v>1421.55</v>
      </c>
      <c r="N329">
        <v>0.109</v>
      </c>
      <c r="O329">
        <v>3</v>
      </c>
    </row>
    <row r="330" spans="1:15">
      <c r="A330" t="s">
        <v>758</v>
      </c>
      <c r="B330" s="39">
        <v>45796</v>
      </c>
      <c r="C330" s="39">
        <v>45794</v>
      </c>
      <c r="D330" t="s">
        <v>52</v>
      </c>
      <c r="E330" t="s">
        <v>73</v>
      </c>
      <c r="F330" t="s">
        <v>74</v>
      </c>
      <c r="G330" t="s">
        <v>62</v>
      </c>
      <c r="H330" t="s">
        <v>55</v>
      </c>
      <c r="I330" t="s">
        <v>49</v>
      </c>
      <c r="J330" t="s">
        <v>64</v>
      </c>
      <c r="K330" t="s">
        <v>759</v>
      </c>
      <c r="L330">
        <v>383.77</v>
      </c>
      <c r="M330">
        <v>952.56</v>
      </c>
      <c r="N330">
        <v>0.346</v>
      </c>
      <c r="O330">
        <v>10</v>
      </c>
    </row>
    <row r="331" spans="1:15">
      <c r="A331" t="s">
        <v>760</v>
      </c>
      <c r="B331" s="39">
        <v>45221</v>
      </c>
      <c r="C331" s="39">
        <v>45246</v>
      </c>
      <c r="D331" t="s">
        <v>52</v>
      </c>
      <c r="E331" t="s">
        <v>53</v>
      </c>
      <c r="F331" t="s">
        <v>54</v>
      </c>
      <c r="G331" t="s">
        <v>62</v>
      </c>
      <c r="H331" t="s">
        <v>40</v>
      </c>
      <c r="I331" t="s">
        <v>34</v>
      </c>
      <c r="J331" t="s">
        <v>57</v>
      </c>
      <c r="K331" t="s">
        <v>761</v>
      </c>
      <c r="L331">
        <v>1373.31</v>
      </c>
      <c r="M331">
        <v>3154.14</v>
      </c>
      <c r="N331">
        <v>0.2</v>
      </c>
      <c r="O331">
        <v>11</v>
      </c>
    </row>
    <row r="332" spans="1:15">
      <c r="A332" t="s">
        <v>762</v>
      </c>
      <c r="B332" s="39">
        <v>45668</v>
      </c>
      <c r="C332" s="39">
        <v>45680</v>
      </c>
      <c r="D332" t="s">
        <v>52</v>
      </c>
      <c r="E332" t="s">
        <v>122</v>
      </c>
      <c r="F332" t="s">
        <v>326</v>
      </c>
      <c r="G332" t="s">
        <v>48</v>
      </c>
      <c r="H332" t="s">
        <v>55</v>
      </c>
      <c r="I332" t="s">
        <v>92</v>
      </c>
      <c r="J332" t="s">
        <v>42</v>
      </c>
      <c r="K332" t="s">
        <v>763</v>
      </c>
      <c r="L332">
        <v>100.69</v>
      </c>
      <c r="M332">
        <v>226.14</v>
      </c>
      <c r="N332">
        <v>0.065</v>
      </c>
      <c r="O332">
        <v>12</v>
      </c>
    </row>
    <row r="333" spans="1:15">
      <c r="A333" t="s">
        <v>764</v>
      </c>
      <c r="B333" s="39">
        <v>45914</v>
      </c>
      <c r="C333" s="39">
        <v>45926</v>
      </c>
      <c r="D333" t="s">
        <v>78</v>
      </c>
      <c r="E333" t="s">
        <v>108</v>
      </c>
      <c r="F333" t="s">
        <v>152</v>
      </c>
      <c r="G333" t="s">
        <v>62</v>
      </c>
      <c r="H333" t="s">
        <v>98</v>
      </c>
      <c r="I333" t="s">
        <v>126</v>
      </c>
      <c r="J333" t="s">
        <v>35</v>
      </c>
      <c r="K333" t="s">
        <v>765</v>
      </c>
      <c r="L333">
        <v>425.15</v>
      </c>
      <c r="M333">
        <v>885.92</v>
      </c>
      <c r="N333">
        <v>0.239</v>
      </c>
      <c r="O333">
        <v>13</v>
      </c>
    </row>
    <row r="334" spans="1:15">
      <c r="A334" t="s">
        <v>766</v>
      </c>
      <c r="B334" s="39">
        <v>45168</v>
      </c>
      <c r="C334" s="39">
        <v>45172</v>
      </c>
      <c r="D334" t="s">
        <v>45</v>
      </c>
      <c r="E334" t="s">
        <v>60</v>
      </c>
      <c r="F334" t="s">
        <v>141</v>
      </c>
      <c r="G334" t="s">
        <v>62</v>
      </c>
      <c r="H334" t="s">
        <v>40</v>
      </c>
      <c r="I334" t="s">
        <v>49</v>
      </c>
      <c r="J334" t="s">
        <v>81</v>
      </c>
      <c r="K334" t="s">
        <v>767</v>
      </c>
      <c r="L334">
        <v>1082.25</v>
      </c>
      <c r="M334">
        <v>2433.34</v>
      </c>
      <c r="N334">
        <v>0.27</v>
      </c>
      <c r="O334">
        <v>4</v>
      </c>
    </row>
    <row r="335" spans="1:15">
      <c r="A335" t="s">
        <v>768</v>
      </c>
      <c r="B335" s="39">
        <v>45245</v>
      </c>
      <c r="C335" s="39">
        <v>45266</v>
      </c>
      <c r="D335" t="s">
        <v>78</v>
      </c>
      <c r="E335" t="s">
        <v>108</v>
      </c>
      <c r="F335" t="s">
        <v>228</v>
      </c>
      <c r="G335" t="s">
        <v>27</v>
      </c>
      <c r="H335" t="s">
        <v>98</v>
      </c>
      <c r="I335" t="s">
        <v>92</v>
      </c>
      <c r="J335" t="s">
        <v>81</v>
      </c>
      <c r="K335" t="s">
        <v>769</v>
      </c>
      <c r="L335">
        <v>1184.99</v>
      </c>
      <c r="M335">
        <v>1154.34</v>
      </c>
      <c r="N335">
        <v>0.028</v>
      </c>
      <c r="O335">
        <v>5</v>
      </c>
    </row>
    <row r="336" spans="1:15">
      <c r="A336" t="s">
        <v>770</v>
      </c>
      <c r="B336" s="39">
        <v>45774</v>
      </c>
      <c r="C336" s="39">
        <v>45804</v>
      </c>
      <c r="D336" t="s">
        <v>45</v>
      </c>
      <c r="E336" t="s">
        <v>60</v>
      </c>
      <c r="G336" t="s">
        <v>105</v>
      </c>
      <c r="H336" t="s">
        <v>40</v>
      </c>
      <c r="I336" t="s">
        <v>92</v>
      </c>
      <c r="J336" t="s">
        <v>42</v>
      </c>
      <c r="K336" t="s">
        <v>771</v>
      </c>
      <c r="L336">
        <v>481.32</v>
      </c>
      <c r="M336">
        <v>1135.99</v>
      </c>
      <c r="N336">
        <v>0.145</v>
      </c>
      <c r="O336">
        <v>5</v>
      </c>
    </row>
    <row r="337" spans="1:15">
      <c r="A337" t="s">
        <v>772</v>
      </c>
      <c r="B337" s="39">
        <v>45391</v>
      </c>
      <c r="C337" s="39">
        <v>45400</v>
      </c>
      <c r="D337" t="s">
        <v>78</v>
      </c>
      <c r="E337" t="s">
        <v>90</v>
      </c>
      <c r="F337" t="s">
        <v>138</v>
      </c>
      <c r="G337" t="s">
        <v>48</v>
      </c>
      <c r="H337" t="s">
        <v>28</v>
      </c>
      <c r="I337" t="s">
        <v>63</v>
      </c>
      <c r="J337" t="s">
        <v>30</v>
      </c>
      <c r="K337" t="s">
        <v>773</v>
      </c>
      <c r="L337">
        <v>1288.85</v>
      </c>
      <c r="M337">
        <v>2751.84</v>
      </c>
      <c r="N337">
        <v>0.158</v>
      </c>
      <c r="O337">
        <v>7</v>
      </c>
    </row>
    <row r="338" spans="1:15">
      <c r="A338" t="s">
        <v>774</v>
      </c>
      <c r="B338" s="39">
        <v>45484</v>
      </c>
      <c r="C338" s="39">
        <v>45504</v>
      </c>
      <c r="D338" t="s">
        <v>45</v>
      </c>
      <c r="E338" t="s">
        <v>116</v>
      </c>
      <c r="F338" t="s">
        <v>117</v>
      </c>
      <c r="G338" t="s">
        <v>48</v>
      </c>
      <c r="H338" t="s">
        <v>28</v>
      </c>
      <c r="I338" t="s">
        <v>41</v>
      </c>
      <c r="J338" t="s">
        <v>42</v>
      </c>
      <c r="K338" t="s">
        <v>775</v>
      </c>
      <c r="L338">
        <v>647.26</v>
      </c>
      <c r="M338">
        <v>1374.72</v>
      </c>
      <c r="N338">
        <v>0.066</v>
      </c>
      <c r="O338">
        <v>22</v>
      </c>
    </row>
    <row r="339" spans="1:15">
      <c r="A339" t="s">
        <v>776</v>
      </c>
      <c r="B339" s="39">
        <v>45340</v>
      </c>
      <c r="C339" s="39">
        <v>45354</v>
      </c>
      <c r="D339" t="s">
        <v>52</v>
      </c>
      <c r="E339" t="s">
        <v>73</v>
      </c>
      <c r="G339" t="s">
        <v>105</v>
      </c>
      <c r="H339" t="s">
        <v>55</v>
      </c>
      <c r="I339" t="s">
        <v>75</v>
      </c>
      <c r="J339" t="s">
        <v>30</v>
      </c>
      <c r="K339" t="s">
        <v>777</v>
      </c>
      <c r="L339">
        <v>624.23</v>
      </c>
      <c r="M339">
        <v>1318.37</v>
      </c>
      <c r="N339">
        <v>0.21</v>
      </c>
      <c r="O339">
        <v>37</v>
      </c>
    </row>
    <row r="340" spans="1:15">
      <c r="A340" t="s">
        <v>778</v>
      </c>
      <c r="B340" s="39">
        <v>45132</v>
      </c>
      <c r="C340" s="39">
        <v>45148</v>
      </c>
      <c r="D340" t="s">
        <v>16</v>
      </c>
      <c r="E340" t="s">
        <v>25</v>
      </c>
      <c r="F340" t="s">
        <v>26</v>
      </c>
      <c r="G340" t="s">
        <v>19</v>
      </c>
      <c r="H340" t="s">
        <v>55</v>
      </c>
      <c r="I340" t="s">
        <v>34</v>
      </c>
      <c r="J340" t="s">
        <v>81</v>
      </c>
      <c r="K340" t="s">
        <v>779</v>
      </c>
      <c r="L340">
        <v>506.83</v>
      </c>
      <c r="M340">
        <v>441.74</v>
      </c>
      <c r="N340">
        <v>0.24</v>
      </c>
      <c r="O340">
        <v>9</v>
      </c>
    </row>
    <row r="341" spans="1:15">
      <c r="A341" t="s">
        <v>780</v>
      </c>
      <c r="B341" s="39">
        <v>45121</v>
      </c>
      <c r="C341" s="39">
        <v>45128</v>
      </c>
      <c r="D341" t="s">
        <v>16</v>
      </c>
      <c r="E341" t="s">
        <v>148</v>
      </c>
      <c r="F341" t="s">
        <v>172</v>
      </c>
      <c r="G341" t="s">
        <v>105</v>
      </c>
      <c r="H341" t="s">
        <v>40</v>
      </c>
      <c r="J341" t="s">
        <v>64</v>
      </c>
      <c r="K341" t="s">
        <v>781</v>
      </c>
      <c r="L341">
        <v>620.74</v>
      </c>
      <c r="M341">
        <v>1330.07</v>
      </c>
      <c r="N341">
        <v>0.299</v>
      </c>
      <c r="O341">
        <v>28</v>
      </c>
    </row>
    <row r="342" spans="1:15">
      <c r="A342" t="s">
        <v>782</v>
      </c>
      <c r="B342" s="39">
        <v>45131</v>
      </c>
      <c r="C342" s="39">
        <v>45157</v>
      </c>
      <c r="D342" t="s">
        <v>16</v>
      </c>
      <c r="E342" t="s">
        <v>17</v>
      </c>
      <c r="F342" t="s">
        <v>33</v>
      </c>
      <c r="G342" t="s">
        <v>105</v>
      </c>
      <c r="H342" t="s">
        <v>55</v>
      </c>
      <c r="I342" t="s">
        <v>110</v>
      </c>
      <c r="J342" t="s">
        <v>81</v>
      </c>
      <c r="K342" t="s">
        <v>783</v>
      </c>
      <c r="L342">
        <v>661.45</v>
      </c>
      <c r="M342">
        <v>1634.86</v>
      </c>
      <c r="N342">
        <v>0.565</v>
      </c>
      <c r="O342">
        <v>24</v>
      </c>
    </row>
    <row r="343" spans="1:15">
      <c r="A343" t="s">
        <v>784</v>
      </c>
      <c r="B343" s="39">
        <v>45029</v>
      </c>
      <c r="C343" s="39">
        <v>45027</v>
      </c>
      <c r="D343" t="s">
        <v>52</v>
      </c>
      <c r="E343" t="s">
        <v>122</v>
      </c>
      <c r="F343" t="s">
        <v>167</v>
      </c>
      <c r="G343" t="s">
        <v>27</v>
      </c>
      <c r="H343" t="s">
        <v>40</v>
      </c>
      <c r="I343" t="s">
        <v>41</v>
      </c>
      <c r="J343" t="s">
        <v>35</v>
      </c>
      <c r="K343" t="s">
        <v>785</v>
      </c>
      <c r="L343">
        <v>32.1</v>
      </c>
      <c r="M343">
        <v>70.6</v>
      </c>
      <c r="N343">
        <v>0.282</v>
      </c>
      <c r="O343">
        <v>22</v>
      </c>
    </row>
    <row r="344" spans="1:15">
      <c r="A344" t="s">
        <v>786</v>
      </c>
      <c r="B344" s="39">
        <v>45594</v>
      </c>
      <c r="C344" s="39">
        <v>45600</v>
      </c>
      <c r="D344" t="s">
        <v>16</v>
      </c>
      <c r="E344" t="s">
        <v>17</v>
      </c>
      <c r="F344" t="s">
        <v>33</v>
      </c>
      <c r="G344" t="s">
        <v>19</v>
      </c>
      <c r="H344" t="s">
        <v>55</v>
      </c>
      <c r="I344" t="s">
        <v>110</v>
      </c>
      <c r="J344" t="s">
        <v>30</v>
      </c>
      <c r="K344" t="s">
        <v>787</v>
      </c>
      <c r="L344">
        <v>805.81</v>
      </c>
      <c r="M344">
        <v>1823.04</v>
      </c>
      <c r="N344">
        <v>0</v>
      </c>
      <c r="O344">
        <v>11</v>
      </c>
    </row>
    <row r="345" spans="1:15">
      <c r="A345" t="s">
        <v>788</v>
      </c>
      <c r="B345" s="39">
        <v>45339</v>
      </c>
      <c r="C345" s="39">
        <v>45355</v>
      </c>
      <c r="D345" t="s">
        <v>45</v>
      </c>
      <c r="E345" t="s">
        <v>60</v>
      </c>
      <c r="F345" t="s">
        <v>141</v>
      </c>
      <c r="G345" t="s">
        <v>62</v>
      </c>
      <c r="H345" t="s">
        <v>40</v>
      </c>
      <c r="I345" t="s">
        <v>84</v>
      </c>
      <c r="J345" t="s">
        <v>42</v>
      </c>
      <c r="K345" t="s">
        <v>789</v>
      </c>
      <c r="L345">
        <v>1231.8</v>
      </c>
      <c r="M345">
        <v>2015.99</v>
      </c>
      <c r="N345">
        <v>0.261</v>
      </c>
      <c r="O345">
        <v>6</v>
      </c>
    </row>
    <row r="346" spans="1:15">
      <c r="A346" t="s">
        <v>790</v>
      </c>
      <c r="B346" s="39">
        <v>45486</v>
      </c>
      <c r="C346" s="39">
        <v>45485</v>
      </c>
      <c r="D346" t="s">
        <v>45</v>
      </c>
      <c r="E346" t="s">
        <v>46</v>
      </c>
      <c r="F346" t="s">
        <v>231</v>
      </c>
      <c r="G346" t="s">
        <v>62</v>
      </c>
      <c r="H346" t="s">
        <v>40</v>
      </c>
      <c r="I346" t="s">
        <v>84</v>
      </c>
      <c r="J346" t="s">
        <v>35</v>
      </c>
      <c r="K346" t="s">
        <v>791</v>
      </c>
      <c r="L346">
        <v>105.13</v>
      </c>
      <c r="M346">
        <v>244.13</v>
      </c>
      <c r="N346">
        <v>0.071</v>
      </c>
      <c r="O346">
        <v>14</v>
      </c>
    </row>
    <row r="347" spans="1:15">
      <c r="A347" t="s">
        <v>792</v>
      </c>
      <c r="B347" s="39">
        <v>45261</v>
      </c>
      <c r="C347" s="39">
        <v>45278</v>
      </c>
      <c r="D347" t="s">
        <v>45</v>
      </c>
      <c r="E347" t="s">
        <v>46</v>
      </c>
      <c r="F347" t="s">
        <v>231</v>
      </c>
      <c r="G347" t="s">
        <v>62</v>
      </c>
      <c r="H347" t="s">
        <v>98</v>
      </c>
      <c r="I347" t="s">
        <v>126</v>
      </c>
      <c r="J347" t="s">
        <v>57</v>
      </c>
      <c r="K347" t="s">
        <v>793</v>
      </c>
      <c r="L347">
        <v>1495.79</v>
      </c>
      <c r="M347">
        <v>2783.12</v>
      </c>
      <c r="N347">
        <v>0.02</v>
      </c>
      <c r="O347">
        <v>5</v>
      </c>
    </row>
    <row r="348" spans="1:15">
      <c r="A348" t="s">
        <v>794</v>
      </c>
      <c r="B348" s="39">
        <v>45498</v>
      </c>
      <c r="C348" s="39">
        <v>45506</v>
      </c>
      <c r="D348" t="s">
        <v>52</v>
      </c>
      <c r="E348" t="s">
        <v>53</v>
      </c>
      <c r="F348" t="s">
        <v>144</v>
      </c>
      <c r="G348" t="s">
        <v>48</v>
      </c>
      <c r="H348" t="s">
        <v>98</v>
      </c>
      <c r="I348" t="s">
        <v>29</v>
      </c>
      <c r="J348" t="s">
        <v>81</v>
      </c>
      <c r="K348" t="s">
        <v>795</v>
      </c>
      <c r="L348">
        <v>986.81</v>
      </c>
      <c r="M348">
        <v>2050.31</v>
      </c>
      <c r="N348">
        <v>0.103</v>
      </c>
      <c r="O348">
        <v>43</v>
      </c>
    </row>
    <row r="349" spans="1:15">
      <c r="A349" t="s">
        <v>796</v>
      </c>
      <c r="B349" s="39">
        <v>45050</v>
      </c>
      <c r="C349" s="39">
        <v>45062</v>
      </c>
      <c r="D349" t="s">
        <v>16</v>
      </c>
      <c r="E349" t="s">
        <v>25</v>
      </c>
      <c r="F349" t="s">
        <v>67</v>
      </c>
      <c r="G349" t="s">
        <v>62</v>
      </c>
      <c r="H349" t="s">
        <v>40</v>
      </c>
      <c r="I349" t="s">
        <v>29</v>
      </c>
      <c r="J349" t="s">
        <v>42</v>
      </c>
      <c r="K349" t="s">
        <v>797</v>
      </c>
      <c r="L349">
        <v>77.74</v>
      </c>
      <c r="M349">
        <v>147.12</v>
      </c>
      <c r="N349">
        <v>0</v>
      </c>
      <c r="O349">
        <v>15</v>
      </c>
    </row>
    <row r="350" spans="1:15">
      <c r="A350" t="s">
        <v>798</v>
      </c>
      <c r="B350" s="39">
        <v>45281</v>
      </c>
      <c r="C350" s="39">
        <v>45297</v>
      </c>
      <c r="D350" t="s">
        <v>16</v>
      </c>
      <c r="E350" t="s">
        <v>25</v>
      </c>
      <c r="G350" t="s">
        <v>19</v>
      </c>
      <c r="H350" t="s">
        <v>40</v>
      </c>
      <c r="I350" t="s">
        <v>95</v>
      </c>
      <c r="J350" t="s">
        <v>22</v>
      </c>
      <c r="K350" t="s">
        <v>799</v>
      </c>
      <c r="L350">
        <v>932.61</v>
      </c>
      <c r="M350">
        <v>1982.98</v>
      </c>
      <c r="N350">
        <v>0.144</v>
      </c>
      <c r="O350">
        <v>16</v>
      </c>
    </row>
    <row r="351" spans="1:15">
      <c r="A351" t="s">
        <v>800</v>
      </c>
      <c r="B351" s="39">
        <v>45825</v>
      </c>
      <c r="C351" s="39">
        <v>45843</v>
      </c>
      <c r="D351" t="s">
        <v>45</v>
      </c>
      <c r="E351" t="s">
        <v>60</v>
      </c>
      <c r="F351" t="s">
        <v>141</v>
      </c>
      <c r="G351" t="s">
        <v>48</v>
      </c>
      <c r="H351" t="s">
        <v>40</v>
      </c>
      <c r="I351" t="s">
        <v>49</v>
      </c>
      <c r="J351" t="s">
        <v>57</v>
      </c>
      <c r="K351" t="s">
        <v>801</v>
      </c>
      <c r="L351">
        <v>982.93</v>
      </c>
      <c r="M351">
        <v>2299.3</v>
      </c>
      <c r="N351">
        <v>0.113</v>
      </c>
      <c r="O351">
        <v>6</v>
      </c>
    </row>
    <row r="352" spans="1:15">
      <c r="A352" t="s">
        <v>802</v>
      </c>
      <c r="B352" s="39">
        <v>44980</v>
      </c>
      <c r="C352" s="39">
        <v>44993</v>
      </c>
      <c r="D352" t="s">
        <v>78</v>
      </c>
      <c r="E352" t="s">
        <v>108</v>
      </c>
      <c r="F352" t="s">
        <v>228</v>
      </c>
      <c r="G352" t="s">
        <v>62</v>
      </c>
      <c r="H352" t="s">
        <v>98</v>
      </c>
      <c r="I352" t="s">
        <v>21</v>
      </c>
      <c r="J352" t="s">
        <v>30</v>
      </c>
      <c r="K352" t="s">
        <v>803</v>
      </c>
      <c r="L352">
        <v>307.37</v>
      </c>
      <c r="M352">
        <v>462.61</v>
      </c>
      <c r="N352">
        <v>0.188</v>
      </c>
      <c r="O352">
        <v>11</v>
      </c>
    </row>
    <row r="353" spans="1:15">
      <c r="A353" t="s">
        <v>804</v>
      </c>
      <c r="B353" s="39">
        <v>45262</v>
      </c>
      <c r="C353" s="39">
        <v>45276</v>
      </c>
      <c r="D353" t="s">
        <v>78</v>
      </c>
      <c r="E353" t="s">
        <v>79</v>
      </c>
      <c r="F353" t="s">
        <v>335</v>
      </c>
      <c r="G353" t="s">
        <v>27</v>
      </c>
      <c r="H353" t="s">
        <v>98</v>
      </c>
      <c r="I353" t="s">
        <v>126</v>
      </c>
      <c r="J353" t="s">
        <v>64</v>
      </c>
      <c r="K353" t="s">
        <v>805</v>
      </c>
      <c r="L353">
        <v>879.08</v>
      </c>
      <c r="M353">
        <v>1093.39</v>
      </c>
      <c r="N353">
        <v>0.113</v>
      </c>
      <c r="O353">
        <v>17</v>
      </c>
    </row>
    <row r="354" spans="1:15">
      <c r="A354" t="s">
        <v>806</v>
      </c>
      <c r="B354" s="39">
        <v>45121</v>
      </c>
      <c r="C354" s="39">
        <v>45121</v>
      </c>
      <c r="D354" t="s">
        <v>16</v>
      </c>
      <c r="E354" t="s">
        <v>25</v>
      </c>
      <c r="F354" t="s">
        <v>38</v>
      </c>
      <c r="G354" t="s">
        <v>27</v>
      </c>
      <c r="H354" t="s">
        <v>20</v>
      </c>
      <c r="I354" t="s">
        <v>34</v>
      </c>
      <c r="J354" t="s">
        <v>81</v>
      </c>
      <c r="K354" t="s">
        <v>807</v>
      </c>
      <c r="L354">
        <v>956.38</v>
      </c>
      <c r="M354">
        <v>1454.22</v>
      </c>
      <c r="N354">
        <v>0.039</v>
      </c>
      <c r="O354">
        <v>19</v>
      </c>
    </row>
    <row r="355" spans="1:15">
      <c r="A355" t="s">
        <v>808</v>
      </c>
      <c r="B355" s="39">
        <v>45512</v>
      </c>
      <c r="C355" s="39">
        <v>45524</v>
      </c>
      <c r="D355" t="s">
        <v>45</v>
      </c>
      <c r="E355" t="s">
        <v>46</v>
      </c>
      <c r="F355" t="s">
        <v>47</v>
      </c>
      <c r="G355" t="s">
        <v>62</v>
      </c>
      <c r="H355" t="s">
        <v>20</v>
      </c>
      <c r="I355" t="s">
        <v>92</v>
      </c>
      <c r="J355" t="s">
        <v>35</v>
      </c>
      <c r="K355" t="s">
        <v>809</v>
      </c>
      <c r="L355">
        <v>1233.36</v>
      </c>
      <c r="M355">
        <v>2120.4</v>
      </c>
      <c r="N355">
        <v>0.179</v>
      </c>
      <c r="O355">
        <v>20</v>
      </c>
    </row>
    <row r="356" spans="1:15">
      <c r="A356" t="s">
        <v>810</v>
      </c>
      <c r="B356" s="39">
        <v>45603</v>
      </c>
      <c r="C356" s="39">
        <v>45622</v>
      </c>
      <c r="D356" t="s">
        <v>52</v>
      </c>
      <c r="E356" t="s">
        <v>73</v>
      </c>
      <c r="F356" t="s">
        <v>225</v>
      </c>
      <c r="G356" t="s">
        <v>39</v>
      </c>
      <c r="H356" t="s">
        <v>55</v>
      </c>
      <c r="I356" t="s">
        <v>29</v>
      </c>
      <c r="J356" t="s">
        <v>30</v>
      </c>
      <c r="K356" t="s">
        <v>811</v>
      </c>
      <c r="L356">
        <v>55.35</v>
      </c>
      <c r="M356">
        <v>128.68</v>
      </c>
      <c r="N356">
        <v>0.128</v>
      </c>
      <c r="O356">
        <v>10</v>
      </c>
    </row>
    <row r="357" spans="1:15">
      <c r="A357" t="s">
        <v>812</v>
      </c>
      <c r="B357" s="39">
        <v>45292</v>
      </c>
      <c r="C357" s="39">
        <v>45318</v>
      </c>
      <c r="D357" t="s">
        <v>78</v>
      </c>
      <c r="E357" t="s">
        <v>108</v>
      </c>
      <c r="F357" t="s">
        <v>228</v>
      </c>
      <c r="G357" t="s">
        <v>27</v>
      </c>
      <c r="H357" t="s">
        <v>55</v>
      </c>
      <c r="I357" t="s">
        <v>145</v>
      </c>
      <c r="J357" t="s">
        <v>81</v>
      </c>
      <c r="K357" t="s">
        <v>813</v>
      </c>
      <c r="L357">
        <v>657.45</v>
      </c>
      <c r="M357">
        <v>1325.96</v>
      </c>
      <c r="N357">
        <v>0.167</v>
      </c>
      <c r="O357">
        <v>21</v>
      </c>
    </row>
    <row r="358" spans="1:15">
      <c r="A358" t="s">
        <v>814</v>
      </c>
      <c r="B358" s="39">
        <v>45883</v>
      </c>
      <c r="C358" s="39">
        <v>45911</v>
      </c>
      <c r="D358" t="s">
        <v>52</v>
      </c>
      <c r="E358" t="s">
        <v>73</v>
      </c>
      <c r="F358" t="s">
        <v>74</v>
      </c>
      <c r="G358" t="s">
        <v>39</v>
      </c>
      <c r="H358" t="s">
        <v>98</v>
      </c>
      <c r="I358" t="s">
        <v>84</v>
      </c>
      <c r="J358" t="s">
        <v>30</v>
      </c>
      <c r="K358" t="s">
        <v>815</v>
      </c>
      <c r="L358">
        <v>1203.02</v>
      </c>
      <c r="M358">
        <v>2439.33</v>
      </c>
      <c r="N358">
        <v>0</v>
      </c>
      <c r="O358">
        <v>18</v>
      </c>
    </row>
    <row r="359" spans="1:15">
      <c r="A359" t="s">
        <v>816</v>
      </c>
      <c r="B359" s="39">
        <v>45385</v>
      </c>
      <c r="C359" s="39">
        <v>45403</v>
      </c>
      <c r="D359" t="s">
        <v>52</v>
      </c>
      <c r="E359" t="s">
        <v>73</v>
      </c>
      <c r="F359" t="s">
        <v>87</v>
      </c>
      <c r="G359" t="s">
        <v>62</v>
      </c>
      <c r="H359" t="s">
        <v>55</v>
      </c>
      <c r="I359" t="s">
        <v>56</v>
      </c>
      <c r="J359" t="s">
        <v>35</v>
      </c>
      <c r="K359" t="s">
        <v>817</v>
      </c>
      <c r="L359">
        <v>1176.69</v>
      </c>
      <c r="M359">
        <v>2201.54</v>
      </c>
      <c r="N359">
        <v>0.17</v>
      </c>
      <c r="O359">
        <v>27</v>
      </c>
    </row>
    <row r="360" spans="1:15">
      <c r="A360" t="s">
        <v>818</v>
      </c>
      <c r="B360" s="39">
        <v>45621</v>
      </c>
      <c r="C360" s="39">
        <v>45633</v>
      </c>
      <c r="D360" t="s">
        <v>45</v>
      </c>
      <c r="E360" t="s">
        <v>116</v>
      </c>
      <c r="F360" t="s">
        <v>162</v>
      </c>
      <c r="G360" t="s">
        <v>19</v>
      </c>
      <c r="H360" t="s">
        <v>55</v>
      </c>
      <c r="I360" t="s">
        <v>75</v>
      </c>
      <c r="J360" t="s">
        <v>81</v>
      </c>
      <c r="K360" t="s">
        <v>819</v>
      </c>
      <c r="L360">
        <v>769.9</v>
      </c>
      <c r="M360">
        <v>814.36</v>
      </c>
      <c r="N360">
        <v>0</v>
      </c>
      <c r="O360">
        <v>5</v>
      </c>
    </row>
    <row r="361" spans="1:15">
      <c r="A361" t="s">
        <v>820</v>
      </c>
      <c r="B361" s="39">
        <v>45309</v>
      </c>
      <c r="C361" s="39">
        <v>45325</v>
      </c>
      <c r="D361" t="s">
        <v>16</v>
      </c>
      <c r="E361" t="s">
        <v>148</v>
      </c>
      <c r="F361" t="s">
        <v>258</v>
      </c>
      <c r="G361" t="s">
        <v>39</v>
      </c>
      <c r="H361" t="s">
        <v>55</v>
      </c>
      <c r="I361" t="s">
        <v>49</v>
      </c>
      <c r="J361" t="s">
        <v>30</v>
      </c>
      <c r="K361" t="s">
        <v>821</v>
      </c>
      <c r="L361">
        <v>666.23</v>
      </c>
      <c r="M361">
        <v>1382.91</v>
      </c>
      <c r="N361">
        <v>0.176</v>
      </c>
      <c r="O361">
        <v>13</v>
      </c>
    </row>
    <row r="362" spans="1:15">
      <c r="A362" t="s">
        <v>822</v>
      </c>
      <c r="B362" s="39">
        <v>45466</v>
      </c>
      <c r="C362" s="39">
        <v>45468</v>
      </c>
      <c r="D362" t="s">
        <v>78</v>
      </c>
      <c r="E362" t="s">
        <v>108</v>
      </c>
      <c r="F362" t="s">
        <v>109</v>
      </c>
      <c r="G362" t="s">
        <v>62</v>
      </c>
      <c r="H362" t="s">
        <v>40</v>
      </c>
      <c r="I362" t="s">
        <v>49</v>
      </c>
      <c r="J362" t="s">
        <v>81</v>
      </c>
      <c r="K362" t="s">
        <v>823</v>
      </c>
      <c r="L362">
        <v>951.44</v>
      </c>
      <c r="M362">
        <v>1646.43</v>
      </c>
      <c r="N362">
        <v>0.11</v>
      </c>
      <c r="O362">
        <v>24</v>
      </c>
    </row>
    <row r="363" spans="1:15">
      <c r="A363" t="s">
        <v>824</v>
      </c>
      <c r="B363" s="39">
        <v>45833</v>
      </c>
      <c r="C363" s="39">
        <v>45848</v>
      </c>
      <c r="D363" t="s">
        <v>78</v>
      </c>
      <c r="E363" t="s">
        <v>108</v>
      </c>
      <c r="F363" t="s">
        <v>109</v>
      </c>
      <c r="G363" t="s">
        <v>39</v>
      </c>
      <c r="H363" t="s">
        <v>40</v>
      </c>
      <c r="I363" t="s">
        <v>145</v>
      </c>
      <c r="J363" t="s">
        <v>42</v>
      </c>
      <c r="K363" t="s">
        <v>825</v>
      </c>
      <c r="L363">
        <v>546.83</v>
      </c>
      <c r="M363">
        <v>400.84</v>
      </c>
      <c r="N363">
        <v>0.078</v>
      </c>
      <c r="O363">
        <v>13</v>
      </c>
    </row>
    <row r="364" spans="1:15">
      <c r="A364" t="s">
        <v>826</v>
      </c>
      <c r="B364" s="39">
        <v>45108</v>
      </c>
      <c r="C364" s="39">
        <v>45115</v>
      </c>
      <c r="D364" t="s">
        <v>16</v>
      </c>
      <c r="E364" t="s">
        <v>25</v>
      </c>
      <c r="F364" t="s">
        <v>26</v>
      </c>
      <c r="G364" t="s">
        <v>19</v>
      </c>
      <c r="H364" t="s">
        <v>20</v>
      </c>
      <c r="I364" t="s">
        <v>75</v>
      </c>
      <c r="J364" t="s">
        <v>57</v>
      </c>
      <c r="K364" t="s">
        <v>827</v>
      </c>
      <c r="L364">
        <v>834.26</v>
      </c>
      <c r="M364">
        <v>1780.56</v>
      </c>
      <c r="N364">
        <v>0.014</v>
      </c>
      <c r="O364">
        <v>47</v>
      </c>
    </row>
    <row r="365" spans="1:15">
      <c r="A365" t="s">
        <v>828</v>
      </c>
      <c r="B365" s="39">
        <v>45360</v>
      </c>
      <c r="C365" s="39">
        <v>45377</v>
      </c>
      <c r="D365" t="s">
        <v>45</v>
      </c>
      <c r="E365" t="s">
        <v>116</v>
      </c>
      <c r="F365" t="s">
        <v>117</v>
      </c>
      <c r="G365" t="s">
        <v>105</v>
      </c>
      <c r="H365" t="s">
        <v>28</v>
      </c>
      <c r="I365" t="s">
        <v>95</v>
      </c>
      <c r="J365" t="s">
        <v>64</v>
      </c>
      <c r="K365" t="s">
        <v>829</v>
      </c>
      <c r="L365">
        <v>1029.67</v>
      </c>
      <c r="M365">
        <v>1118.43</v>
      </c>
      <c r="N365">
        <v>0.272</v>
      </c>
      <c r="O365">
        <v>9</v>
      </c>
    </row>
    <row r="366" spans="1:15">
      <c r="A366" t="s">
        <v>830</v>
      </c>
      <c r="B366" s="39">
        <v>45082</v>
      </c>
      <c r="C366" s="39">
        <v>45105</v>
      </c>
      <c r="D366" t="s">
        <v>78</v>
      </c>
      <c r="E366" t="s">
        <v>108</v>
      </c>
      <c r="F366" t="s">
        <v>109</v>
      </c>
      <c r="G366" t="s">
        <v>19</v>
      </c>
      <c r="H366" t="s">
        <v>98</v>
      </c>
      <c r="I366" t="s">
        <v>95</v>
      </c>
      <c r="J366" t="s">
        <v>30</v>
      </c>
      <c r="K366" t="s">
        <v>831</v>
      </c>
      <c r="L366">
        <v>605.82</v>
      </c>
      <c r="M366">
        <v>771.12</v>
      </c>
      <c r="N366">
        <v>0.132</v>
      </c>
      <c r="O366">
        <v>19</v>
      </c>
    </row>
    <row r="367" spans="1:15">
      <c r="A367" t="s">
        <v>832</v>
      </c>
      <c r="B367" s="39">
        <v>45737</v>
      </c>
      <c r="C367" s="39">
        <v>45756</v>
      </c>
      <c r="D367" t="s">
        <v>45</v>
      </c>
      <c r="E367" t="s">
        <v>46</v>
      </c>
      <c r="F367" t="s">
        <v>214</v>
      </c>
      <c r="G367" t="s">
        <v>62</v>
      </c>
      <c r="H367" t="s">
        <v>55</v>
      </c>
      <c r="I367" t="s">
        <v>63</v>
      </c>
      <c r="J367" t="s">
        <v>22</v>
      </c>
      <c r="K367" t="s">
        <v>833</v>
      </c>
      <c r="L367">
        <v>1055.45</v>
      </c>
      <c r="M367">
        <v>1210.04</v>
      </c>
      <c r="N367">
        <v>0.009</v>
      </c>
      <c r="O367">
        <v>18</v>
      </c>
    </row>
    <row r="368" spans="1:15">
      <c r="A368" t="s">
        <v>834</v>
      </c>
      <c r="B368" s="39">
        <v>45445</v>
      </c>
      <c r="C368" s="39">
        <v>45458</v>
      </c>
      <c r="D368" t="s">
        <v>16</v>
      </c>
      <c r="E368" t="s">
        <v>17</v>
      </c>
      <c r="F368" t="s">
        <v>113</v>
      </c>
      <c r="G368" t="s">
        <v>27</v>
      </c>
      <c r="H368" t="s">
        <v>28</v>
      </c>
      <c r="I368" t="s">
        <v>68</v>
      </c>
      <c r="J368" t="s">
        <v>42</v>
      </c>
      <c r="K368" t="s">
        <v>835</v>
      </c>
      <c r="L368">
        <v>1295.18</v>
      </c>
      <c r="M368">
        <v>3024.03</v>
      </c>
      <c r="N368">
        <v>0.192</v>
      </c>
      <c r="O368">
        <v>8</v>
      </c>
    </row>
    <row r="369" spans="1:15">
      <c r="A369" t="s">
        <v>836</v>
      </c>
      <c r="B369" s="39">
        <v>45731</v>
      </c>
      <c r="C369" s="39">
        <v>45745</v>
      </c>
      <c r="D369" t="s">
        <v>45</v>
      </c>
      <c r="E369" t="s">
        <v>60</v>
      </c>
      <c r="F369" t="s">
        <v>220</v>
      </c>
      <c r="G369" t="s">
        <v>105</v>
      </c>
      <c r="H369" t="s">
        <v>98</v>
      </c>
      <c r="I369" t="s">
        <v>21</v>
      </c>
      <c r="J369" t="s">
        <v>22</v>
      </c>
      <c r="K369" t="s">
        <v>837</v>
      </c>
      <c r="L369">
        <v>935.83</v>
      </c>
      <c r="M369">
        <v>2303.46</v>
      </c>
      <c r="N369">
        <v>0.105</v>
      </c>
      <c r="O369">
        <v>9</v>
      </c>
    </row>
    <row r="370" spans="1:15">
      <c r="A370" t="s">
        <v>838</v>
      </c>
      <c r="B370" s="39">
        <v>45194</v>
      </c>
      <c r="C370" s="39">
        <v>45208</v>
      </c>
      <c r="D370" t="s">
        <v>52</v>
      </c>
      <c r="E370" t="s">
        <v>122</v>
      </c>
      <c r="F370" t="s">
        <v>387</v>
      </c>
      <c r="G370" t="s">
        <v>62</v>
      </c>
      <c r="H370" t="s">
        <v>40</v>
      </c>
      <c r="I370" t="s">
        <v>29</v>
      </c>
      <c r="J370" t="s">
        <v>57</v>
      </c>
      <c r="K370" t="s">
        <v>839</v>
      </c>
      <c r="L370">
        <v>1279.56</v>
      </c>
      <c r="M370">
        <v>3083.8</v>
      </c>
      <c r="N370">
        <v>0.106</v>
      </c>
      <c r="O370">
        <v>5</v>
      </c>
    </row>
    <row r="371" spans="1:15">
      <c r="A371" t="s">
        <v>840</v>
      </c>
      <c r="B371" s="39">
        <v>45832</v>
      </c>
      <c r="C371" s="39">
        <v>45861</v>
      </c>
      <c r="D371" t="s">
        <v>52</v>
      </c>
      <c r="E371" t="s">
        <v>53</v>
      </c>
      <c r="F371" t="s">
        <v>179</v>
      </c>
      <c r="G371" t="s">
        <v>39</v>
      </c>
      <c r="H371" t="s">
        <v>40</v>
      </c>
      <c r="I371" t="s">
        <v>34</v>
      </c>
      <c r="J371" t="s">
        <v>30</v>
      </c>
      <c r="K371" t="s">
        <v>841</v>
      </c>
      <c r="L371">
        <v>255.4</v>
      </c>
      <c r="M371">
        <v>322.71</v>
      </c>
      <c r="N371">
        <v>0.115</v>
      </c>
      <c r="O371">
        <v>16</v>
      </c>
    </row>
    <row r="372" spans="1:15">
      <c r="A372" t="s">
        <v>842</v>
      </c>
      <c r="B372" s="39">
        <v>45286</v>
      </c>
      <c r="C372" s="39">
        <v>45294</v>
      </c>
      <c r="D372" t="s">
        <v>78</v>
      </c>
      <c r="E372" t="s">
        <v>90</v>
      </c>
      <c r="F372" t="s">
        <v>138</v>
      </c>
      <c r="G372" t="s">
        <v>62</v>
      </c>
      <c r="H372" t="s">
        <v>20</v>
      </c>
      <c r="I372" t="s">
        <v>110</v>
      </c>
      <c r="J372" t="s">
        <v>57</v>
      </c>
      <c r="K372" t="s">
        <v>843</v>
      </c>
      <c r="L372">
        <v>492.75</v>
      </c>
      <c r="M372">
        <v>731.29</v>
      </c>
      <c r="N372">
        <v>0.058</v>
      </c>
      <c r="O372">
        <v>6</v>
      </c>
    </row>
    <row r="373" spans="1:15">
      <c r="A373" t="s">
        <v>844</v>
      </c>
      <c r="B373" s="39">
        <v>44962</v>
      </c>
      <c r="C373" s="39">
        <v>44985</v>
      </c>
      <c r="D373" t="s">
        <v>52</v>
      </c>
      <c r="E373" t="s">
        <v>122</v>
      </c>
      <c r="F373" t="s">
        <v>326</v>
      </c>
      <c r="G373" t="s">
        <v>39</v>
      </c>
      <c r="H373" t="s">
        <v>55</v>
      </c>
      <c r="I373" t="s">
        <v>49</v>
      </c>
      <c r="J373" t="s">
        <v>42</v>
      </c>
      <c r="K373" t="s">
        <v>845</v>
      </c>
      <c r="L373">
        <v>1214.49</v>
      </c>
      <c r="M373">
        <v>1533.95</v>
      </c>
      <c r="N373">
        <v>0</v>
      </c>
      <c r="O373">
        <v>11</v>
      </c>
    </row>
    <row r="374" spans="1:15">
      <c r="A374" t="s">
        <v>846</v>
      </c>
      <c r="B374" s="39">
        <v>45022</v>
      </c>
      <c r="C374" s="39">
        <v>45024</v>
      </c>
      <c r="D374" t="s">
        <v>16</v>
      </c>
      <c r="E374" t="s">
        <v>25</v>
      </c>
      <c r="F374" t="s">
        <v>67</v>
      </c>
      <c r="G374" t="s">
        <v>62</v>
      </c>
      <c r="H374" t="s">
        <v>40</v>
      </c>
      <c r="I374" t="s">
        <v>95</v>
      </c>
      <c r="J374" t="s">
        <v>64</v>
      </c>
      <c r="K374" t="s">
        <v>847</v>
      </c>
      <c r="L374">
        <v>720.35</v>
      </c>
      <c r="M374">
        <v>1571.66</v>
      </c>
      <c r="N374">
        <v>0.107</v>
      </c>
      <c r="O374">
        <v>23</v>
      </c>
    </row>
    <row r="375" spans="1:15">
      <c r="A375" t="s">
        <v>848</v>
      </c>
      <c r="B375" s="39">
        <v>45751</v>
      </c>
      <c r="C375" s="39">
        <v>45757</v>
      </c>
      <c r="D375" t="s">
        <v>78</v>
      </c>
      <c r="E375" t="s">
        <v>108</v>
      </c>
      <c r="F375" t="s">
        <v>109</v>
      </c>
      <c r="G375" t="s">
        <v>39</v>
      </c>
      <c r="H375" t="s">
        <v>98</v>
      </c>
      <c r="I375" t="s">
        <v>126</v>
      </c>
      <c r="J375" t="s">
        <v>30</v>
      </c>
      <c r="K375" t="s">
        <v>849</v>
      </c>
      <c r="L375">
        <v>290.14</v>
      </c>
      <c r="M375">
        <v>250.73</v>
      </c>
      <c r="N375">
        <v>0.034</v>
      </c>
      <c r="O375">
        <v>17</v>
      </c>
    </row>
    <row r="376" spans="1:15">
      <c r="A376" t="s">
        <v>850</v>
      </c>
      <c r="B376" s="39">
        <v>45429</v>
      </c>
      <c r="C376" s="39">
        <v>45439</v>
      </c>
      <c r="D376" t="s">
        <v>52</v>
      </c>
      <c r="E376" t="s">
        <v>122</v>
      </c>
      <c r="F376" t="s">
        <v>326</v>
      </c>
      <c r="G376" t="s">
        <v>39</v>
      </c>
      <c r="H376" t="s">
        <v>28</v>
      </c>
      <c r="I376" t="s">
        <v>21</v>
      </c>
      <c r="J376" t="s">
        <v>42</v>
      </c>
      <c r="K376" t="s">
        <v>851</v>
      </c>
      <c r="L376">
        <v>1484.23</v>
      </c>
      <c r="M376">
        <v>3472.81</v>
      </c>
      <c r="N376">
        <v>0.256</v>
      </c>
      <c r="O376">
        <v>12</v>
      </c>
    </row>
    <row r="377" spans="1:15">
      <c r="A377" t="s">
        <v>852</v>
      </c>
      <c r="B377" s="39">
        <v>45354</v>
      </c>
      <c r="C377" s="39">
        <v>45370</v>
      </c>
      <c r="D377" t="s">
        <v>45</v>
      </c>
      <c r="E377" t="s">
        <v>116</v>
      </c>
      <c r="F377" t="s">
        <v>338</v>
      </c>
      <c r="G377" t="s">
        <v>48</v>
      </c>
      <c r="H377" t="s">
        <v>55</v>
      </c>
      <c r="I377" t="s">
        <v>41</v>
      </c>
      <c r="J377" t="s">
        <v>42</v>
      </c>
      <c r="K377" t="s">
        <v>853</v>
      </c>
      <c r="L377">
        <v>988.83</v>
      </c>
      <c r="M377">
        <v>1206.04</v>
      </c>
      <c r="N377">
        <v>0.063</v>
      </c>
      <c r="O377">
        <v>34</v>
      </c>
    </row>
    <row r="378" spans="1:15">
      <c r="A378" t="s">
        <v>854</v>
      </c>
      <c r="B378" s="39">
        <v>45835</v>
      </c>
      <c r="C378" s="39">
        <v>45849</v>
      </c>
      <c r="D378" t="s">
        <v>45</v>
      </c>
      <c r="E378" t="s">
        <v>116</v>
      </c>
      <c r="F378" t="s">
        <v>162</v>
      </c>
      <c r="G378" t="s">
        <v>62</v>
      </c>
      <c r="H378" t="s">
        <v>40</v>
      </c>
      <c r="I378" t="s">
        <v>49</v>
      </c>
      <c r="J378" t="s">
        <v>35</v>
      </c>
      <c r="K378" t="s">
        <v>855</v>
      </c>
      <c r="L378">
        <v>1227.7</v>
      </c>
      <c r="M378">
        <v>2197.23</v>
      </c>
      <c r="N378">
        <v>0.099</v>
      </c>
      <c r="O378">
        <v>22</v>
      </c>
    </row>
    <row r="379" spans="1:15">
      <c r="A379" t="s">
        <v>856</v>
      </c>
      <c r="B379" s="39">
        <v>44998</v>
      </c>
      <c r="C379" s="39">
        <v>45020</v>
      </c>
      <c r="D379" t="s">
        <v>16</v>
      </c>
      <c r="E379" t="s">
        <v>148</v>
      </c>
      <c r="F379" t="s">
        <v>172</v>
      </c>
      <c r="G379" t="s">
        <v>62</v>
      </c>
      <c r="H379" t="s">
        <v>20</v>
      </c>
      <c r="I379" t="s">
        <v>75</v>
      </c>
      <c r="J379" t="s">
        <v>22</v>
      </c>
      <c r="K379" t="s">
        <v>857</v>
      </c>
      <c r="L379">
        <v>1113.7</v>
      </c>
      <c r="M379">
        <v>1620.6</v>
      </c>
      <c r="N379">
        <v>0.139</v>
      </c>
      <c r="O379">
        <v>11</v>
      </c>
    </row>
    <row r="380" spans="1:15">
      <c r="A380" t="s">
        <v>858</v>
      </c>
      <c r="B380" s="39">
        <v>45664</v>
      </c>
      <c r="C380" s="39">
        <v>45677</v>
      </c>
      <c r="D380" t="s">
        <v>16</v>
      </c>
      <c r="E380" t="s">
        <v>148</v>
      </c>
      <c r="F380" t="s">
        <v>258</v>
      </c>
      <c r="G380" t="s">
        <v>19</v>
      </c>
      <c r="H380" t="s">
        <v>98</v>
      </c>
      <c r="I380" t="s">
        <v>95</v>
      </c>
      <c r="J380" t="s">
        <v>35</v>
      </c>
      <c r="K380" t="s">
        <v>859</v>
      </c>
      <c r="L380">
        <v>432.13</v>
      </c>
      <c r="M380">
        <v>1034.66</v>
      </c>
      <c r="N380">
        <v>0.092</v>
      </c>
      <c r="O380">
        <v>7</v>
      </c>
    </row>
    <row r="381" spans="1:15">
      <c r="A381" t="s">
        <v>860</v>
      </c>
      <c r="B381" s="39">
        <v>45694</v>
      </c>
      <c r="C381" s="39">
        <v>45703</v>
      </c>
      <c r="D381" t="s">
        <v>52</v>
      </c>
      <c r="E381" t="s">
        <v>73</v>
      </c>
      <c r="F381" t="s">
        <v>74</v>
      </c>
      <c r="G381" t="s">
        <v>39</v>
      </c>
      <c r="H381" t="s">
        <v>55</v>
      </c>
      <c r="I381" t="s">
        <v>84</v>
      </c>
      <c r="J381" t="s">
        <v>35</v>
      </c>
      <c r="K381" t="s">
        <v>861</v>
      </c>
      <c r="L381">
        <v>837.39</v>
      </c>
      <c r="M381">
        <v>1905.42</v>
      </c>
      <c r="N381">
        <v>0.032</v>
      </c>
      <c r="O381">
        <v>18</v>
      </c>
    </row>
    <row r="382" spans="1:15">
      <c r="A382" t="s">
        <v>862</v>
      </c>
      <c r="B382" s="39">
        <v>45688</v>
      </c>
      <c r="C382" s="39">
        <v>45705</v>
      </c>
      <c r="D382" t="s">
        <v>78</v>
      </c>
      <c r="E382" t="s">
        <v>108</v>
      </c>
      <c r="F382" t="s">
        <v>152</v>
      </c>
      <c r="G382" t="s">
        <v>105</v>
      </c>
      <c r="H382" t="s">
        <v>20</v>
      </c>
      <c r="I382" t="s">
        <v>92</v>
      </c>
      <c r="J382" t="s">
        <v>22</v>
      </c>
      <c r="K382" t="s">
        <v>254</v>
      </c>
      <c r="L382">
        <v>378.26</v>
      </c>
      <c r="M382">
        <v>541.56</v>
      </c>
      <c r="N382">
        <v>0.163</v>
      </c>
      <c r="O382">
        <v>25</v>
      </c>
    </row>
    <row r="383" spans="1:15">
      <c r="A383" t="s">
        <v>863</v>
      </c>
      <c r="B383" s="39">
        <v>45876</v>
      </c>
      <c r="C383" s="39">
        <v>45906</v>
      </c>
      <c r="D383" t="s">
        <v>52</v>
      </c>
      <c r="E383" t="s">
        <v>53</v>
      </c>
      <c r="F383" t="s">
        <v>144</v>
      </c>
      <c r="G383" t="s">
        <v>27</v>
      </c>
      <c r="H383" t="s">
        <v>98</v>
      </c>
      <c r="I383" t="s">
        <v>110</v>
      </c>
      <c r="J383" t="s">
        <v>35</v>
      </c>
      <c r="K383" t="s">
        <v>864</v>
      </c>
      <c r="L383">
        <v>833.73</v>
      </c>
      <c r="M383">
        <v>1116.6</v>
      </c>
      <c r="N383">
        <v>0.176</v>
      </c>
      <c r="O383">
        <v>14</v>
      </c>
    </row>
    <row r="384" spans="1:15">
      <c r="A384" t="s">
        <v>865</v>
      </c>
      <c r="B384" s="39">
        <v>45861</v>
      </c>
      <c r="C384" s="39">
        <v>45886</v>
      </c>
      <c r="D384" t="s">
        <v>78</v>
      </c>
      <c r="E384" t="s">
        <v>108</v>
      </c>
      <c r="F384" t="s">
        <v>109</v>
      </c>
      <c r="G384" t="s">
        <v>27</v>
      </c>
      <c r="H384" t="s">
        <v>28</v>
      </c>
      <c r="I384" t="s">
        <v>34</v>
      </c>
      <c r="J384" t="s">
        <v>30</v>
      </c>
      <c r="K384" t="s">
        <v>866</v>
      </c>
      <c r="L384">
        <v>1142.06</v>
      </c>
      <c r="M384">
        <v>1455</v>
      </c>
      <c r="N384">
        <v>0.078</v>
      </c>
      <c r="O384">
        <v>28</v>
      </c>
    </row>
    <row r="385" spans="1:15">
      <c r="A385" t="s">
        <v>867</v>
      </c>
      <c r="B385" s="39">
        <v>45097</v>
      </c>
      <c r="C385" s="39">
        <v>45115</v>
      </c>
      <c r="D385" t="s">
        <v>52</v>
      </c>
      <c r="E385" t="s">
        <v>122</v>
      </c>
      <c r="F385" t="s">
        <v>387</v>
      </c>
      <c r="G385" t="s">
        <v>48</v>
      </c>
      <c r="H385" t="s">
        <v>40</v>
      </c>
      <c r="I385" t="s">
        <v>68</v>
      </c>
      <c r="J385" t="s">
        <v>35</v>
      </c>
      <c r="K385" t="s">
        <v>868</v>
      </c>
      <c r="L385">
        <v>1145.53</v>
      </c>
      <c r="M385">
        <v>1278.3</v>
      </c>
      <c r="N385">
        <v>0.09</v>
      </c>
      <c r="O385">
        <v>41</v>
      </c>
    </row>
    <row r="386" spans="1:15">
      <c r="A386" t="s">
        <v>869</v>
      </c>
      <c r="B386" s="39">
        <v>45491</v>
      </c>
      <c r="C386" s="39">
        <v>45511</v>
      </c>
      <c r="D386" t="s">
        <v>78</v>
      </c>
      <c r="E386" t="s">
        <v>90</v>
      </c>
      <c r="F386" t="s">
        <v>91</v>
      </c>
      <c r="G386" t="s">
        <v>19</v>
      </c>
      <c r="H386" t="s">
        <v>20</v>
      </c>
      <c r="I386" t="s">
        <v>84</v>
      </c>
      <c r="J386" t="s">
        <v>64</v>
      </c>
      <c r="K386" t="s">
        <v>870</v>
      </c>
      <c r="L386">
        <v>941.35</v>
      </c>
      <c r="M386">
        <v>899.83</v>
      </c>
      <c r="N386">
        <v>0.058</v>
      </c>
      <c r="O386">
        <v>18</v>
      </c>
    </row>
    <row r="387" spans="1:15">
      <c r="A387" t="s">
        <v>871</v>
      </c>
      <c r="B387" s="39">
        <v>45066</v>
      </c>
      <c r="C387" s="39">
        <v>45096</v>
      </c>
      <c r="D387" t="s">
        <v>45</v>
      </c>
      <c r="E387" t="s">
        <v>60</v>
      </c>
      <c r="F387" t="s">
        <v>141</v>
      </c>
      <c r="G387" t="s">
        <v>39</v>
      </c>
      <c r="H387" t="s">
        <v>40</v>
      </c>
      <c r="I387" t="s">
        <v>92</v>
      </c>
      <c r="J387" t="s">
        <v>57</v>
      </c>
      <c r="K387" t="s">
        <v>872</v>
      </c>
      <c r="L387">
        <v>1161.2</v>
      </c>
      <c r="M387">
        <v>878.73</v>
      </c>
      <c r="N387">
        <v>0.19</v>
      </c>
      <c r="O387">
        <v>31</v>
      </c>
    </row>
    <row r="388" spans="1:15">
      <c r="A388" t="s">
        <v>873</v>
      </c>
      <c r="B388" s="39">
        <v>45789</v>
      </c>
      <c r="C388" s="39">
        <v>45803</v>
      </c>
      <c r="D388" t="s">
        <v>45</v>
      </c>
      <c r="E388" t="s">
        <v>60</v>
      </c>
      <c r="F388" t="s">
        <v>281</v>
      </c>
      <c r="G388" t="s">
        <v>19</v>
      </c>
      <c r="H388" t="s">
        <v>40</v>
      </c>
      <c r="I388" t="s">
        <v>41</v>
      </c>
      <c r="J388" t="s">
        <v>30</v>
      </c>
      <c r="K388" t="s">
        <v>874</v>
      </c>
      <c r="L388">
        <v>320.12</v>
      </c>
      <c r="M388">
        <v>594.42</v>
      </c>
      <c r="N388">
        <v>0.104</v>
      </c>
      <c r="O388">
        <v>18</v>
      </c>
    </row>
    <row r="389" spans="1:15">
      <c r="A389" t="s">
        <v>875</v>
      </c>
      <c r="B389" s="39">
        <v>45419</v>
      </c>
      <c r="C389" s="39">
        <v>45424</v>
      </c>
      <c r="D389" t="s">
        <v>16</v>
      </c>
      <c r="E389" t="s">
        <v>25</v>
      </c>
      <c r="F389" t="s">
        <v>67</v>
      </c>
      <c r="G389" t="s">
        <v>39</v>
      </c>
      <c r="H389" t="s">
        <v>55</v>
      </c>
      <c r="I389" t="s">
        <v>49</v>
      </c>
      <c r="J389" t="s">
        <v>57</v>
      </c>
      <c r="K389" t="s">
        <v>876</v>
      </c>
      <c r="L389">
        <v>1163.99</v>
      </c>
      <c r="M389">
        <v>1617.85</v>
      </c>
      <c r="N389">
        <v>0.127</v>
      </c>
      <c r="O389">
        <v>14</v>
      </c>
    </row>
    <row r="390" spans="1:15">
      <c r="A390" t="s">
        <v>877</v>
      </c>
      <c r="B390" s="39">
        <v>45199</v>
      </c>
      <c r="C390" s="39">
        <v>45202</v>
      </c>
      <c r="D390" t="s">
        <v>45</v>
      </c>
      <c r="E390" t="s">
        <v>116</v>
      </c>
      <c r="F390" t="s">
        <v>338</v>
      </c>
      <c r="G390" t="s">
        <v>39</v>
      </c>
      <c r="H390" t="s">
        <v>20</v>
      </c>
      <c r="I390" t="s">
        <v>29</v>
      </c>
      <c r="J390" t="s">
        <v>57</v>
      </c>
      <c r="K390" t="s">
        <v>878</v>
      </c>
      <c r="L390">
        <v>1019.36</v>
      </c>
      <c r="M390">
        <v>972.91</v>
      </c>
      <c r="N390">
        <v>0.147</v>
      </c>
      <c r="O390">
        <v>17</v>
      </c>
    </row>
    <row r="391" spans="1:15">
      <c r="A391" t="s">
        <v>879</v>
      </c>
      <c r="B391" s="39">
        <v>45225</v>
      </c>
      <c r="C391" s="39">
        <v>45235</v>
      </c>
      <c r="D391" t="s">
        <v>16</v>
      </c>
      <c r="E391" t="s">
        <v>148</v>
      </c>
      <c r="F391" t="s">
        <v>258</v>
      </c>
      <c r="G391" t="s">
        <v>39</v>
      </c>
      <c r="H391" t="s">
        <v>28</v>
      </c>
      <c r="I391" t="s">
        <v>34</v>
      </c>
      <c r="J391" t="s">
        <v>57</v>
      </c>
      <c r="K391" t="s">
        <v>880</v>
      </c>
      <c r="L391">
        <v>20.38</v>
      </c>
      <c r="M391">
        <v>42.56</v>
      </c>
      <c r="N391">
        <v>0.072</v>
      </c>
      <c r="O391">
        <v>11</v>
      </c>
    </row>
    <row r="392" spans="1:15">
      <c r="A392" t="s">
        <v>881</v>
      </c>
      <c r="B392" s="39">
        <v>45823</v>
      </c>
      <c r="C392" s="39">
        <v>45838</v>
      </c>
      <c r="D392" t="s">
        <v>16</v>
      </c>
      <c r="E392" t="s">
        <v>148</v>
      </c>
      <c r="F392" t="s">
        <v>149</v>
      </c>
      <c r="G392" t="s">
        <v>62</v>
      </c>
      <c r="H392" t="s">
        <v>98</v>
      </c>
      <c r="I392" t="s">
        <v>21</v>
      </c>
      <c r="J392" t="s">
        <v>64</v>
      </c>
      <c r="K392" t="s">
        <v>882</v>
      </c>
      <c r="L392">
        <v>1487.59</v>
      </c>
      <c r="M392">
        <v>1480.83</v>
      </c>
      <c r="N392">
        <v>0.009</v>
      </c>
      <c r="O392">
        <v>11</v>
      </c>
    </row>
    <row r="393" spans="1:15">
      <c r="A393" t="s">
        <v>883</v>
      </c>
      <c r="B393" s="39">
        <v>45514</v>
      </c>
      <c r="C393" s="39">
        <v>45542</v>
      </c>
      <c r="D393" t="s">
        <v>78</v>
      </c>
      <c r="E393" t="s">
        <v>90</v>
      </c>
      <c r="F393" t="s">
        <v>91</v>
      </c>
      <c r="G393" t="s">
        <v>39</v>
      </c>
      <c r="H393" t="s">
        <v>98</v>
      </c>
      <c r="I393" t="s">
        <v>84</v>
      </c>
      <c r="J393" t="s">
        <v>30</v>
      </c>
      <c r="K393" t="s">
        <v>884</v>
      </c>
      <c r="L393">
        <v>229.96</v>
      </c>
      <c r="M393">
        <v>564.26</v>
      </c>
      <c r="N393">
        <v>0.105</v>
      </c>
      <c r="O393">
        <v>5</v>
      </c>
    </row>
    <row r="394" spans="1:15">
      <c r="A394" t="s">
        <v>885</v>
      </c>
      <c r="B394" s="39">
        <v>45208</v>
      </c>
      <c r="C394" s="39">
        <v>45225</v>
      </c>
      <c r="D394" t="s">
        <v>45</v>
      </c>
      <c r="E394" t="s">
        <v>116</v>
      </c>
      <c r="F394" t="s">
        <v>162</v>
      </c>
      <c r="G394" t="s">
        <v>48</v>
      </c>
      <c r="H394" t="s">
        <v>40</v>
      </c>
      <c r="I394" t="s">
        <v>21</v>
      </c>
      <c r="J394" t="s">
        <v>22</v>
      </c>
      <c r="K394" t="s">
        <v>886</v>
      </c>
      <c r="L394">
        <v>1132.03</v>
      </c>
      <c r="M394">
        <v>2137.21</v>
      </c>
      <c r="N394">
        <v>0.357</v>
      </c>
      <c r="O394">
        <v>35</v>
      </c>
    </row>
    <row r="395" spans="1:15">
      <c r="A395" t="s">
        <v>887</v>
      </c>
      <c r="B395" s="39">
        <v>45360</v>
      </c>
      <c r="C395" s="39">
        <v>45377</v>
      </c>
      <c r="D395" t="s">
        <v>52</v>
      </c>
      <c r="E395" t="s">
        <v>122</v>
      </c>
      <c r="F395" t="s">
        <v>167</v>
      </c>
      <c r="G395" t="s">
        <v>27</v>
      </c>
      <c r="H395" t="s">
        <v>98</v>
      </c>
      <c r="I395" t="s">
        <v>34</v>
      </c>
      <c r="J395" t="s">
        <v>42</v>
      </c>
      <c r="K395" t="s">
        <v>888</v>
      </c>
      <c r="L395">
        <v>1137.41</v>
      </c>
      <c r="M395">
        <v>1680.93</v>
      </c>
      <c r="N395">
        <v>0.254</v>
      </c>
      <c r="O395">
        <v>9</v>
      </c>
    </row>
    <row r="396" spans="1:15">
      <c r="A396" t="s">
        <v>889</v>
      </c>
      <c r="B396" s="39">
        <v>45075</v>
      </c>
      <c r="C396" s="39">
        <v>45097</v>
      </c>
      <c r="D396" t="s">
        <v>78</v>
      </c>
      <c r="E396" t="s">
        <v>108</v>
      </c>
      <c r="F396" t="s">
        <v>152</v>
      </c>
      <c r="G396" t="s">
        <v>62</v>
      </c>
      <c r="H396" t="s">
        <v>98</v>
      </c>
      <c r="I396" t="s">
        <v>95</v>
      </c>
      <c r="J396" t="s">
        <v>22</v>
      </c>
      <c r="K396" t="s">
        <v>890</v>
      </c>
      <c r="L396">
        <v>1295.39</v>
      </c>
      <c r="M396">
        <v>2905.06</v>
      </c>
      <c r="N396">
        <v>0.148</v>
      </c>
      <c r="O396">
        <v>8</v>
      </c>
    </row>
    <row r="397" spans="1:15">
      <c r="A397" t="s">
        <v>891</v>
      </c>
      <c r="B397" s="39">
        <v>45804</v>
      </c>
      <c r="C397" s="39">
        <v>45816</v>
      </c>
      <c r="D397" t="s">
        <v>45</v>
      </c>
      <c r="E397" t="s">
        <v>46</v>
      </c>
      <c r="F397" t="s">
        <v>47</v>
      </c>
      <c r="G397" t="s">
        <v>19</v>
      </c>
      <c r="H397" t="s">
        <v>20</v>
      </c>
      <c r="I397" t="s">
        <v>92</v>
      </c>
      <c r="J397" t="s">
        <v>81</v>
      </c>
      <c r="K397" t="s">
        <v>892</v>
      </c>
      <c r="L397">
        <v>653.6</v>
      </c>
      <c r="M397">
        <v>842.09</v>
      </c>
      <c r="N397">
        <v>0.098</v>
      </c>
      <c r="O397">
        <v>19</v>
      </c>
    </row>
    <row r="398" spans="1:15">
      <c r="A398" t="s">
        <v>893</v>
      </c>
      <c r="B398" s="39">
        <v>45890</v>
      </c>
      <c r="C398" s="39">
        <v>45914</v>
      </c>
      <c r="D398" t="s">
        <v>78</v>
      </c>
      <c r="E398" t="s">
        <v>79</v>
      </c>
      <c r="F398" t="s">
        <v>80</v>
      </c>
      <c r="G398" t="s">
        <v>39</v>
      </c>
      <c r="H398" t="s">
        <v>28</v>
      </c>
      <c r="I398" t="s">
        <v>75</v>
      </c>
      <c r="J398" t="s">
        <v>64</v>
      </c>
      <c r="K398" t="s">
        <v>894</v>
      </c>
      <c r="L398">
        <v>1397.67</v>
      </c>
      <c r="M398">
        <v>3131.37</v>
      </c>
      <c r="N398">
        <v>0.103</v>
      </c>
      <c r="O398">
        <v>20</v>
      </c>
    </row>
    <row r="399" spans="1:15">
      <c r="A399" t="s">
        <v>895</v>
      </c>
      <c r="B399" s="39">
        <v>45638</v>
      </c>
      <c r="C399" s="39">
        <v>45646</v>
      </c>
      <c r="D399" t="s">
        <v>45</v>
      </c>
      <c r="E399" t="s">
        <v>46</v>
      </c>
      <c r="F399" t="s">
        <v>214</v>
      </c>
      <c r="G399" t="s">
        <v>19</v>
      </c>
      <c r="H399" t="s">
        <v>20</v>
      </c>
      <c r="I399" t="s">
        <v>56</v>
      </c>
      <c r="J399" t="s">
        <v>57</v>
      </c>
      <c r="K399" t="s">
        <v>896</v>
      </c>
      <c r="L399">
        <v>1202.47</v>
      </c>
      <c r="M399">
        <v>1444.72</v>
      </c>
      <c r="N399">
        <v>0.241</v>
      </c>
      <c r="O399">
        <v>17</v>
      </c>
    </row>
    <row r="400" spans="1:15">
      <c r="A400" t="s">
        <v>897</v>
      </c>
      <c r="B400" s="39">
        <v>45914</v>
      </c>
      <c r="C400" s="39">
        <v>45923</v>
      </c>
      <c r="D400" t="s">
        <v>16</v>
      </c>
      <c r="E400" t="s">
        <v>148</v>
      </c>
      <c r="F400" t="s">
        <v>172</v>
      </c>
      <c r="G400" t="s">
        <v>39</v>
      </c>
      <c r="H400" t="s">
        <v>28</v>
      </c>
      <c r="I400" t="s">
        <v>145</v>
      </c>
      <c r="J400" t="s">
        <v>22</v>
      </c>
      <c r="K400" t="s">
        <v>898</v>
      </c>
      <c r="L400">
        <v>1310.3</v>
      </c>
      <c r="M400">
        <v>2875.8</v>
      </c>
      <c r="N400">
        <v>0.083</v>
      </c>
      <c r="O400">
        <v>5</v>
      </c>
    </row>
    <row r="401" spans="1:15">
      <c r="A401" t="s">
        <v>899</v>
      </c>
      <c r="B401" s="39">
        <v>45541</v>
      </c>
      <c r="C401" s="39">
        <v>45569</v>
      </c>
      <c r="D401" t="s">
        <v>16</v>
      </c>
      <c r="E401" t="s">
        <v>148</v>
      </c>
      <c r="F401" t="s">
        <v>258</v>
      </c>
      <c r="G401" t="s">
        <v>19</v>
      </c>
      <c r="H401" t="s">
        <v>40</v>
      </c>
      <c r="I401" t="s">
        <v>145</v>
      </c>
      <c r="J401" t="s">
        <v>64</v>
      </c>
      <c r="K401" t="s">
        <v>900</v>
      </c>
      <c r="L401">
        <v>1174.17</v>
      </c>
      <c r="M401">
        <v>1641.61</v>
      </c>
      <c r="N401">
        <v>0.122</v>
      </c>
      <c r="O401">
        <v>9</v>
      </c>
    </row>
    <row r="402" spans="1:15">
      <c r="A402" t="s">
        <v>901</v>
      </c>
      <c r="B402" s="39">
        <v>45759</v>
      </c>
      <c r="C402" s="39">
        <v>45777</v>
      </c>
      <c r="D402" t="s">
        <v>16</v>
      </c>
      <c r="E402" t="s">
        <v>17</v>
      </c>
      <c r="F402" t="s">
        <v>18</v>
      </c>
      <c r="G402" t="s">
        <v>19</v>
      </c>
      <c r="H402" t="s">
        <v>40</v>
      </c>
      <c r="I402" t="s">
        <v>84</v>
      </c>
      <c r="J402" t="s">
        <v>35</v>
      </c>
      <c r="K402" t="s">
        <v>902</v>
      </c>
      <c r="L402">
        <v>1119.04</v>
      </c>
      <c r="M402">
        <v>1299.02</v>
      </c>
      <c r="N402">
        <v>0.025</v>
      </c>
      <c r="O402">
        <v>14</v>
      </c>
    </row>
    <row r="403" spans="1:15">
      <c r="A403" t="s">
        <v>903</v>
      </c>
      <c r="B403" s="39">
        <v>45516</v>
      </c>
      <c r="C403" s="39">
        <v>45519</v>
      </c>
      <c r="D403" t="s">
        <v>52</v>
      </c>
      <c r="E403" t="s">
        <v>122</v>
      </c>
      <c r="F403" t="s">
        <v>123</v>
      </c>
      <c r="G403" t="s">
        <v>19</v>
      </c>
      <c r="H403" t="s">
        <v>40</v>
      </c>
      <c r="I403" t="s">
        <v>145</v>
      </c>
      <c r="J403" t="s">
        <v>30</v>
      </c>
      <c r="K403" t="s">
        <v>904</v>
      </c>
      <c r="L403">
        <v>850.7</v>
      </c>
      <c r="M403">
        <v>1118.56</v>
      </c>
      <c r="N403">
        <v>0.18</v>
      </c>
      <c r="O403">
        <v>19</v>
      </c>
    </row>
    <row r="404" spans="1:15">
      <c r="A404" t="s">
        <v>905</v>
      </c>
      <c r="B404" s="39">
        <v>45601</v>
      </c>
      <c r="C404" s="39">
        <v>45604</v>
      </c>
      <c r="D404" t="s">
        <v>52</v>
      </c>
      <c r="E404" t="s">
        <v>53</v>
      </c>
      <c r="F404" t="s">
        <v>54</v>
      </c>
      <c r="G404" t="s">
        <v>27</v>
      </c>
      <c r="H404" t="s">
        <v>40</v>
      </c>
      <c r="I404" t="s">
        <v>68</v>
      </c>
      <c r="J404" t="s">
        <v>22</v>
      </c>
      <c r="K404" t="s">
        <v>906</v>
      </c>
      <c r="L404">
        <v>1020.4</v>
      </c>
      <c r="M404">
        <v>1184.71</v>
      </c>
      <c r="N404">
        <v>0.106</v>
      </c>
      <c r="O404">
        <v>16</v>
      </c>
    </row>
    <row r="405" spans="1:15">
      <c r="A405" t="s">
        <v>907</v>
      </c>
      <c r="B405" s="39">
        <v>45497</v>
      </c>
      <c r="C405" s="39">
        <v>45512</v>
      </c>
      <c r="D405" t="s">
        <v>78</v>
      </c>
      <c r="E405" t="s">
        <v>90</v>
      </c>
      <c r="F405" t="s">
        <v>91</v>
      </c>
      <c r="G405" t="s">
        <v>105</v>
      </c>
      <c r="H405" t="s">
        <v>40</v>
      </c>
      <c r="I405" t="s">
        <v>92</v>
      </c>
      <c r="J405" t="s">
        <v>57</v>
      </c>
      <c r="K405" t="s">
        <v>908</v>
      </c>
      <c r="L405">
        <v>501.5</v>
      </c>
      <c r="M405">
        <v>1201.47</v>
      </c>
      <c r="N405">
        <v>0.126</v>
      </c>
      <c r="O405">
        <v>5</v>
      </c>
    </row>
    <row r="406" spans="1:15">
      <c r="A406" t="s">
        <v>909</v>
      </c>
      <c r="B406" s="39">
        <v>45677</v>
      </c>
      <c r="C406" s="39">
        <v>45691</v>
      </c>
      <c r="D406" t="s">
        <v>52</v>
      </c>
      <c r="E406" t="s">
        <v>73</v>
      </c>
      <c r="F406" t="s">
        <v>87</v>
      </c>
      <c r="G406" t="s">
        <v>105</v>
      </c>
      <c r="H406" t="s">
        <v>40</v>
      </c>
      <c r="I406" t="s">
        <v>84</v>
      </c>
      <c r="J406" t="s">
        <v>22</v>
      </c>
      <c r="K406" t="s">
        <v>910</v>
      </c>
      <c r="L406">
        <v>974.11</v>
      </c>
      <c r="M406">
        <v>880.99</v>
      </c>
      <c r="N406">
        <v>0.111</v>
      </c>
      <c r="O406">
        <v>10</v>
      </c>
    </row>
    <row r="407" spans="1:15">
      <c r="A407" t="s">
        <v>911</v>
      </c>
      <c r="B407" s="39">
        <v>44991</v>
      </c>
      <c r="C407" s="39">
        <v>45020</v>
      </c>
      <c r="D407" t="s">
        <v>45</v>
      </c>
      <c r="E407" t="s">
        <v>116</v>
      </c>
      <c r="F407" t="s">
        <v>338</v>
      </c>
      <c r="G407" t="s">
        <v>62</v>
      </c>
      <c r="H407" t="s">
        <v>98</v>
      </c>
      <c r="I407" t="s">
        <v>21</v>
      </c>
      <c r="J407" t="s">
        <v>64</v>
      </c>
      <c r="K407" t="s">
        <v>912</v>
      </c>
      <c r="L407">
        <v>1126.29</v>
      </c>
      <c r="M407">
        <v>2050.87</v>
      </c>
      <c r="N407">
        <v>0.064</v>
      </c>
      <c r="O407">
        <v>7</v>
      </c>
    </row>
    <row r="408" spans="1:15">
      <c r="A408" t="s">
        <v>913</v>
      </c>
      <c r="B408" s="39">
        <v>45646</v>
      </c>
      <c r="C408" s="39">
        <v>45671</v>
      </c>
      <c r="D408" t="s">
        <v>45</v>
      </c>
      <c r="E408" t="s">
        <v>60</v>
      </c>
      <c r="F408" t="s">
        <v>141</v>
      </c>
      <c r="G408" t="s">
        <v>62</v>
      </c>
      <c r="H408" t="s">
        <v>20</v>
      </c>
      <c r="I408" t="s">
        <v>110</v>
      </c>
      <c r="J408" t="s">
        <v>30</v>
      </c>
      <c r="K408" t="s">
        <v>914</v>
      </c>
      <c r="L408">
        <v>1361.34</v>
      </c>
      <c r="M408">
        <v>1737.9</v>
      </c>
      <c r="N408">
        <v>0.077</v>
      </c>
      <c r="O408">
        <v>14</v>
      </c>
    </row>
    <row r="409" spans="1:15">
      <c r="A409" t="s">
        <v>915</v>
      </c>
      <c r="B409" s="39">
        <v>45709</v>
      </c>
      <c r="C409" s="39">
        <v>45737</v>
      </c>
      <c r="D409" t="s">
        <v>16</v>
      </c>
      <c r="E409" t="s">
        <v>25</v>
      </c>
      <c r="F409" t="s">
        <v>67</v>
      </c>
      <c r="G409" t="s">
        <v>105</v>
      </c>
      <c r="H409" t="s">
        <v>40</v>
      </c>
      <c r="I409" t="s">
        <v>34</v>
      </c>
      <c r="J409" t="s">
        <v>42</v>
      </c>
      <c r="K409" t="s">
        <v>916</v>
      </c>
      <c r="L409">
        <v>1437.39</v>
      </c>
      <c r="M409">
        <v>1388.31</v>
      </c>
      <c r="N409">
        <v>0.138</v>
      </c>
      <c r="O409">
        <v>18</v>
      </c>
    </row>
    <row r="410" spans="1:15">
      <c r="A410" t="s">
        <v>917</v>
      </c>
      <c r="B410" s="39">
        <v>45724</v>
      </c>
      <c r="C410" s="39">
        <v>45731</v>
      </c>
      <c r="D410" t="s">
        <v>45</v>
      </c>
      <c r="E410" t="s">
        <v>60</v>
      </c>
      <c r="F410" t="s">
        <v>61</v>
      </c>
      <c r="G410" t="s">
        <v>19</v>
      </c>
      <c r="H410" t="s">
        <v>55</v>
      </c>
      <c r="I410" t="s">
        <v>95</v>
      </c>
      <c r="J410" t="s">
        <v>57</v>
      </c>
      <c r="K410" t="s">
        <v>918</v>
      </c>
      <c r="L410">
        <v>475.66</v>
      </c>
      <c r="M410">
        <v>529.14</v>
      </c>
      <c r="N410">
        <v>0.196</v>
      </c>
      <c r="O410">
        <v>11</v>
      </c>
    </row>
    <row r="411" spans="1:15">
      <c r="A411" t="s">
        <v>919</v>
      </c>
      <c r="B411" s="39">
        <v>45276</v>
      </c>
      <c r="C411" s="39">
        <v>45279</v>
      </c>
      <c r="D411" t="s">
        <v>45</v>
      </c>
      <c r="E411" t="s">
        <v>116</v>
      </c>
      <c r="F411" t="s">
        <v>338</v>
      </c>
      <c r="G411" t="s">
        <v>27</v>
      </c>
      <c r="H411" t="s">
        <v>20</v>
      </c>
      <c r="I411" t="s">
        <v>75</v>
      </c>
      <c r="J411" t="s">
        <v>81</v>
      </c>
      <c r="K411" t="s">
        <v>920</v>
      </c>
      <c r="L411">
        <v>1415.05</v>
      </c>
      <c r="M411">
        <v>1972.38</v>
      </c>
      <c r="N411">
        <v>0</v>
      </c>
      <c r="O411">
        <v>12</v>
      </c>
    </row>
    <row r="412" spans="1:15">
      <c r="A412" t="s">
        <v>921</v>
      </c>
      <c r="B412" s="39">
        <v>45534</v>
      </c>
      <c r="C412" s="39">
        <v>45540</v>
      </c>
      <c r="D412" t="s">
        <v>45</v>
      </c>
      <c r="E412" t="s">
        <v>46</v>
      </c>
      <c r="F412" t="s">
        <v>231</v>
      </c>
      <c r="G412" t="s">
        <v>27</v>
      </c>
      <c r="H412" t="s">
        <v>28</v>
      </c>
      <c r="I412" t="s">
        <v>126</v>
      </c>
      <c r="J412" t="s">
        <v>57</v>
      </c>
      <c r="K412" t="s">
        <v>922</v>
      </c>
      <c r="L412">
        <v>466.16</v>
      </c>
      <c r="M412">
        <v>876.81</v>
      </c>
      <c r="N412">
        <v>0.241</v>
      </c>
      <c r="O412">
        <v>8</v>
      </c>
    </row>
    <row r="413" spans="1:15">
      <c r="A413" t="s">
        <v>923</v>
      </c>
      <c r="B413" s="39">
        <v>45430</v>
      </c>
      <c r="C413" s="39">
        <v>45433</v>
      </c>
      <c r="D413" t="s">
        <v>78</v>
      </c>
      <c r="E413" t="s">
        <v>90</v>
      </c>
      <c r="F413" t="s">
        <v>91</v>
      </c>
      <c r="G413" t="s">
        <v>39</v>
      </c>
      <c r="H413" t="s">
        <v>40</v>
      </c>
      <c r="I413" t="s">
        <v>145</v>
      </c>
      <c r="J413" t="s">
        <v>30</v>
      </c>
      <c r="K413" t="s">
        <v>924</v>
      </c>
      <c r="L413">
        <v>663.66</v>
      </c>
      <c r="M413">
        <v>824.26</v>
      </c>
      <c r="N413">
        <v>0.239</v>
      </c>
      <c r="O413">
        <v>11</v>
      </c>
    </row>
    <row r="414" spans="1:15">
      <c r="A414" t="s">
        <v>925</v>
      </c>
      <c r="B414" s="39">
        <v>45002</v>
      </c>
      <c r="C414" s="39">
        <v>45022</v>
      </c>
      <c r="D414" t="s">
        <v>78</v>
      </c>
      <c r="E414" t="s">
        <v>79</v>
      </c>
      <c r="F414" t="s">
        <v>159</v>
      </c>
      <c r="G414" t="s">
        <v>48</v>
      </c>
      <c r="H414" t="s">
        <v>20</v>
      </c>
      <c r="I414" t="s">
        <v>68</v>
      </c>
      <c r="J414" t="s">
        <v>42</v>
      </c>
      <c r="K414" t="s">
        <v>926</v>
      </c>
      <c r="L414">
        <v>692.18</v>
      </c>
      <c r="M414">
        <v>1159.35</v>
      </c>
      <c r="N414">
        <v>0.112</v>
      </c>
      <c r="O414">
        <v>2</v>
      </c>
    </row>
    <row r="415" spans="1:15">
      <c r="A415" t="s">
        <v>927</v>
      </c>
      <c r="B415" s="39">
        <v>45163</v>
      </c>
      <c r="C415" s="39">
        <v>45185</v>
      </c>
      <c r="D415" t="s">
        <v>16</v>
      </c>
      <c r="E415" t="s">
        <v>25</v>
      </c>
      <c r="F415" t="s">
        <v>67</v>
      </c>
      <c r="G415" t="s">
        <v>19</v>
      </c>
      <c r="H415" t="s">
        <v>40</v>
      </c>
      <c r="I415" t="s">
        <v>49</v>
      </c>
      <c r="J415" t="s">
        <v>42</v>
      </c>
      <c r="K415" t="s">
        <v>928</v>
      </c>
      <c r="L415">
        <v>1196.83</v>
      </c>
      <c r="M415">
        <v>2513.51</v>
      </c>
      <c r="N415">
        <v>0.083</v>
      </c>
      <c r="O415">
        <v>7</v>
      </c>
    </row>
    <row r="416" spans="1:15">
      <c r="A416" t="s">
        <v>929</v>
      </c>
      <c r="B416" s="39">
        <v>45449</v>
      </c>
      <c r="C416" s="39">
        <v>45467</v>
      </c>
      <c r="D416" t="s">
        <v>45</v>
      </c>
      <c r="E416" t="s">
        <v>60</v>
      </c>
      <c r="F416" t="s">
        <v>61</v>
      </c>
      <c r="G416" t="s">
        <v>62</v>
      </c>
      <c r="H416" t="s">
        <v>98</v>
      </c>
      <c r="I416" t="s">
        <v>92</v>
      </c>
      <c r="J416" t="s">
        <v>35</v>
      </c>
      <c r="K416" t="s">
        <v>930</v>
      </c>
      <c r="L416">
        <v>1253.25</v>
      </c>
      <c r="M416">
        <v>3087.13</v>
      </c>
      <c r="N416">
        <v>0.072</v>
      </c>
      <c r="O416">
        <v>11</v>
      </c>
    </row>
    <row r="417" spans="1:15">
      <c r="A417" t="s">
        <v>931</v>
      </c>
      <c r="B417" s="39">
        <v>45167</v>
      </c>
      <c r="C417" s="39">
        <v>45182</v>
      </c>
      <c r="D417" t="s">
        <v>52</v>
      </c>
      <c r="E417" t="s">
        <v>53</v>
      </c>
      <c r="F417" t="s">
        <v>179</v>
      </c>
      <c r="G417" t="s">
        <v>62</v>
      </c>
      <c r="H417" t="s">
        <v>40</v>
      </c>
      <c r="I417" t="s">
        <v>68</v>
      </c>
      <c r="J417" t="s">
        <v>30</v>
      </c>
      <c r="K417" t="s">
        <v>932</v>
      </c>
      <c r="L417">
        <v>1287.64</v>
      </c>
      <c r="M417">
        <v>2717.15</v>
      </c>
      <c r="N417">
        <v>0.032</v>
      </c>
      <c r="O417">
        <v>7</v>
      </c>
    </row>
    <row r="418" spans="1:15">
      <c r="A418" t="s">
        <v>933</v>
      </c>
      <c r="B418" s="39">
        <v>45626</v>
      </c>
      <c r="C418" s="39">
        <v>45636</v>
      </c>
      <c r="D418" t="s">
        <v>45</v>
      </c>
      <c r="E418" t="s">
        <v>60</v>
      </c>
      <c r="F418" t="s">
        <v>281</v>
      </c>
      <c r="G418" t="s">
        <v>62</v>
      </c>
      <c r="H418" t="s">
        <v>20</v>
      </c>
      <c r="I418" t="s">
        <v>84</v>
      </c>
      <c r="J418" t="s">
        <v>81</v>
      </c>
      <c r="K418" t="s">
        <v>934</v>
      </c>
      <c r="L418">
        <v>851.49</v>
      </c>
      <c r="M418">
        <v>901.79</v>
      </c>
      <c r="N418">
        <v>0.245</v>
      </c>
      <c r="O418">
        <v>16</v>
      </c>
    </row>
    <row r="419" spans="1:15">
      <c r="A419" t="s">
        <v>935</v>
      </c>
      <c r="B419" s="39">
        <v>45813</v>
      </c>
      <c r="C419" s="39">
        <v>45822</v>
      </c>
      <c r="D419" t="s">
        <v>45</v>
      </c>
      <c r="E419" t="s">
        <v>60</v>
      </c>
      <c r="F419" t="s">
        <v>141</v>
      </c>
      <c r="G419" t="s">
        <v>39</v>
      </c>
      <c r="H419" t="s">
        <v>20</v>
      </c>
      <c r="I419" t="s">
        <v>75</v>
      </c>
      <c r="J419" t="s">
        <v>81</v>
      </c>
      <c r="K419" t="s">
        <v>936</v>
      </c>
      <c r="L419">
        <v>618.69</v>
      </c>
      <c r="M419">
        <v>796.15</v>
      </c>
      <c r="N419">
        <v>0.09</v>
      </c>
      <c r="O419">
        <v>11</v>
      </c>
    </row>
    <row r="420" spans="1:15">
      <c r="A420" t="s">
        <v>937</v>
      </c>
      <c r="B420" s="39">
        <v>45730</v>
      </c>
      <c r="C420" s="39">
        <v>45755</v>
      </c>
      <c r="D420" t="s">
        <v>45</v>
      </c>
      <c r="E420" t="s">
        <v>116</v>
      </c>
      <c r="G420" t="s">
        <v>19</v>
      </c>
      <c r="H420" t="s">
        <v>55</v>
      </c>
      <c r="I420" t="s">
        <v>145</v>
      </c>
      <c r="J420" t="s">
        <v>30</v>
      </c>
      <c r="K420" t="s">
        <v>938</v>
      </c>
      <c r="L420">
        <v>80.59</v>
      </c>
      <c r="M420">
        <v>157.82</v>
      </c>
      <c r="N420">
        <v>0.217</v>
      </c>
      <c r="O420">
        <v>6</v>
      </c>
    </row>
    <row r="421" spans="1:15">
      <c r="A421" t="s">
        <v>939</v>
      </c>
      <c r="B421" s="39">
        <v>45307</v>
      </c>
      <c r="C421" s="39">
        <v>45333</v>
      </c>
      <c r="D421" t="s">
        <v>78</v>
      </c>
      <c r="E421" t="s">
        <v>79</v>
      </c>
      <c r="F421" t="s">
        <v>335</v>
      </c>
      <c r="G421" t="s">
        <v>39</v>
      </c>
      <c r="H421" t="s">
        <v>55</v>
      </c>
      <c r="I421" t="s">
        <v>63</v>
      </c>
      <c r="J421" t="s">
        <v>64</v>
      </c>
      <c r="K421" t="s">
        <v>940</v>
      </c>
      <c r="L421">
        <v>504.93</v>
      </c>
      <c r="M421">
        <v>819.06</v>
      </c>
      <c r="N421">
        <v>0.226</v>
      </c>
      <c r="O421">
        <v>15</v>
      </c>
    </row>
    <row r="422" spans="1:15">
      <c r="A422" t="s">
        <v>941</v>
      </c>
      <c r="B422" s="39">
        <v>45211</v>
      </c>
      <c r="C422" s="39">
        <v>45228</v>
      </c>
      <c r="D422" t="s">
        <v>45</v>
      </c>
      <c r="E422" t="s">
        <v>46</v>
      </c>
      <c r="F422" t="s">
        <v>231</v>
      </c>
      <c r="G422" t="s">
        <v>39</v>
      </c>
      <c r="H422" t="s">
        <v>98</v>
      </c>
      <c r="I422" t="s">
        <v>92</v>
      </c>
      <c r="J422" t="s">
        <v>42</v>
      </c>
      <c r="K422" t="s">
        <v>942</v>
      </c>
      <c r="L422">
        <v>1102.19</v>
      </c>
      <c r="M422">
        <v>1711.16</v>
      </c>
      <c r="N422">
        <v>0.151</v>
      </c>
      <c r="O422">
        <v>10</v>
      </c>
    </row>
    <row r="423" spans="1:15">
      <c r="A423" t="s">
        <v>943</v>
      </c>
      <c r="B423" s="39">
        <v>45713</v>
      </c>
      <c r="C423" s="39">
        <v>45733</v>
      </c>
      <c r="D423" t="s">
        <v>52</v>
      </c>
      <c r="E423" t="s">
        <v>122</v>
      </c>
      <c r="F423" t="s">
        <v>167</v>
      </c>
      <c r="G423" t="s">
        <v>39</v>
      </c>
      <c r="H423" t="s">
        <v>40</v>
      </c>
      <c r="I423" t="s">
        <v>92</v>
      </c>
      <c r="J423" t="s">
        <v>42</v>
      </c>
      <c r="K423" t="s">
        <v>944</v>
      </c>
      <c r="L423">
        <v>1205.26</v>
      </c>
      <c r="M423">
        <v>1696.35</v>
      </c>
      <c r="N423">
        <v>0.019</v>
      </c>
      <c r="O423">
        <v>6</v>
      </c>
    </row>
    <row r="424" spans="1:15">
      <c r="A424" t="s">
        <v>945</v>
      </c>
      <c r="B424" s="39">
        <v>45841</v>
      </c>
      <c r="C424" s="39">
        <v>45844</v>
      </c>
      <c r="D424" t="s">
        <v>16</v>
      </c>
      <c r="E424" t="s">
        <v>25</v>
      </c>
      <c r="F424" t="s">
        <v>38</v>
      </c>
      <c r="G424" t="s">
        <v>48</v>
      </c>
      <c r="H424" t="s">
        <v>28</v>
      </c>
      <c r="J424" t="s">
        <v>57</v>
      </c>
      <c r="K424" t="s">
        <v>946</v>
      </c>
      <c r="L424">
        <v>1313.3</v>
      </c>
      <c r="M424">
        <v>2884.34</v>
      </c>
      <c r="N424">
        <v>0.157</v>
      </c>
      <c r="O424">
        <v>42</v>
      </c>
    </row>
    <row r="425" spans="1:15">
      <c r="A425" t="s">
        <v>947</v>
      </c>
      <c r="B425" s="39">
        <v>45915</v>
      </c>
      <c r="C425" s="39">
        <v>45925</v>
      </c>
      <c r="D425" t="s">
        <v>45</v>
      </c>
      <c r="E425" t="s">
        <v>60</v>
      </c>
      <c r="F425" t="s">
        <v>141</v>
      </c>
      <c r="G425" t="s">
        <v>48</v>
      </c>
      <c r="H425" t="s">
        <v>20</v>
      </c>
      <c r="I425" t="s">
        <v>75</v>
      </c>
      <c r="J425" t="s">
        <v>42</v>
      </c>
      <c r="K425" t="s">
        <v>948</v>
      </c>
      <c r="L425">
        <v>1488.91</v>
      </c>
      <c r="M425">
        <v>1483.74</v>
      </c>
      <c r="N425">
        <v>0.168</v>
      </c>
      <c r="O425">
        <v>24</v>
      </c>
    </row>
    <row r="426" spans="1:15">
      <c r="A426" t="s">
        <v>949</v>
      </c>
      <c r="B426" s="39">
        <v>45341</v>
      </c>
      <c r="C426" s="39">
        <v>45357</v>
      </c>
      <c r="D426" t="s">
        <v>45</v>
      </c>
      <c r="E426" t="s">
        <v>116</v>
      </c>
      <c r="F426" t="s">
        <v>338</v>
      </c>
      <c r="G426" t="s">
        <v>27</v>
      </c>
      <c r="H426" t="s">
        <v>40</v>
      </c>
      <c r="I426" t="s">
        <v>68</v>
      </c>
      <c r="J426" t="s">
        <v>30</v>
      </c>
      <c r="K426" t="s">
        <v>950</v>
      </c>
      <c r="L426">
        <v>1477.84</v>
      </c>
      <c r="M426">
        <v>3197.47</v>
      </c>
      <c r="N426">
        <v>0.243</v>
      </c>
      <c r="O426">
        <v>24</v>
      </c>
    </row>
    <row r="427" spans="1:15">
      <c r="A427" t="s">
        <v>951</v>
      </c>
      <c r="B427" s="39">
        <v>45349</v>
      </c>
      <c r="C427" s="39">
        <v>45377</v>
      </c>
      <c r="D427" t="s">
        <v>45</v>
      </c>
      <c r="E427" t="s">
        <v>60</v>
      </c>
      <c r="F427" t="s">
        <v>220</v>
      </c>
      <c r="G427" t="s">
        <v>27</v>
      </c>
      <c r="H427" t="s">
        <v>40</v>
      </c>
      <c r="I427" t="s">
        <v>41</v>
      </c>
      <c r="J427" t="s">
        <v>57</v>
      </c>
      <c r="K427" t="s">
        <v>952</v>
      </c>
      <c r="L427">
        <v>1035.19</v>
      </c>
      <c r="M427">
        <v>2322.7</v>
      </c>
      <c r="N427">
        <v>0.173</v>
      </c>
      <c r="O427">
        <v>8</v>
      </c>
    </row>
    <row r="428" spans="1:15">
      <c r="A428" t="s">
        <v>953</v>
      </c>
      <c r="B428" s="39">
        <v>45897</v>
      </c>
      <c r="C428" s="39">
        <v>45905</v>
      </c>
      <c r="D428" t="s">
        <v>16</v>
      </c>
      <c r="E428" t="s">
        <v>25</v>
      </c>
      <c r="F428" t="s">
        <v>26</v>
      </c>
      <c r="G428" t="s">
        <v>62</v>
      </c>
      <c r="H428" t="s">
        <v>40</v>
      </c>
      <c r="I428" t="s">
        <v>63</v>
      </c>
      <c r="J428" t="s">
        <v>57</v>
      </c>
      <c r="K428" t="s">
        <v>954</v>
      </c>
      <c r="L428">
        <v>1271.1</v>
      </c>
      <c r="M428">
        <v>1932.42</v>
      </c>
      <c r="N428">
        <v>0.25</v>
      </c>
      <c r="O428">
        <v>21</v>
      </c>
    </row>
    <row r="429" spans="1:15">
      <c r="A429" t="s">
        <v>955</v>
      </c>
      <c r="B429" s="39">
        <v>45522</v>
      </c>
      <c r="C429" s="39">
        <v>45547</v>
      </c>
      <c r="D429" t="s">
        <v>45</v>
      </c>
      <c r="E429" t="s">
        <v>60</v>
      </c>
      <c r="F429" t="s">
        <v>220</v>
      </c>
      <c r="G429" t="s">
        <v>48</v>
      </c>
      <c r="H429" t="s">
        <v>40</v>
      </c>
      <c r="I429" t="s">
        <v>21</v>
      </c>
      <c r="J429" t="s">
        <v>42</v>
      </c>
      <c r="K429" t="s">
        <v>956</v>
      </c>
      <c r="L429">
        <v>1154.03</v>
      </c>
      <c r="M429">
        <v>1590.36</v>
      </c>
      <c r="N429">
        <v>0.314</v>
      </c>
      <c r="O429">
        <v>18</v>
      </c>
    </row>
    <row r="430" spans="1:15">
      <c r="A430" t="s">
        <v>957</v>
      </c>
      <c r="B430" s="39">
        <v>45347</v>
      </c>
      <c r="C430" s="39">
        <v>45360</v>
      </c>
      <c r="D430" t="s">
        <v>78</v>
      </c>
      <c r="E430" t="s">
        <v>90</v>
      </c>
      <c r="F430" t="s">
        <v>91</v>
      </c>
      <c r="G430" t="s">
        <v>62</v>
      </c>
      <c r="H430" t="s">
        <v>55</v>
      </c>
      <c r="I430" t="s">
        <v>63</v>
      </c>
      <c r="J430" t="s">
        <v>64</v>
      </c>
      <c r="K430" t="s">
        <v>958</v>
      </c>
      <c r="L430">
        <v>322.44</v>
      </c>
      <c r="M430">
        <v>395.61</v>
      </c>
      <c r="N430">
        <v>0</v>
      </c>
      <c r="O430">
        <v>34</v>
      </c>
    </row>
    <row r="431" spans="1:15">
      <c r="A431" t="s">
        <v>959</v>
      </c>
      <c r="B431" s="39">
        <v>45784</v>
      </c>
      <c r="C431" s="39">
        <v>45790</v>
      </c>
      <c r="D431" t="s">
        <v>45</v>
      </c>
      <c r="E431" t="s">
        <v>60</v>
      </c>
      <c r="F431" t="s">
        <v>61</v>
      </c>
      <c r="G431" t="s">
        <v>105</v>
      </c>
      <c r="H431" t="s">
        <v>98</v>
      </c>
      <c r="I431" t="s">
        <v>29</v>
      </c>
      <c r="J431" t="s">
        <v>42</v>
      </c>
      <c r="K431" t="s">
        <v>960</v>
      </c>
      <c r="L431">
        <v>935.98</v>
      </c>
      <c r="M431">
        <v>2077.69</v>
      </c>
      <c r="N431">
        <v>0.175</v>
      </c>
      <c r="O431">
        <v>24</v>
      </c>
    </row>
    <row r="432" spans="1:15">
      <c r="A432" t="s">
        <v>961</v>
      </c>
      <c r="B432" s="39">
        <v>45597</v>
      </c>
      <c r="C432" s="39">
        <v>45608</v>
      </c>
      <c r="D432" t="s">
        <v>78</v>
      </c>
      <c r="E432" t="s">
        <v>79</v>
      </c>
      <c r="F432" t="s">
        <v>335</v>
      </c>
      <c r="G432" t="s">
        <v>48</v>
      </c>
      <c r="H432" t="s">
        <v>28</v>
      </c>
      <c r="I432" t="s">
        <v>56</v>
      </c>
      <c r="J432" t="s">
        <v>30</v>
      </c>
      <c r="K432" t="s">
        <v>962</v>
      </c>
      <c r="L432">
        <v>599.84</v>
      </c>
      <c r="M432">
        <v>1330.85</v>
      </c>
      <c r="N432">
        <v>0.115</v>
      </c>
      <c r="O432">
        <v>11</v>
      </c>
    </row>
    <row r="433" spans="1:15">
      <c r="A433" t="s">
        <v>963</v>
      </c>
      <c r="B433" s="39">
        <v>45654</v>
      </c>
      <c r="C433" s="39">
        <v>45665</v>
      </c>
      <c r="D433" t="s">
        <v>45</v>
      </c>
      <c r="E433" t="s">
        <v>116</v>
      </c>
      <c r="F433" t="s">
        <v>117</v>
      </c>
      <c r="G433" t="s">
        <v>105</v>
      </c>
      <c r="H433" t="s">
        <v>28</v>
      </c>
      <c r="I433" t="s">
        <v>95</v>
      </c>
      <c r="J433" t="s">
        <v>57</v>
      </c>
      <c r="K433" t="s">
        <v>964</v>
      </c>
      <c r="L433">
        <v>1201.31</v>
      </c>
      <c r="M433">
        <v>2764.65</v>
      </c>
      <c r="N433">
        <v>0</v>
      </c>
      <c r="O433">
        <v>21</v>
      </c>
    </row>
    <row r="434" spans="1:15">
      <c r="A434" t="s">
        <v>965</v>
      </c>
      <c r="B434" s="39">
        <v>45220</v>
      </c>
      <c r="C434" s="39">
        <v>45220</v>
      </c>
      <c r="D434" t="s">
        <v>78</v>
      </c>
      <c r="E434" t="s">
        <v>108</v>
      </c>
      <c r="F434" t="s">
        <v>228</v>
      </c>
      <c r="G434" t="s">
        <v>105</v>
      </c>
      <c r="H434" t="s">
        <v>55</v>
      </c>
      <c r="I434" t="s">
        <v>29</v>
      </c>
      <c r="J434" t="s">
        <v>64</v>
      </c>
      <c r="K434" t="s">
        <v>966</v>
      </c>
      <c r="L434">
        <v>384.19</v>
      </c>
      <c r="M434">
        <v>278.35</v>
      </c>
      <c r="N434">
        <v>0.056</v>
      </c>
      <c r="O434">
        <v>10</v>
      </c>
    </row>
    <row r="435" spans="1:15">
      <c r="A435" t="s">
        <v>967</v>
      </c>
      <c r="B435" s="39">
        <v>45636</v>
      </c>
      <c r="C435" s="39">
        <v>45645</v>
      </c>
      <c r="D435" t="s">
        <v>16</v>
      </c>
      <c r="E435" t="s">
        <v>25</v>
      </c>
      <c r="F435" t="s">
        <v>38</v>
      </c>
      <c r="G435" t="s">
        <v>19</v>
      </c>
      <c r="H435" t="s">
        <v>20</v>
      </c>
      <c r="I435" t="s">
        <v>68</v>
      </c>
      <c r="J435" t="s">
        <v>64</v>
      </c>
      <c r="K435" t="s">
        <v>968</v>
      </c>
      <c r="L435">
        <v>488.68</v>
      </c>
      <c r="M435">
        <v>984.36</v>
      </c>
      <c r="N435">
        <v>0.059</v>
      </c>
      <c r="O435">
        <v>14</v>
      </c>
    </row>
    <row r="436" spans="1:15">
      <c r="A436" t="s">
        <v>969</v>
      </c>
      <c r="B436" s="39">
        <v>45542</v>
      </c>
      <c r="C436" s="39">
        <v>45553</v>
      </c>
      <c r="D436" t="s">
        <v>45</v>
      </c>
      <c r="E436" t="s">
        <v>116</v>
      </c>
      <c r="F436" t="s">
        <v>338</v>
      </c>
      <c r="G436" t="s">
        <v>48</v>
      </c>
      <c r="H436" t="s">
        <v>55</v>
      </c>
      <c r="I436" t="s">
        <v>68</v>
      </c>
      <c r="J436" t="s">
        <v>35</v>
      </c>
      <c r="K436" t="s">
        <v>970</v>
      </c>
      <c r="L436">
        <v>181.74</v>
      </c>
      <c r="M436">
        <v>190.84</v>
      </c>
      <c r="N436">
        <v>0.214</v>
      </c>
      <c r="O436">
        <v>13</v>
      </c>
    </row>
    <row r="437" spans="1:15">
      <c r="A437" t="s">
        <v>971</v>
      </c>
      <c r="B437" s="39">
        <v>45217</v>
      </c>
      <c r="C437" s="39">
        <v>45219</v>
      </c>
      <c r="D437" t="s">
        <v>16</v>
      </c>
      <c r="E437" t="s">
        <v>17</v>
      </c>
      <c r="F437" t="s">
        <v>18</v>
      </c>
      <c r="G437" t="s">
        <v>48</v>
      </c>
      <c r="H437" t="s">
        <v>20</v>
      </c>
      <c r="I437" t="s">
        <v>29</v>
      </c>
      <c r="J437" t="s">
        <v>42</v>
      </c>
      <c r="K437" t="s">
        <v>972</v>
      </c>
      <c r="L437">
        <v>774.12</v>
      </c>
      <c r="M437">
        <v>908.3</v>
      </c>
      <c r="N437">
        <v>0</v>
      </c>
      <c r="O437">
        <v>30</v>
      </c>
    </row>
    <row r="438" spans="1:15">
      <c r="A438" t="s">
        <v>973</v>
      </c>
      <c r="B438" s="39">
        <v>45650</v>
      </c>
      <c r="C438" s="39">
        <v>45670</v>
      </c>
      <c r="D438" t="s">
        <v>45</v>
      </c>
      <c r="E438" t="s">
        <v>60</v>
      </c>
      <c r="F438" t="s">
        <v>61</v>
      </c>
      <c r="G438" t="s">
        <v>19</v>
      </c>
      <c r="H438" t="s">
        <v>40</v>
      </c>
      <c r="I438" t="s">
        <v>145</v>
      </c>
      <c r="J438" t="s">
        <v>35</v>
      </c>
      <c r="K438" t="s">
        <v>974</v>
      </c>
      <c r="L438">
        <v>126.15</v>
      </c>
      <c r="M438">
        <v>284.23</v>
      </c>
      <c r="N438">
        <v>0.113</v>
      </c>
      <c r="O438">
        <v>22</v>
      </c>
    </row>
    <row r="439" spans="1:15">
      <c r="A439" t="s">
        <v>975</v>
      </c>
      <c r="B439" s="39">
        <v>45037</v>
      </c>
      <c r="C439" s="39">
        <v>45035</v>
      </c>
      <c r="D439" t="s">
        <v>45</v>
      </c>
      <c r="E439" t="s">
        <v>46</v>
      </c>
      <c r="F439" t="s">
        <v>231</v>
      </c>
      <c r="G439" t="s">
        <v>62</v>
      </c>
      <c r="H439" t="s">
        <v>98</v>
      </c>
      <c r="I439" t="s">
        <v>110</v>
      </c>
      <c r="J439" t="s">
        <v>22</v>
      </c>
      <c r="K439" t="s">
        <v>976</v>
      </c>
      <c r="L439">
        <v>607.04</v>
      </c>
      <c r="M439">
        <v>1229.34</v>
      </c>
      <c r="N439">
        <v>0.147</v>
      </c>
      <c r="O439">
        <v>7</v>
      </c>
    </row>
    <row r="440" spans="1:15">
      <c r="A440" t="s">
        <v>977</v>
      </c>
      <c r="B440" s="39">
        <v>45290</v>
      </c>
      <c r="C440" s="39">
        <v>45299</v>
      </c>
      <c r="D440" t="s">
        <v>78</v>
      </c>
      <c r="E440" t="s">
        <v>90</v>
      </c>
      <c r="F440" t="s">
        <v>91</v>
      </c>
      <c r="G440" t="s">
        <v>48</v>
      </c>
      <c r="H440" t="s">
        <v>40</v>
      </c>
      <c r="I440" t="s">
        <v>49</v>
      </c>
      <c r="J440" t="s">
        <v>81</v>
      </c>
      <c r="K440" t="s">
        <v>978</v>
      </c>
      <c r="L440">
        <v>861.1</v>
      </c>
      <c r="M440">
        <v>1224.72</v>
      </c>
      <c r="N440">
        <v>0.174</v>
      </c>
      <c r="O440">
        <v>24</v>
      </c>
    </row>
    <row r="441" spans="1:15">
      <c r="A441" t="s">
        <v>979</v>
      </c>
      <c r="B441" s="39">
        <v>44978</v>
      </c>
      <c r="C441" s="39">
        <v>44997</v>
      </c>
      <c r="D441" t="s">
        <v>16</v>
      </c>
      <c r="E441" t="s">
        <v>17</v>
      </c>
      <c r="F441" t="s">
        <v>135</v>
      </c>
      <c r="G441" t="s">
        <v>19</v>
      </c>
      <c r="H441" t="s">
        <v>28</v>
      </c>
      <c r="I441" t="s">
        <v>84</v>
      </c>
      <c r="J441" t="s">
        <v>35</v>
      </c>
      <c r="K441" t="s">
        <v>980</v>
      </c>
      <c r="L441">
        <v>352.65</v>
      </c>
      <c r="M441">
        <v>485.86</v>
      </c>
      <c r="N441">
        <v>0.041</v>
      </c>
      <c r="O441">
        <v>6</v>
      </c>
    </row>
    <row r="442" spans="1:15">
      <c r="A442" t="s">
        <v>981</v>
      </c>
      <c r="B442" s="39">
        <v>45063</v>
      </c>
      <c r="C442" s="39">
        <v>45080</v>
      </c>
      <c r="D442" t="s">
        <v>45</v>
      </c>
      <c r="E442" t="s">
        <v>116</v>
      </c>
      <c r="F442" t="s">
        <v>338</v>
      </c>
      <c r="G442" t="s">
        <v>39</v>
      </c>
      <c r="H442" t="s">
        <v>55</v>
      </c>
      <c r="I442" t="s">
        <v>110</v>
      </c>
      <c r="J442" t="s">
        <v>30</v>
      </c>
      <c r="K442" t="s">
        <v>982</v>
      </c>
      <c r="L442">
        <v>979.59</v>
      </c>
      <c r="M442">
        <v>2210.94</v>
      </c>
      <c r="N442">
        <v>0.15</v>
      </c>
      <c r="O442">
        <v>11</v>
      </c>
    </row>
    <row r="443" spans="1:15">
      <c r="A443" t="s">
        <v>983</v>
      </c>
      <c r="B443" s="39">
        <v>45374</v>
      </c>
      <c r="C443" s="39">
        <v>45377</v>
      </c>
      <c r="D443" t="s">
        <v>45</v>
      </c>
      <c r="E443" t="s">
        <v>60</v>
      </c>
      <c r="F443" t="s">
        <v>61</v>
      </c>
      <c r="G443" t="s">
        <v>27</v>
      </c>
      <c r="H443" t="s">
        <v>98</v>
      </c>
      <c r="I443" t="s">
        <v>41</v>
      </c>
      <c r="J443" t="s">
        <v>42</v>
      </c>
      <c r="K443" t="s">
        <v>984</v>
      </c>
      <c r="L443">
        <v>382.21</v>
      </c>
      <c r="M443">
        <v>571.89</v>
      </c>
      <c r="N443">
        <v>0.148</v>
      </c>
      <c r="O443">
        <v>26</v>
      </c>
    </row>
    <row r="444" spans="1:15">
      <c r="A444" t="s">
        <v>985</v>
      </c>
      <c r="B444" s="39">
        <v>45189</v>
      </c>
      <c r="C444" s="39">
        <v>45197</v>
      </c>
      <c r="D444" t="s">
        <v>45</v>
      </c>
      <c r="E444" t="s">
        <v>60</v>
      </c>
      <c r="G444" t="s">
        <v>19</v>
      </c>
      <c r="I444" t="s">
        <v>56</v>
      </c>
      <c r="J444" t="s">
        <v>81</v>
      </c>
      <c r="K444" t="s">
        <v>986</v>
      </c>
      <c r="L444">
        <v>1362.06</v>
      </c>
      <c r="M444">
        <v>3398.37</v>
      </c>
      <c r="N444">
        <v>0.157</v>
      </c>
      <c r="O444">
        <v>11</v>
      </c>
    </row>
    <row r="445" spans="1:15">
      <c r="A445" t="s">
        <v>987</v>
      </c>
      <c r="B445" s="39">
        <v>45526</v>
      </c>
      <c r="C445" s="39">
        <v>45539</v>
      </c>
      <c r="D445" t="s">
        <v>78</v>
      </c>
      <c r="E445" t="s">
        <v>79</v>
      </c>
      <c r="F445" t="s">
        <v>335</v>
      </c>
      <c r="G445" t="s">
        <v>39</v>
      </c>
      <c r="H445" t="s">
        <v>20</v>
      </c>
      <c r="I445" t="s">
        <v>49</v>
      </c>
      <c r="J445" t="s">
        <v>30</v>
      </c>
      <c r="K445" t="s">
        <v>988</v>
      </c>
      <c r="L445">
        <v>90.04</v>
      </c>
      <c r="M445">
        <v>194.62</v>
      </c>
      <c r="N445">
        <v>0.043</v>
      </c>
      <c r="O445">
        <v>32</v>
      </c>
    </row>
    <row r="446" spans="1:15">
      <c r="A446" t="s">
        <v>989</v>
      </c>
      <c r="B446" s="39">
        <v>45560</v>
      </c>
      <c r="C446" s="39">
        <v>45568</v>
      </c>
      <c r="D446" t="s">
        <v>52</v>
      </c>
      <c r="E446" t="s">
        <v>53</v>
      </c>
      <c r="F446" t="s">
        <v>54</v>
      </c>
      <c r="G446" t="s">
        <v>48</v>
      </c>
      <c r="H446" t="s">
        <v>28</v>
      </c>
      <c r="I446" t="s">
        <v>63</v>
      </c>
      <c r="J446" t="s">
        <v>30</v>
      </c>
      <c r="K446" t="s">
        <v>990</v>
      </c>
      <c r="L446">
        <v>558.19</v>
      </c>
      <c r="M446">
        <v>1031.64</v>
      </c>
      <c r="N446">
        <v>0</v>
      </c>
      <c r="O446">
        <v>21</v>
      </c>
    </row>
    <row r="447" spans="1:15">
      <c r="A447" t="s">
        <v>991</v>
      </c>
      <c r="B447" s="39">
        <v>45090</v>
      </c>
      <c r="C447" s="39">
        <v>45101</v>
      </c>
      <c r="D447" t="s">
        <v>52</v>
      </c>
      <c r="E447" t="s">
        <v>53</v>
      </c>
      <c r="F447" t="s">
        <v>54</v>
      </c>
      <c r="G447" t="s">
        <v>19</v>
      </c>
      <c r="H447" t="s">
        <v>28</v>
      </c>
      <c r="I447" t="s">
        <v>21</v>
      </c>
      <c r="J447" t="s">
        <v>30</v>
      </c>
      <c r="K447" t="s">
        <v>992</v>
      </c>
      <c r="L447">
        <v>247.07</v>
      </c>
      <c r="M447">
        <v>495.19</v>
      </c>
      <c r="N447">
        <v>0.028</v>
      </c>
      <c r="O447">
        <v>4</v>
      </c>
    </row>
    <row r="448" spans="1:15">
      <c r="A448" t="s">
        <v>993</v>
      </c>
      <c r="B448" s="39">
        <v>45284</v>
      </c>
      <c r="C448" s="39">
        <v>45304</v>
      </c>
      <c r="D448" t="s">
        <v>45</v>
      </c>
      <c r="E448" t="s">
        <v>46</v>
      </c>
      <c r="F448" t="s">
        <v>231</v>
      </c>
      <c r="G448" t="s">
        <v>27</v>
      </c>
      <c r="H448" t="s">
        <v>98</v>
      </c>
      <c r="I448" t="s">
        <v>56</v>
      </c>
      <c r="J448" t="s">
        <v>57</v>
      </c>
      <c r="K448" t="s">
        <v>994</v>
      </c>
      <c r="L448">
        <v>625.37</v>
      </c>
      <c r="M448">
        <v>1319.04</v>
      </c>
      <c r="N448">
        <v>0.074</v>
      </c>
      <c r="O448">
        <v>8</v>
      </c>
    </row>
    <row r="449" spans="1:15">
      <c r="A449" t="s">
        <v>995</v>
      </c>
      <c r="B449" s="39">
        <v>45746</v>
      </c>
      <c r="C449" s="39">
        <v>45776</v>
      </c>
      <c r="D449" t="s">
        <v>16</v>
      </c>
      <c r="E449" t="s">
        <v>148</v>
      </c>
      <c r="F449" t="s">
        <v>172</v>
      </c>
      <c r="G449" t="s">
        <v>48</v>
      </c>
      <c r="H449" t="s">
        <v>40</v>
      </c>
      <c r="I449" t="s">
        <v>29</v>
      </c>
      <c r="J449" t="s">
        <v>64</v>
      </c>
      <c r="K449" t="s">
        <v>996</v>
      </c>
      <c r="L449">
        <v>194.6</v>
      </c>
      <c r="M449">
        <v>314.87</v>
      </c>
      <c r="N449">
        <v>0.293</v>
      </c>
      <c r="O449">
        <v>25</v>
      </c>
    </row>
    <row r="450" spans="1:15">
      <c r="A450" t="s">
        <v>997</v>
      </c>
      <c r="B450" s="39">
        <v>45446</v>
      </c>
      <c r="C450" s="39">
        <v>45467</v>
      </c>
      <c r="D450" t="s">
        <v>52</v>
      </c>
      <c r="E450" t="s">
        <v>53</v>
      </c>
      <c r="F450" t="s">
        <v>54</v>
      </c>
      <c r="G450" t="s">
        <v>62</v>
      </c>
      <c r="H450" t="s">
        <v>98</v>
      </c>
      <c r="I450" t="s">
        <v>41</v>
      </c>
      <c r="J450" t="s">
        <v>64</v>
      </c>
      <c r="K450" t="s">
        <v>998</v>
      </c>
      <c r="L450">
        <v>1205.5</v>
      </c>
      <c r="M450">
        <v>2210.17</v>
      </c>
      <c r="N450">
        <v>0.104</v>
      </c>
      <c r="O450">
        <v>23</v>
      </c>
    </row>
    <row r="451" spans="1:15">
      <c r="A451" t="s">
        <v>999</v>
      </c>
      <c r="B451" s="39">
        <v>45454</v>
      </c>
      <c r="C451" s="39">
        <v>45482</v>
      </c>
      <c r="D451" t="s">
        <v>16</v>
      </c>
      <c r="E451" t="s">
        <v>25</v>
      </c>
      <c r="F451" t="s">
        <v>26</v>
      </c>
      <c r="G451" t="s">
        <v>19</v>
      </c>
      <c r="H451" t="s">
        <v>40</v>
      </c>
      <c r="I451" t="s">
        <v>34</v>
      </c>
      <c r="J451" t="s">
        <v>42</v>
      </c>
      <c r="K451" t="s">
        <v>1000</v>
      </c>
      <c r="L451">
        <v>895.54</v>
      </c>
      <c r="M451">
        <v>1045</v>
      </c>
      <c r="N451">
        <v>0.216</v>
      </c>
      <c r="O451">
        <v>15</v>
      </c>
    </row>
    <row r="452" spans="1:15">
      <c r="A452" t="s">
        <v>1001</v>
      </c>
      <c r="B452" s="39">
        <v>45129</v>
      </c>
      <c r="C452" s="39">
        <v>45128</v>
      </c>
      <c r="D452" t="s">
        <v>45</v>
      </c>
      <c r="E452" t="s">
        <v>60</v>
      </c>
      <c r="F452" t="s">
        <v>141</v>
      </c>
      <c r="G452" t="s">
        <v>62</v>
      </c>
      <c r="H452" t="s">
        <v>55</v>
      </c>
      <c r="I452" t="s">
        <v>63</v>
      </c>
      <c r="J452" t="s">
        <v>30</v>
      </c>
      <c r="K452" t="s">
        <v>1002</v>
      </c>
      <c r="L452">
        <v>946.99</v>
      </c>
      <c r="M452">
        <v>2132.19</v>
      </c>
      <c r="N452">
        <v>0.165</v>
      </c>
      <c r="O452">
        <v>7</v>
      </c>
    </row>
    <row r="453" spans="1:15">
      <c r="A453" t="s">
        <v>1003</v>
      </c>
      <c r="B453" s="39">
        <v>44945</v>
      </c>
      <c r="C453" s="39">
        <v>44960</v>
      </c>
      <c r="D453" t="s">
        <v>78</v>
      </c>
      <c r="E453" t="s">
        <v>108</v>
      </c>
      <c r="F453" t="s">
        <v>152</v>
      </c>
      <c r="G453" t="s">
        <v>105</v>
      </c>
      <c r="H453" t="s">
        <v>55</v>
      </c>
      <c r="I453" t="s">
        <v>41</v>
      </c>
      <c r="J453" t="s">
        <v>81</v>
      </c>
      <c r="K453" t="s">
        <v>1004</v>
      </c>
      <c r="L453">
        <v>873.06</v>
      </c>
      <c r="M453">
        <v>2101.55</v>
      </c>
      <c r="N453">
        <v>0.066</v>
      </c>
      <c r="O453">
        <v>10</v>
      </c>
    </row>
    <row r="454" spans="1:15">
      <c r="A454" t="s">
        <v>1005</v>
      </c>
      <c r="B454" s="39">
        <v>45413</v>
      </c>
      <c r="C454" s="39">
        <v>45428</v>
      </c>
      <c r="D454" t="s">
        <v>45</v>
      </c>
      <c r="E454" t="s">
        <v>60</v>
      </c>
      <c r="F454" t="s">
        <v>61</v>
      </c>
      <c r="G454" t="s">
        <v>62</v>
      </c>
      <c r="H454" t="s">
        <v>20</v>
      </c>
      <c r="I454" t="s">
        <v>49</v>
      </c>
      <c r="J454" t="s">
        <v>22</v>
      </c>
      <c r="K454" t="s">
        <v>1006</v>
      </c>
      <c r="L454">
        <v>901.19</v>
      </c>
      <c r="M454">
        <v>2125.44</v>
      </c>
      <c r="N454">
        <v>0.071</v>
      </c>
      <c r="O454">
        <v>12</v>
      </c>
    </row>
    <row r="455" spans="1:15">
      <c r="A455" t="s">
        <v>1007</v>
      </c>
      <c r="B455" s="39">
        <v>45817</v>
      </c>
      <c r="C455" s="39">
        <v>45832</v>
      </c>
      <c r="D455" t="s">
        <v>45</v>
      </c>
      <c r="E455" t="s">
        <v>46</v>
      </c>
      <c r="F455" t="s">
        <v>231</v>
      </c>
      <c r="G455" t="s">
        <v>19</v>
      </c>
      <c r="H455" t="s">
        <v>98</v>
      </c>
      <c r="I455" t="s">
        <v>56</v>
      </c>
      <c r="J455" t="s">
        <v>42</v>
      </c>
      <c r="K455" t="s">
        <v>1008</v>
      </c>
      <c r="L455">
        <v>400.39</v>
      </c>
      <c r="M455">
        <v>712.75</v>
      </c>
      <c r="N455">
        <v>0.115</v>
      </c>
      <c r="O455">
        <v>19</v>
      </c>
    </row>
    <row r="456" spans="1:15">
      <c r="A456" t="s">
        <v>1009</v>
      </c>
      <c r="B456" s="39">
        <v>45070</v>
      </c>
      <c r="C456" s="39">
        <v>45098</v>
      </c>
      <c r="D456" t="s">
        <v>52</v>
      </c>
      <c r="E456" t="s">
        <v>122</v>
      </c>
      <c r="F456" t="s">
        <v>326</v>
      </c>
      <c r="G456" t="s">
        <v>62</v>
      </c>
      <c r="H456" t="s">
        <v>40</v>
      </c>
      <c r="I456" t="s">
        <v>41</v>
      </c>
      <c r="J456" t="s">
        <v>64</v>
      </c>
      <c r="K456" t="s">
        <v>1010</v>
      </c>
      <c r="L456">
        <v>813.97</v>
      </c>
      <c r="M456">
        <v>1568.83</v>
      </c>
      <c r="N456">
        <v>0.017</v>
      </c>
      <c r="O456">
        <v>15</v>
      </c>
    </row>
    <row r="457" spans="1:15">
      <c r="A457" t="s">
        <v>1011</v>
      </c>
      <c r="B457" s="39">
        <v>45653</v>
      </c>
      <c r="C457" s="39">
        <v>45655</v>
      </c>
      <c r="D457" t="s">
        <v>52</v>
      </c>
      <c r="E457" t="s">
        <v>53</v>
      </c>
      <c r="F457" t="s">
        <v>179</v>
      </c>
      <c r="G457" t="s">
        <v>105</v>
      </c>
      <c r="H457" t="s">
        <v>40</v>
      </c>
      <c r="I457" t="s">
        <v>21</v>
      </c>
      <c r="J457" t="s">
        <v>81</v>
      </c>
      <c r="K457" t="s">
        <v>1012</v>
      </c>
      <c r="L457">
        <v>1146.72</v>
      </c>
      <c r="M457">
        <v>2074.34</v>
      </c>
      <c r="N457">
        <v>0.111</v>
      </c>
      <c r="O457">
        <v>8</v>
      </c>
    </row>
    <row r="458" spans="1:15">
      <c r="A458" t="s">
        <v>1013</v>
      </c>
      <c r="B458" s="39">
        <v>45265</v>
      </c>
      <c r="C458" s="39">
        <v>45272</v>
      </c>
      <c r="D458" t="s">
        <v>52</v>
      </c>
      <c r="E458" t="s">
        <v>73</v>
      </c>
      <c r="F458" t="s">
        <v>87</v>
      </c>
      <c r="G458" t="s">
        <v>19</v>
      </c>
      <c r="H458" t="s">
        <v>98</v>
      </c>
      <c r="I458" t="s">
        <v>84</v>
      </c>
      <c r="J458" t="s">
        <v>42</v>
      </c>
      <c r="K458" t="s">
        <v>1014</v>
      </c>
      <c r="L458">
        <v>307.43</v>
      </c>
      <c r="M458">
        <v>495.19</v>
      </c>
      <c r="N458">
        <v>0</v>
      </c>
      <c r="O458">
        <v>42</v>
      </c>
    </row>
    <row r="459" spans="1:15">
      <c r="A459" t="s">
        <v>1015</v>
      </c>
      <c r="B459" s="39">
        <v>45048</v>
      </c>
      <c r="C459" s="39">
        <v>45065</v>
      </c>
      <c r="D459" t="s">
        <v>45</v>
      </c>
      <c r="E459" t="s">
        <v>116</v>
      </c>
      <c r="F459" t="s">
        <v>162</v>
      </c>
      <c r="G459" t="s">
        <v>39</v>
      </c>
      <c r="H459" t="s">
        <v>98</v>
      </c>
      <c r="I459" t="s">
        <v>29</v>
      </c>
      <c r="J459" t="s">
        <v>64</v>
      </c>
      <c r="K459" t="s">
        <v>1016</v>
      </c>
      <c r="L459">
        <v>714.28</v>
      </c>
      <c r="M459">
        <v>757.59</v>
      </c>
      <c r="N459">
        <v>0.136</v>
      </c>
      <c r="O459">
        <v>12</v>
      </c>
    </row>
    <row r="460" spans="1:15">
      <c r="A460" t="s">
        <v>1017</v>
      </c>
      <c r="B460" s="39">
        <v>45260</v>
      </c>
      <c r="C460" s="39">
        <v>45270</v>
      </c>
      <c r="D460" t="s">
        <v>78</v>
      </c>
      <c r="E460" t="s">
        <v>79</v>
      </c>
      <c r="F460" t="s">
        <v>159</v>
      </c>
      <c r="G460" t="s">
        <v>62</v>
      </c>
      <c r="H460" t="s">
        <v>98</v>
      </c>
      <c r="I460" t="s">
        <v>84</v>
      </c>
      <c r="J460" t="s">
        <v>57</v>
      </c>
      <c r="K460" t="s">
        <v>1018</v>
      </c>
      <c r="L460">
        <v>174.74</v>
      </c>
      <c r="M460">
        <v>415.96</v>
      </c>
      <c r="N460">
        <v>0.125</v>
      </c>
      <c r="O460">
        <v>21</v>
      </c>
    </row>
    <row r="461" spans="1:15">
      <c r="A461" t="s">
        <v>1019</v>
      </c>
      <c r="B461" s="39">
        <v>45417</v>
      </c>
      <c r="C461" s="39">
        <v>45430</v>
      </c>
      <c r="D461" t="s">
        <v>78</v>
      </c>
      <c r="E461" t="s">
        <v>90</v>
      </c>
      <c r="F461" t="s">
        <v>91</v>
      </c>
      <c r="G461" t="s">
        <v>19</v>
      </c>
      <c r="H461" t="s">
        <v>40</v>
      </c>
      <c r="I461" t="s">
        <v>75</v>
      </c>
      <c r="J461" t="s">
        <v>22</v>
      </c>
      <c r="K461" t="s">
        <v>1020</v>
      </c>
      <c r="L461">
        <v>1264.04</v>
      </c>
      <c r="M461">
        <v>1870.89</v>
      </c>
      <c r="N461">
        <v>0</v>
      </c>
      <c r="O461">
        <v>13</v>
      </c>
    </row>
    <row r="462" spans="1:15">
      <c r="A462" t="s">
        <v>1021</v>
      </c>
      <c r="B462" s="39">
        <v>45116</v>
      </c>
      <c r="C462" s="39">
        <v>45126</v>
      </c>
      <c r="D462" t="s">
        <v>45</v>
      </c>
      <c r="E462" t="s">
        <v>46</v>
      </c>
      <c r="F462" t="s">
        <v>214</v>
      </c>
      <c r="G462" t="s">
        <v>105</v>
      </c>
      <c r="H462" t="s">
        <v>55</v>
      </c>
      <c r="I462" t="s">
        <v>126</v>
      </c>
      <c r="J462" t="s">
        <v>22</v>
      </c>
      <c r="K462" t="s">
        <v>1022</v>
      </c>
      <c r="L462">
        <v>141.26</v>
      </c>
      <c r="M462">
        <v>206.88</v>
      </c>
      <c r="N462">
        <v>0.107</v>
      </c>
      <c r="O462">
        <v>9</v>
      </c>
    </row>
    <row r="463" spans="1:15">
      <c r="A463" t="s">
        <v>1023</v>
      </c>
      <c r="B463" s="39">
        <v>45063</v>
      </c>
      <c r="C463" s="39">
        <v>45092</v>
      </c>
      <c r="D463" t="s">
        <v>16</v>
      </c>
      <c r="E463" t="s">
        <v>148</v>
      </c>
      <c r="F463" t="s">
        <v>172</v>
      </c>
      <c r="G463" t="s">
        <v>105</v>
      </c>
      <c r="H463" t="s">
        <v>20</v>
      </c>
      <c r="I463" t="s">
        <v>95</v>
      </c>
      <c r="J463" t="s">
        <v>81</v>
      </c>
      <c r="K463" t="s">
        <v>1024</v>
      </c>
      <c r="L463">
        <v>40.89</v>
      </c>
      <c r="M463">
        <v>62.82</v>
      </c>
      <c r="N463">
        <v>0.129</v>
      </c>
      <c r="O463">
        <v>17</v>
      </c>
    </row>
    <row r="464" spans="1:15">
      <c r="A464" t="s">
        <v>1025</v>
      </c>
      <c r="B464" s="39">
        <v>45358</v>
      </c>
      <c r="C464" s="39">
        <v>45385</v>
      </c>
      <c r="D464" t="s">
        <v>78</v>
      </c>
      <c r="E464" t="s">
        <v>79</v>
      </c>
      <c r="F464" t="s">
        <v>335</v>
      </c>
      <c r="G464" t="s">
        <v>19</v>
      </c>
      <c r="H464" t="s">
        <v>98</v>
      </c>
      <c r="I464" t="s">
        <v>110</v>
      </c>
      <c r="J464" t="s">
        <v>30</v>
      </c>
      <c r="K464" t="s">
        <v>1026</v>
      </c>
      <c r="L464">
        <v>738.16</v>
      </c>
      <c r="M464">
        <v>956.49</v>
      </c>
      <c r="N464">
        <v>0.152</v>
      </c>
      <c r="O464">
        <v>5</v>
      </c>
    </row>
    <row r="465" spans="1:15">
      <c r="A465" t="s">
        <v>1027</v>
      </c>
      <c r="B465" s="39">
        <v>45757</v>
      </c>
      <c r="C465" s="39">
        <v>45766</v>
      </c>
      <c r="D465" t="s">
        <v>16</v>
      </c>
      <c r="E465" t="s">
        <v>148</v>
      </c>
      <c r="F465" t="s">
        <v>172</v>
      </c>
      <c r="G465" t="s">
        <v>105</v>
      </c>
      <c r="I465" t="s">
        <v>41</v>
      </c>
      <c r="J465" t="s">
        <v>35</v>
      </c>
      <c r="K465" t="s">
        <v>1028</v>
      </c>
      <c r="L465">
        <v>113.74</v>
      </c>
      <c r="M465">
        <v>165.7</v>
      </c>
      <c r="N465">
        <v>0.124</v>
      </c>
      <c r="O465">
        <v>13</v>
      </c>
    </row>
    <row r="466" spans="1:15">
      <c r="A466" t="s">
        <v>1029</v>
      </c>
      <c r="B466" s="39">
        <v>45865</v>
      </c>
      <c r="C466" s="39">
        <v>45884</v>
      </c>
      <c r="D466" t="s">
        <v>45</v>
      </c>
      <c r="E466" t="s">
        <v>46</v>
      </c>
      <c r="F466" t="s">
        <v>214</v>
      </c>
      <c r="G466" t="s">
        <v>62</v>
      </c>
      <c r="H466" t="s">
        <v>40</v>
      </c>
      <c r="I466" t="s">
        <v>29</v>
      </c>
      <c r="J466" t="s">
        <v>22</v>
      </c>
      <c r="K466" t="s">
        <v>1030</v>
      </c>
      <c r="L466">
        <v>275.43</v>
      </c>
      <c r="M466">
        <v>608.36</v>
      </c>
      <c r="N466">
        <v>0.257</v>
      </c>
      <c r="O466">
        <v>4</v>
      </c>
    </row>
    <row r="467" spans="1:15">
      <c r="A467" t="s">
        <v>1031</v>
      </c>
      <c r="B467" s="39">
        <v>45618</v>
      </c>
      <c r="C467" s="39">
        <v>45641</v>
      </c>
      <c r="D467" t="s">
        <v>16</v>
      </c>
      <c r="E467" t="s">
        <v>17</v>
      </c>
      <c r="F467" t="s">
        <v>113</v>
      </c>
      <c r="G467" t="s">
        <v>39</v>
      </c>
      <c r="H467" t="s">
        <v>55</v>
      </c>
      <c r="I467" t="s">
        <v>21</v>
      </c>
      <c r="J467" t="s">
        <v>22</v>
      </c>
      <c r="K467" t="s">
        <v>1032</v>
      </c>
      <c r="L467">
        <v>1335.76</v>
      </c>
      <c r="M467">
        <v>2665.91</v>
      </c>
      <c r="N467">
        <v>0.211</v>
      </c>
      <c r="O467">
        <v>40</v>
      </c>
    </row>
    <row r="468" spans="1:15">
      <c r="A468" t="s">
        <v>1033</v>
      </c>
      <c r="B468" s="39">
        <v>45466</v>
      </c>
      <c r="C468" s="39">
        <v>45471</v>
      </c>
      <c r="D468" t="s">
        <v>16</v>
      </c>
      <c r="E468" t="s">
        <v>25</v>
      </c>
      <c r="F468" t="s">
        <v>26</v>
      </c>
      <c r="G468" t="s">
        <v>39</v>
      </c>
      <c r="H468" t="s">
        <v>98</v>
      </c>
      <c r="I468" t="s">
        <v>110</v>
      </c>
      <c r="J468" t="s">
        <v>81</v>
      </c>
      <c r="K468" t="s">
        <v>1034</v>
      </c>
      <c r="L468">
        <v>242.31</v>
      </c>
      <c r="M468">
        <v>587.95</v>
      </c>
      <c r="N468">
        <v>0.229</v>
      </c>
      <c r="O468">
        <v>6</v>
      </c>
    </row>
    <row r="469" spans="1:15">
      <c r="A469" t="s">
        <v>1035</v>
      </c>
      <c r="B469" s="39">
        <v>45278</v>
      </c>
      <c r="C469" s="39">
        <v>45305</v>
      </c>
      <c r="D469" t="s">
        <v>45</v>
      </c>
      <c r="E469" t="s">
        <v>60</v>
      </c>
      <c r="F469" t="s">
        <v>220</v>
      </c>
      <c r="G469" t="s">
        <v>48</v>
      </c>
      <c r="H469" t="s">
        <v>55</v>
      </c>
      <c r="I469" t="s">
        <v>145</v>
      </c>
      <c r="J469" t="s">
        <v>35</v>
      </c>
      <c r="K469" t="s">
        <v>1036</v>
      </c>
      <c r="L469">
        <v>1408.3</v>
      </c>
      <c r="M469">
        <v>2193.13</v>
      </c>
      <c r="N469">
        <v>0.071</v>
      </c>
      <c r="O469">
        <v>7</v>
      </c>
    </row>
    <row r="470" spans="1:15">
      <c r="A470" t="s">
        <v>1037</v>
      </c>
      <c r="B470" s="39">
        <v>45809</v>
      </c>
      <c r="C470" s="39">
        <v>45813</v>
      </c>
      <c r="D470" t="s">
        <v>78</v>
      </c>
      <c r="E470" t="s">
        <v>79</v>
      </c>
      <c r="F470" t="s">
        <v>159</v>
      </c>
      <c r="G470" t="s">
        <v>105</v>
      </c>
      <c r="H470" t="s">
        <v>98</v>
      </c>
      <c r="I470" t="s">
        <v>110</v>
      </c>
      <c r="J470" t="s">
        <v>22</v>
      </c>
      <c r="K470" t="s">
        <v>1038</v>
      </c>
      <c r="L470">
        <v>1171.42</v>
      </c>
      <c r="M470">
        <v>2187.8</v>
      </c>
      <c r="N470">
        <v>0.23</v>
      </c>
      <c r="O470">
        <v>15</v>
      </c>
    </row>
    <row r="471" spans="1:15">
      <c r="A471" t="s">
        <v>1039</v>
      </c>
      <c r="B471" s="39">
        <v>45739</v>
      </c>
      <c r="C471" s="39">
        <v>45749</v>
      </c>
      <c r="D471" t="s">
        <v>78</v>
      </c>
      <c r="E471" t="s">
        <v>79</v>
      </c>
      <c r="F471" t="s">
        <v>80</v>
      </c>
      <c r="G471" t="s">
        <v>105</v>
      </c>
      <c r="H471" t="s">
        <v>28</v>
      </c>
      <c r="I471" t="s">
        <v>63</v>
      </c>
      <c r="J471" t="s">
        <v>30</v>
      </c>
      <c r="K471" t="s">
        <v>1040</v>
      </c>
      <c r="L471">
        <v>663.61</v>
      </c>
      <c r="M471">
        <v>1002.11</v>
      </c>
      <c r="N471">
        <v>0.046</v>
      </c>
      <c r="O471">
        <v>17</v>
      </c>
    </row>
    <row r="472" spans="1:15">
      <c r="A472" t="s">
        <v>1041</v>
      </c>
      <c r="B472" s="39">
        <v>45060</v>
      </c>
      <c r="C472" s="39">
        <v>45068</v>
      </c>
      <c r="D472" t="s">
        <v>16</v>
      </c>
      <c r="E472" t="s">
        <v>17</v>
      </c>
      <c r="F472" t="s">
        <v>113</v>
      </c>
      <c r="G472" t="s">
        <v>62</v>
      </c>
      <c r="H472" t="s">
        <v>55</v>
      </c>
      <c r="I472" t="s">
        <v>84</v>
      </c>
      <c r="J472" t="s">
        <v>30</v>
      </c>
      <c r="K472" t="s">
        <v>1042</v>
      </c>
      <c r="L472">
        <v>432.01</v>
      </c>
      <c r="M472">
        <v>913.78</v>
      </c>
      <c r="N472">
        <v>0.049</v>
      </c>
      <c r="O472">
        <v>12</v>
      </c>
    </row>
    <row r="473" spans="1:15">
      <c r="A473" t="s">
        <v>1043</v>
      </c>
      <c r="B473" s="39">
        <v>45167</v>
      </c>
      <c r="C473" s="39">
        <v>45188</v>
      </c>
      <c r="D473" t="s">
        <v>78</v>
      </c>
      <c r="E473" t="s">
        <v>90</v>
      </c>
      <c r="F473" t="s">
        <v>138</v>
      </c>
      <c r="G473" t="s">
        <v>62</v>
      </c>
      <c r="H473" t="s">
        <v>98</v>
      </c>
      <c r="I473" t="s">
        <v>56</v>
      </c>
      <c r="J473" t="s">
        <v>30</v>
      </c>
      <c r="K473" t="s">
        <v>1044</v>
      </c>
      <c r="L473">
        <v>784.46</v>
      </c>
      <c r="M473">
        <v>1843.51</v>
      </c>
      <c r="N473">
        <v>0.138</v>
      </c>
      <c r="O473">
        <v>23</v>
      </c>
    </row>
    <row r="474" spans="1:15">
      <c r="A474" t="s">
        <v>1045</v>
      </c>
      <c r="B474" s="39">
        <v>45841</v>
      </c>
      <c r="C474" s="39">
        <v>45861</v>
      </c>
      <c r="D474" t="s">
        <v>45</v>
      </c>
      <c r="E474" t="s">
        <v>116</v>
      </c>
      <c r="F474" t="s">
        <v>338</v>
      </c>
      <c r="G474" t="s">
        <v>62</v>
      </c>
      <c r="H474" t="s">
        <v>28</v>
      </c>
      <c r="I474" t="s">
        <v>110</v>
      </c>
      <c r="J474" t="s">
        <v>22</v>
      </c>
      <c r="K474" t="s">
        <v>1046</v>
      </c>
      <c r="L474">
        <v>647.36</v>
      </c>
      <c r="M474">
        <v>1383.6</v>
      </c>
      <c r="N474">
        <v>0.074</v>
      </c>
      <c r="O474">
        <v>12</v>
      </c>
    </row>
    <row r="475" spans="1:15">
      <c r="A475" t="s">
        <v>1047</v>
      </c>
      <c r="B475" s="39">
        <v>45328</v>
      </c>
      <c r="C475" s="39">
        <v>45350</v>
      </c>
      <c r="D475" t="s">
        <v>16</v>
      </c>
      <c r="E475" t="s">
        <v>17</v>
      </c>
      <c r="F475" t="s">
        <v>18</v>
      </c>
      <c r="G475" t="s">
        <v>39</v>
      </c>
      <c r="H475" t="s">
        <v>28</v>
      </c>
      <c r="I475" t="s">
        <v>95</v>
      </c>
      <c r="J475" t="s">
        <v>64</v>
      </c>
      <c r="K475" t="s">
        <v>1048</v>
      </c>
      <c r="L475">
        <v>834.93</v>
      </c>
      <c r="M475">
        <v>1588.53</v>
      </c>
      <c r="N475">
        <v>0.126</v>
      </c>
      <c r="O475">
        <v>6</v>
      </c>
    </row>
    <row r="476" spans="1:15">
      <c r="A476" t="s">
        <v>1049</v>
      </c>
      <c r="B476" s="39">
        <v>45882</v>
      </c>
      <c r="C476" s="39">
        <v>45903</v>
      </c>
      <c r="D476" t="s">
        <v>78</v>
      </c>
      <c r="E476" t="s">
        <v>90</v>
      </c>
      <c r="F476" t="s">
        <v>217</v>
      </c>
      <c r="G476" t="s">
        <v>27</v>
      </c>
      <c r="H476" t="s">
        <v>20</v>
      </c>
      <c r="I476" t="s">
        <v>34</v>
      </c>
      <c r="J476" t="s">
        <v>42</v>
      </c>
      <c r="K476" t="s">
        <v>1050</v>
      </c>
      <c r="L476">
        <v>603.47</v>
      </c>
      <c r="M476">
        <v>1344.05</v>
      </c>
      <c r="N476">
        <v>0.205</v>
      </c>
      <c r="O476">
        <v>18</v>
      </c>
    </row>
    <row r="477" spans="1:15">
      <c r="A477" t="s">
        <v>1051</v>
      </c>
      <c r="B477" s="39">
        <v>45069</v>
      </c>
      <c r="C477" s="39">
        <v>45071</v>
      </c>
      <c r="D477" t="s">
        <v>52</v>
      </c>
      <c r="E477" t="s">
        <v>73</v>
      </c>
      <c r="F477" t="s">
        <v>225</v>
      </c>
      <c r="G477" t="s">
        <v>105</v>
      </c>
      <c r="H477" t="s">
        <v>20</v>
      </c>
      <c r="I477" t="s">
        <v>110</v>
      </c>
      <c r="J477" t="s">
        <v>30</v>
      </c>
      <c r="K477" t="s">
        <v>1052</v>
      </c>
      <c r="L477">
        <v>690.49</v>
      </c>
      <c r="M477">
        <v>1290.29</v>
      </c>
      <c r="N477">
        <v>0.042</v>
      </c>
      <c r="O477">
        <v>22</v>
      </c>
    </row>
    <row r="478" spans="1:15">
      <c r="A478" t="s">
        <v>1053</v>
      </c>
      <c r="B478" s="39">
        <v>45422</v>
      </c>
      <c r="C478" s="39">
        <v>45428</v>
      </c>
      <c r="D478" t="s">
        <v>78</v>
      </c>
      <c r="E478" t="s">
        <v>108</v>
      </c>
      <c r="F478" t="s">
        <v>109</v>
      </c>
      <c r="G478" t="s">
        <v>39</v>
      </c>
      <c r="H478" t="s">
        <v>98</v>
      </c>
      <c r="I478" t="s">
        <v>41</v>
      </c>
      <c r="J478" t="s">
        <v>57</v>
      </c>
      <c r="K478" t="s">
        <v>1054</v>
      </c>
      <c r="L478">
        <v>210.76</v>
      </c>
      <c r="M478">
        <v>221.58</v>
      </c>
      <c r="N478">
        <v>0.089</v>
      </c>
      <c r="O478">
        <v>5</v>
      </c>
    </row>
    <row r="479" spans="1:15">
      <c r="A479" t="s">
        <v>1055</v>
      </c>
      <c r="B479" s="39">
        <v>44999</v>
      </c>
      <c r="C479" s="39">
        <v>45003</v>
      </c>
      <c r="D479" t="s">
        <v>78</v>
      </c>
      <c r="E479" t="s">
        <v>79</v>
      </c>
      <c r="F479" t="s">
        <v>335</v>
      </c>
      <c r="G479" t="s">
        <v>105</v>
      </c>
      <c r="H479" t="s">
        <v>98</v>
      </c>
      <c r="I479" t="s">
        <v>75</v>
      </c>
      <c r="J479" t="s">
        <v>22</v>
      </c>
      <c r="K479" t="s">
        <v>1056</v>
      </c>
      <c r="L479">
        <v>472.33</v>
      </c>
      <c r="M479">
        <v>360.34</v>
      </c>
      <c r="N479">
        <v>0.165</v>
      </c>
      <c r="O479">
        <v>14</v>
      </c>
    </row>
    <row r="480" spans="1:15">
      <c r="A480" t="s">
        <v>1057</v>
      </c>
      <c r="B480" s="39">
        <v>45123</v>
      </c>
      <c r="C480" s="39">
        <v>45151</v>
      </c>
      <c r="D480" t="s">
        <v>78</v>
      </c>
      <c r="E480" t="s">
        <v>108</v>
      </c>
      <c r="F480" t="s">
        <v>228</v>
      </c>
      <c r="G480" t="s">
        <v>39</v>
      </c>
      <c r="H480" t="s">
        <v>28</v>
      </c>
      <c r="I480" t="s">
        <v>29</v>
      </c>
      <c r="J480" t="s">
        <v>57</v>
      </c>
      <c r="K480" t="s">
        <v>1058</v>
      </c>
      <c r="L480">
        <v>1039.03</v>
      </c>
      <c r="M480">
        <v>2545.81</v>
      </c>
      <c r="N480">
        <v>0.216</v>
      </c>
      <c r="O480">
        <v>21</v>
      </c>
    </row>
    <row r="481" spans="1:15">
      <c r="A481" t="s">
        <v>1059</v>
      </c>
      <c r="B481" s="39">
        <v>45032</v>
      </c>
      <c r="C481" s="39">
        <v>45035</v>
      </c>
      <c r="D481" t="s">
        <v>78</v>
      </c>
      <c r="E481" t="s">
        <v>79</v>
      </c>
      <c r="F481" t="s">
        <v>159</v>
      </c>
      <c r="G481" t="s">
        <v>19</v>
      </c>
      <c r="H481" t="s">
        <v>98</v>
      </c>
      <c r="I481" t="s">
        <v>56</v>
      </c>
      <c r="J481" t="s">
        <v>81</v>
      </c>
      <c r="K481" t="s">
        <v>1060</v>
      </c>
      <c r="L481">
        <v>553.61</v>
      </c>
      <c r="M481">
        <v>699.47</v>
      </c>
      <c r="N481">
        <v>0.02</v>
      </c>
      <c r="O481">
        <v>33</v>
      </c>
    </row>
    <row r="482" spans="1:15">
      <c r="A482" t="s">
        <v>1061</v>
      </c>
      <c r="B482" s="39">
        <v>45293</v>
      </c>
      <c r="C482" s="39">
        <v>45306</v>
      </c>
      <c r="D482" t="s">
        <v>45</v>
      </c>
      <c r="E482" t="s">
        <v>46</v>
      </c>
      <c r="F482" t="s">
        <v>231</v>
      </c>
      <c r="G482" t="s">
        <v>62</v>
      </c>
      <c r="H482" t="s">
        <v>40</v>
      </c>
      <c r="I482" t="s">
        <v>41</v>
      </c>
      <c r="J482" t="s">
        <v>35</v>
      </c>
      <c r="K482" t="s">
        <v>1062</v>
      </c>
      <c r="L482">
        <v>1219.06</v>
      </c>
      <c r="M482">
        <v>2738.69</v>
      </c>
      <c r="N482">
        <v>0.076</v>
      </c>
      <c r="O482">
        <v>16</v>
      </c>
    </row>
    <row r="483" spans="1:15">
      <c r="A483" t="s">
        <v>1063</v>
      </c>
      <c r="B483" s="39">
        <v>45538</v>
      </c>
      <c r="C483" s="39">
        <v>45542</v>
      </c>
      <c r="D483" t="s">
        <v>45</v>
      </c>
      <c r="E483" t="s">
        <v>46</v>
      </c>
      <c r="F483" t="s">
        <v>214</v>
      </c>
      <c r="G483" t="s">
        <v>62</v>
      </c>
      <c r="H483" t="s">
        <v>55</v>
      </c>
      <c r="I483" t="s">
        <v>126</v>
      </c>
      <c r="J483" t="s">
        <v>30</v>
      </c>
      <c r="K483" t="s">
        <v>1064</v>
      </c>
      <c r="L483">
        <v>43.23</v>
      </c>
      <c r="M483">
        <v>94.78</v>
      </c>
      <c r="N483">
        <v>0.091</v>
      </c>
      <c r="O483">
        <v>55</v>
      </c>
    </row>
    <row r="484" spans="1:15">
      <c r="A484" t="s">
        <v>1065</v>
      </c>
      <c r="B484" s="39">
        <v>45899</v>
      </c>
      <c r="C484" s="39">
        <v>45903</v>
      </c>
      <c r="D484" t="s">
        <v>78</v>
      </c>
      <c r="E484" t="s">
        <v>90</v>
      </c>
      <c r="F484" t="s">
        <v>91</v>
      </c>
      <c r="G484" t="s">
        <v>62</v>
      </c>
      <c r="H484" t="s">
        <v>40</v>
      </c>
      <c r="I484" t="s">
        <v>29</v>
      </c>
      <c r="J484" t="s">
        <v>57</v>
      </c>
      <c r="K484" t="s">
        <v>1066</v>
      </c>
      <c r="L484">
        <v>1286.56</v>
      </c>
      <c r="M484">
        <v>2777.35</v>
      </c>
      <c r="N484">
        <v>0.132</v>
      </c>
      <c r="O484">
        <v>15</v>
      </c>
    </row>
    <row r="485" spans="1:15">
      <c r="A485" t="s">
        <v>1067</v>
      </c>
      <c r="B485" s="39">
        <v>45775</v>
      </c>
      <c r="C485" s="39">
        <v>45796</v>
      </c>
      <c r="D485" t="s">
        <v>78</v>
      </c>
      <c r="E485" t="s">
        <v>79</v>
      </c>
      <c r="F485" t="s">
        <v>80</v>
      </c>
      <c r="G485" t="s">
        <v>19</v>
      </c>
      <c r="H485" t="s">
        <v>55</v>
      </c>
      <c r="I485" t="s">
        <v>56</v>
      </c>
      <c r="J485" t="s">
        <v>42</v>
      </c>
      <c r="K485" t="s">
        <v>1068</v>
      </c>
      <c r="L485">
        <v>350.76</v>
      </c>
      <c r="M485">
        <v>492.18</v>
      </c>
      <c r="N485">
        <v>0.053</v>
      </c>
      <c r="O485">
        <v>11</v>
      </c>
    </row>
    <row r="486" spans="1:15">
      <c r="A486" t="s">
        <v>1069</v>
      </c>
      <c r="B486" s="39">
        <v>45148</v>
      </c>
      <c r="C486" s="39">
        <v>45153</v>
      </c>
      <c r="D486" t="s">
        <v>52</v>
      </c>
      <c r="E486" t="s">
        <v>73</v>
      </c>
      <c r="F486" t="s">
        <v>74</v>
      </c>
      <c r="G486" t="s">
        <v>27</v>
      </c>
      <c r="H486" t="s">
        <v>98</v>
      </c>
      <c r="I486" t="s">
        <v>41</v>
      </c>
      <c r="J486" t="s">
        <v>35</v>
      </c>
      <c r="K486" t="s">
        <v>1070</v>
      </c>
      <c r="L486">
        <v>1307.52</v>
      </c>
      <c r="M486">
        <v>1921.65</v>
      </c>
      <c r="N486">
        <v>0.123</v>
      </c>
      <c r="O486">
        <v>13</v>
      </c>
    </row>
    <row r="487" spans="1:15">
      <c r="A487" t="s">
        <v>1071</v>
      </c>
      <c r="B487" s="39">
        <v>45634</v>
      </c>
      <c r="C487" s="39">
        <v>45634</v>
      </c>
      <c r="D487" t="s">
        <v>78</v>
      </c>
      <c r="E487" t="s">
        <v>90</v>
      </c>
      <c r="F487" t="s">
        <v>138</v>
      </c>
      <c r="G487" t="s">
        <v>105</v>
      </c>
      <c r="H487" t="s">
        <v>20</v>
      </c>
      <c r="I487" t="s">
        <v>92</v>
      </c>
      <c r="J487" t="s">
        <v>22</v>
      </c>
      <c r="K487" t="s">
        <v>1072</v>
      </c>
      <c r="L487">
        <v>257.44</v>
      </c>
      <c r="M487">
        <v>290.33</v>
      </c>
      <c r="N487">
        <v>0.092</v>
      </c>
      <c r="O487">
        <v>23</v>
      </c>
    </row>
    <row r="488" spans="1:15">
      <c r="A488" t="s">
        <v>1073</v>
      </c>
      <c r="B488" s="39">
        <v>45224</v>
      </c>
      <c r="C488" s="39">
        <v>45254</v>
      </c>
      <c r="D488" t="s">
        <v>78</v>
      </c>
      <c r="E488" t="s">
        <v>90</v>
      </c>
      <c r="F488" t="s">
        <v>217</v>
      </c>
      <c r="G488" t="s">
        <v>105</v>
      </c>
      <c r="H488" t="s">
        <v>55</v>
      </c>
      <c r="I488" t="s">
        <v>21</v>
      </c>
      <c r="J488" t="s">
        <v>42</v>
      </c>
      <c r="K488" t="s">
        <v>1074</v>
      </c>
      <c r="L488">
        <v>287.85</v>
      </c>
      <c r="M488">
        <v>602.92</v>
      </c>
      <c r="N488">
        <v>0.222</v>
      </c>
      <c r="O488">
        <v>11</v>
      </c>
    </row>
    <row r="489" spans="1:15">
      <c r="A489" t="s">
        <v>1075</v>
      </c>
      <c r="B489" s="39">
        <v>45613</v>
      </c>
      <c r="C489" s="39">
        <v>45624</v>
      </c>
      <c r="D489" t="s">
        <v>52</v>
      </c>
      <c r="E489" t="s">
        <v>53</v>
      </c>
      <c r="G489" t="s">
        <v>48</v>
      </c>
      <c r="H489" t="s">
        <v>55</v>
      </c>
      <c r="I489" t="s">
        <v>75</v>
      </c>
      <c r="J489" t="s">
        <v>30</v>
      </c>
      <c r="K489" t="s">
        <v>1076</v>
      </c>
      <c r="L489">
        <v>1008.16</v>
      </c>
      <c r="M489">
        <v>2077.5</v>
      </c>
      <c r="N489">
        <v>0.074</v>
      </c>
      <c r="O489">
        <v>15</v>
      </c>
    </row>
    <row r="490" spans="1:15">
      <c r="A490" t="s">
        <v>1077</v>
      </c>
      <c r="B490" s="39">
        <v>45424</v>
      </c>
      <c r="C490" s="39">
        <v>45436</v>
      </c>
      <c r="D490" t="s">
        <v>78</v>
      </c>
      <c r="E490" t="s">
        <v>108</v>
      </c>
      <c r="F490" t="s">
        <v>228</v>
      </c>
      <c r="G490" t="s">
        <v>27</v>
      </c>
      <c r="H490" t="s">
        <v>40</v>
      </c>
      <c r="I490" t="s">
        <v>95</v>
      </c>
      <c r="J490" t="s">
        <v>30</v>
      </c>
      <c r="K490" t="s">
        <v>1078</v>
      </c>
      <c r="L490">
        <v>111.02</v>
      </c>
      <c r="M490">
        <v>172.88</v>
      </c>
      <c r="N490">
        <v>0.197</v>
      </c>
      <c r="O490">
        <v>29</v>
      </c>
    </row>
    <row r="491" spans="1:15">
      <c r="A491" t="s">
        <v>1079</v>
      </c>
      <c r="B491" s="39">
        <v>45792</v>
      </c>
      <c r="C491" s="39">
        <v>45813</v>
      </c>
      <c r="D491" t="s">
        <v>45</v>
      </c>
      <c r="E491" t="s">
        <v>46</v>
      </c>
      <c r="F491" t="s">
        <v>47</v>
      </c>
      <c r="G491" t="s">
        <v>105</v>
      </c>
      <c r="H491" t="s">
        <v>98</v>
      </c>
      <c r="I491" t="s">
        <v>92</v>
      </c>
      <c r="J491" t="s">
        <v>42</v>
      </c>
      <c r="K491" t="s">
        <v>1080</v>
      </c>
      <c r="L491">
        <v>1466.5</v>
      </c>
      <c r="M491">
        <v>2778.74</v>
      </c>
      <c r="N491">
        <v>0.135</v>
      </c>
      <c r="O491">
        <v>4</v>
      </c>
    </row>
    <row r="492" spans="1:15">
      <c r="A492" t="s">
        <v>1081</v>
      </c>
      <c r="B492" s="39">
        <v>45403</v>
      </c>
      <c r="C492" s="39">
        <v>45431</v>
      </c>
      <c r="D492" t="s">
        <v>16</v>
      </c>
      <c r="E492" t="s">
        <v>25</v>
      </c>
      <c r="F492" t="s">
        <v>38</v>
      </c>
      <c r="G492" t="s">
        <v>19</v>
      </c>
      <c r="H492" t="s">
        <v>55</v>
      </c>
      <c r="I492" t="s">
        <v>75</v>
      </c>
      <c r="J492" t="s">
        <v>81</v>
      </c>
      <c r="K492" t="s">
        <v>1082</v>
      </c>
      <c r="L492">
        <v>187.22</v>
      </c>
      <c r="M492">
        <v>309.47</v>
      </c>
      <c r="N492">
        <v>0</v>
      </c>
      <c r="O492">
        <v>5</v>
      </c>
    </row>
    <row r="493" spans="1:15">
      <c r="A493" t="s">
        <v>1083</v>
      </c>
      <c r="B493" s="39">
        <v>45523</v>
      </c>
      <c r="C493" s="39">
        <v>45542</v>
      </c>
      <c r="D493" t="s">
        <v>78</v>
      </c>
      <c r="E493" t="s">
        <v>90</v>
      </c>
      <c r="F493" t="s">
        <v>138</v>
      </c>
      <c r="G493" t="s">
        <v>19</v>
      </c>
      <c r="H493" t="s">
        <v>98</v>
      </c>
      <c r="I493" t="s">
        <v>29</v>
      </c>
      <c r="J493" t="s">
        <v>22</v>
      </c>
      <c r="K493" t="s">
        <v>1084</v>
      </c>
      <c r="L493">
        <v>297.59</v>
      </c>
      <c r="M493">
        <v>666.41</v>
      </c>
      <c r="N493">
        <v>0</v>
      </c>
      <c r="O493">
        <v>10</v>
      </c>
    </row>
    <row r="494" spans="1:15">
      <c r="A494" t="s">
        <v>1085</v>
      </c>
      <c r="B494" s="39">
        <v>45861</v>
      </c>
      <c r="C494" s="39">
        <v>45888</v>
      </c>
      <c r="D494" t="s">
        <v>45</v>
      </c>
      <c r="E494" t="s">
        <v>46</v>
      </c>
      <c r="F494" t="s">
        <v>231</v>
      </c>
      <c r="G494" t="s">
        <v>48</v>
      </c>
      <c r="H494" t="s">
        <v>40</v>
      </c>
      <c r="I494" t="s">
        <v>56</v>
      </c>
      <c r="J494" t="s">
        <v>81</v>
      </c>
      <c r="K494" t="s">
        <v>1086</v>
      </c>
      <c r="L494">
        <v>896.09</v>
      </c>
      <c r="M494">
        <v>744.27</v>
      </c>
      <c r="N494">
        <v>0.083</v>
      </c>
      <c r="O494">
        <v>11</v>
      </c>
    </row>
    <row r="495" spans="1:15">
      <c r="A495" t="s">
        <v>1087</v>
      </c>
      <c r="B495" s="39">
        <v>45352</v>
      </c>
      <c r="C495" s="39">
        <v>45351</v>
      </c>
      <c r="D495" t="s">
        <v>52</v>
      </c>
      <c r="E495" t="s">
        <v>73</v>
      </c>
      <c r="F495" t="s">
        <v>74</v>
      </c>
      <c r="G495" t="s">
        <v>39</v>
      </c>
      <c r="H495" t="s">
        <v>98</v>
      </c>
      <c r="I495" t="s">
        <v>34</v>
      </c>
      <c r="J495" t="s">
        <v>42</v>
      </c>
      <c r="K495" t="s">
        <v>1088</v>
      </c>
      <c r="L495">
        <v>5.34</v>
      </c>
      <c r="M495">
        <v>12.69</v>
      </c>
      <c r="N495">
        <v>0.132</v>
      </c>
      <c r="O495">
        <v>10</v>
      </c>
    </row>
    <row r="496" spans="1:15">
      <c r="A496" t="s">
        <v>1089</v>
      </c>
      <c r="B496" s="39">
        <v>45439</v>
      </c>
      <c r="C496" s="39">
        <v>45460</v>
      </c>
      <c r="D496" t="s">
        <v>45</v>
      </c>
      <c r="E496" t="s">
        <v>60</v>
      </c>
      <c r="F496" t="s">
        <v>141</v>
      </c>
      <c r="G496" t="s">
        <v>62</v>
      </c>
      <c r="H496" t="s">
        <v>28</v>
      </c>
      <c r="I496" t="s">
        <v>92</v>
      </c>
      <c r="J496" t="s">
        <v>81</v>
      </c>
      <c r="K496" t="s">
        <v>1090</v>
      </c>
      <c r="L496">
        <v>465.02</v>
      </c>
      <c r="M496">
        <v>651.56</v>
      </c>
      <c r="N496">
        <v>0.042</v>
      </c>
      <c r="O496">
        <v>19</v>
      </c>
    </row>
    <row r="497" spans="1:15">
      <c r="A497" t="s">
        <v>1091</v>
      </c>
      <c r="B497" s="39">
        <v>45508</v>
      </c>
      <c r="C497" s="39">
        <v>45521</v>
      </c>
      <c r="D497" t="s">
        <v>52</v>
      </c>
      <c r="E497" t="s">
        <v>122</v>
      </c>
      <c r="F497" t="s">
        <v>326</v>
      </c>
      <c r="G497" t="s">
        <v>48</v>
      </c>
      <c r="H497" t="s">
        <v>20</v>
      </c>
      <c r="I497" t="s">
        <v>145</v>
      </c>
      <c r="J497" t="s">
        <v>64</v>
      </c>
      <c r="K497" t="s">
        <v>1092</v>
      </c>
      <c r="L497">
        <v>352.79</v>
      </c>
      <c r="M497">
        <v>754.22</v>
      </c>
      <c r="N497">
        <v>0.113</v>
      </c>
      <c r="O497">
        <v>7</v>
      </c>
    </row>
    <row r="498" spans="1:15">
      <c r="A498" t="s">
        <v>1093</v>
      </c>
      <c r="B498" s="39">
        <v>45097</v>
      </c>
      <c r="C498" s="39">
        <v>45111</v>
      </c>
      <c r="D498" t="s">
        <v>52</v>
      </c>
      <c r="E498" t="s">
        <v>73</v>
      </c>
      <c r="F498" t="s">
        <v>87</v>
      </c>
      <c r="G498" t="s">
        <v>39</v>
      </c>
      <c r="H498" t="s">
        <v>98</v>
      </c>
      <c r="I498" t="s">
        <v>21</v>
      </c>
      <c r="J498" t="s">
        <v>35</v>
      </c>
      <c r="K498" t="s">
        <v>1094</v>
      </c>
      <c r="L498">
        <v>1292.86</v>
      </c>
      <c r="M498">
        <v>2981.01</v>
      </c>
      <c r="N498">
        <v>0.142</v>
      </c>
      <c r="O498">
        <v>12</v>
      </c>
    </row>
    <row r="499" spans="1:15">
      <c r="A499" t="s">
        <v>1095</v>
      </c>
      <c r="B499" s="39">
        <v>45544</v>
      </c>
      <c r="C499" s="39">
        <v>45548</v>
      </c>
      <c r="D499" t="s">
        <v>78</v>
      </c>
      <c r="E499" t="s">
        <v>108</v>
      </c>
      <c r="F499" t="s">
        <v>152</v>
      </c>
      <c r="G499" t="s">
        <v>48</v>
      </c>
      <c r="H499" t="s">
        <v>40</v>
      </c>
      <c r="I499" t="s">
        <v>84</v>
      </c>
      <c r="J499" t="s">
        <v>35</v>
      </c>
      <c r="K499" t="s">
        <v>1096</v>
      </c>
      <c r="L499">
        <v>1133.08</v>
      </c>
      <c r="M499">
        <v>976.17</v>
      </c>
      <c r="N499">
        <v>0.042</v>
      </c>
      <c r="O499">
        <v>27</v>
      </c>
    </row>
    <row r="500" spans="1:15">
      <c r="A500" t="s">
        <v>1097</v>
      </c>
      <c r="B500" s="39">
        <v>45224</v>
      </c>
      <c r="C500" s="39">
        <v>45227</v>
      </c>
      <c r="D500" t="s">
        <v>52</v>
      </c>
      <c r="E500" t="s">
        <v>73</v>
      </c>
      <c r="F500" t="s">
        <v>87</v>
      </c>
      <c r="G500" t="s">
        <v>19</v>
      </c>
      <c r="H500" t="s">
        <v>55</v>
      </c>
      <c r="I500" t="s">
        <v>49</v>
      </c>
      <c r="J500" t="s">
        <v>81</v>
      </c>
      <c r="K500" t="s">
        <v>1098</v>
      </c>
      <c r="L500">
        <v>509.31</v>
      </c>
      <c r="M500">
        <v>1145.9</v>
      </c>
      <c r="N500">
        <v>0.057</v>
      </c>
      <c r="O500">
        <v>8</v>
      </c>
    </row>
    <row r="501" spans="1:15">
      <c r="A501" t="s">
        <v>1099</v>
      </c>
      <c r="B501" s="39">
        <v>45908</v>
      </c>
      <c r="C501" s="39">
        <v>45935</v>
      </c>
      <c r="D501" t="s">
        <v>52</v>
      </c>
      <c r="E501" t="s">
        <v>73</v>
      </c>
      <c r="F501" t="s">
        <v>225</v>
      </c>
      <c r="G501" t="s">
        <v>27</v>
      </c>
      <c r="H501" t="s">
        <v>28</v>
      </c>
      <c r="I501" t="s">
        <v>21</v>
      </c>
      <c r="J501" t="s">
        <v>64</v>
      </c>
      <c r="K501" t="s">
        <v>1100</v>
      </c>
      <c r="L501">
        <v>660.78</v>
      </c>
      <c r="M501">
        <v>1630.39</v>
      </c>
      <c r="N501">
        <v>0.218</v>
      </c>
      <c r="O501">
        <v>13</v>
      </c>
    </row>
    <row r="502" spans="1:15">
      <c r="A502" t="s">
        <v>1101</v>
      </c>
      <c r="B502" s="39">
        <v>45048</v>
      </c>
      <c r="C502" s="39">
        <v>45062</v>
      </c>
      <c r="D502" t="s">
        <v>45</v>
      </c>
      <c r="E502" t="s">
        <v>60</v>
      </c>
      <c r="F502" t="s">
        <v>61</v>
      </c>
      <c r="G502" t="s">
        <v>39</v>
      </c>
      <c r="H502" t="s">
        <v>20</v>
      </c>
      <c r="I502" t="s">
        <v>49</v>
      </c>
      <c r="J502" t="s">
        <v>64</v>
      </c>
      <c r="K502" t="s">
        <v>1102</v>
      </c>
      <c r="L502">
        <v>475.37</v>
      </c>
      <c r="M502">
        <v>963.73</v>
      </c>
      <c r="N502">
        <v>0.041</v>
      </c>
      <c r="O502">
        <v>22</v>
      </c>
    </row>
    <row r="503" spans="1:15">
      <c r="A503" t="s">
        <v>1103</v>
      </c>
      <c r="B503" s="39">
        <v>45408</v>
      </c>
      <c r="C503" s="39">
        <v>45406</v>
      </c>
      <c r="D503" t="s">
        <v>78</v>
      </c>
      <c r="E503" t="s">
        <v>108</v>
      </c>
      <c r="F503" t="s">
        <v>152</v>
      </c>
      <c r="G503" t="s">
        <v>39</v>
      </c>
      <c r="H503" t="s">
        <v>55</v>
      </c>
      <c r="I503" t="s">
        <v>126</v>
      </c>
      <c r="J503" t="s">
        <v>42</v>
      </c>
      <c r="K503" t="s">
        <v>1104</v>
      </c>
      <c r="L503">
        <v>1232.77</v>
      </c>
      <c r="M503">
        <v>891.73</v>
      </c>
      <c r="N503">
        <v>0.167</v>
      </c>
      <c r="O503">
        <v>10</v>
      </c>
    </row>
    <row r="504" spans="1:15">
      <c r="A504" t="s">
        <v>1105</v>
      </c>
      <c r="B504" s="39">
        <v>44980</v>
      </c>
      <c r="C504" s="39">
        <v>45003</v>
      </c>
      <c r="D504" t="s">
        <v>45</v>
      </c>
      <c r="E504" t="s">
        <v>116</v>
      </c>
      <c r="F504" t="s">
        <v>338</v>
      </c>
      <c r="G504" t="s">
        <v>27</v>
      </c>
      <c r="H504" t="s">
        <v>55</v>
      </c>
      <c r="I504" t="s">
        <v>95</v>
      </c>
      <c r="J504" t="s">
        <v>30</v>
      </c>
      <c r="K504" t="s">
        <v>1106</v>
      </c>
      <c r="L504">
        <v>770.11</v>
      </c>
      <c r="M504">
        <v>1667.82</v>
      </c>
      <c r="N504">
        <v>0.069</v>
      </c>
      <c r="O504">
        <v>7</v>
      </c>
    </row>
    <row r="505" spans="1:15">
      <c r="A505" t="s">
        <v>1107</v>
      </c>
      <c r="B505" s="39">
        <v>45740</v>
      </c>
      <c r="C505" s="39">
        <v>45741</v>
      </c>
      <c r="D505" t="s">
        <v>45</v>
      </c>
      <c r="E505" t="s">
        <v>116</v>
      </c>
      <c r="F505" t="s">
        <v>338</v>
      </c>
      <c r="G505" t="s">
        <v>39</v>
      </c>
      <c r="H505" t="s">
        <v>28</v>
      </c>
      <c r="I505" t="s">
        <v>41</v>
      </c>
      <c r="J505" t="s">
        <v>35</v>
      </c>
      <c r="K505" t="s">
        <v>1108</v>
      </c>
      <c r="L505">
        <v>1133.03</v>
      </c>
      <c r="M505">
        <v>1921.51</v>
      </c>
      <c r="N505">
        <v>0.101</v>
      </c>
      <c r="O505">
        <v>5</v>
      </c>
    </row>
    <row r="506" spans="1:15">
      <c r="A506" t="s">
        <v>1109</v>
      </c>
      <c r="B506" s="39">
        <v>45726</v>
      </c>
      <c r="C506" s="39">
        <v>45743</v>
      </c>
      <c r="D506" t="s">
        <v>52</v>
      </c>
      <c r="E506" t="s">
        <v>73</v>
      </c>
      <c r="F506" t="s">
        <v>225</v>
      </c>
      <c r="G506" t="s">
        <v>105</v>
      </c>
      <c r="H506" t="s">
        <v>98</v>
      </c>
      <c r="I506" t="s">
        <v>84</v>
      </c>
      <c r="J506" t="s">
        <v>35</v>
      </c>
      <c r="K506" t="s">
        <v>1110</v>
      </c>
      <c r="L506">
        <v>996.73</v>
      </c>
      <c r="M506">
        <v>1217.43</v>
      </c>
      <c r="N506">
        <v>0.07</v>
      </c>
      <c r="O506">
        <v>9</v>
      </c>
    </row>
    <row r="507" spans="1:15">
      <c r="A507" t="s">
        <v>1111</v>
      </c>
      <c r="B507" s="39">
        <v>45387</v>
      </c>
      <c r="C507" s="39">
        <v>45391</v>
      </c>
      <c r="D507" t="s">
        <v>16</v>
      </c>
      <c r="E507" t="s">
        <v>25</v>
      </c>
      <c r="F507" t="s">
        <v>38</v>
      </c>
      <c r="G507" t="s">
        <v>39</v>
      </c>
      <c r="H507" t="s">
        <v>98</v>
      </c>
      <c r="I507" t="s">
        <v>95</v>
      </c>
      <c r="J507" t="s">
        <v>22</v>
      </c>
      <c r="K507" t="s">
        <v>1112</v>
      </c>
      <c r="L507">
        <v>395.07</v>
      </c>
      <c r="M507">
        <v>970.27</v>
      </c>
      <c r="N507">
        <v>0.123</v>
      </c>
      <c r="O507">
        <v>38</v>
      </c>
    </row>
    <row r="508" spans="1:15">
      <c r="A508" t="s">
        <v>1113</v>
      </c>
      <c r="B508" s="39">
        <v>45774</v>
      </c>
      <c r="C508" s="39">
        <v>45794</v>
      </c>
      <c r="D508" t="s">
        <v>52</v>
      </c>
      <c r="E508" t="s">
        <v>122</v>
      </c>
      <c r="F508" t="s">
        <v>326</v>
      </c>
      <c r="G508" t="s">
        <v>19</v>
      </c>
      <c r="H508" t="s">
        <v>98</v>
      </c>
      <c r="I508" t="s">
        <v>126</v>
      </c>
      <c r="J508" t="s">
        <v>42</v>
      </c>
      <c r="K508" t="s">
        <v>1114</v>
      </c>
      <c r="L508">
        <v>932.26</v>
      </c>
      <c r="M508">
        <v>1624.67</v>
      </c>
      <c r="N508">
        <v>0.235</v>
      </c>
      <c r="O508">
        <v>28</v>
      </c>
    </row>
    <row r="509" spans="1:15">
      <c r="A509" t="s">
        <v>1115</v>
      </c>
      <c r="B509" s="39">
        <v>45589</v>
      </c>
      <c r="C509" s="39">
        <v>45593</v>
      </c>
      <c r="D509" t="s">
        <v>45</v>
      </c>
      <c r="E509" t="s">
        <v>116</v>
      </c>
      <c r="F509" t="s">
        <v>162</v>
      </c>
      <c r="G509" t="s">
        <v>62</v>
      </c>
      <c r="H509" t="s">
        <v>55</v>
      </c>
      <c r="I509" t="s">
        <v>34</v>
      </c>
      <c r="J509" t="s">
        <v>35</v>
      </c>
      <c r="K509" t="s">
        <v>1116</v>
      </c>
      <c r="L509">
        <v>1331.77</v>
      </c>
      <c r="M509">
        <v>2606.11</v>
      </c>
      <c r="N509">
        <v>0.02</v>
      </c>
      <c r="O509">
        <v>6</v>
      </c>
    </row>
    <row r="510" spans="1:15">
      <c r="A510" t="s">
        <v>1117</v>
      </c>
      <c r="B510" s="39">
        <v>45029</v>
      </c>
      <c r="C510" s="39">
        <v>45036</v>
      </c>
      <c r="D510" t="s">
        <v>78</v>
      </c>
      <c r="E510" t="s">
        <v>90</v>
      </c>
      <c r="F510" t="s">
        <v>138</v>
      </c>
      <c r="G510" t="s">
        <v>62</v>
      </c>
      <c r="H510" t="s">
        <v>28</v>
      </c>
      <c r="I510" t="s">
        <v>75</v>
      </c>
      <c r="J510" t="s">
        <v>57</v>
      </c>
      <c r="K510" t="s">
        <v>1118</v>
      </c>
      <c r="L510">
        <v>227.02</v>
      </c>
      <c r="M510">
        <v>434.72</v>
      </c>
      <c r="N510">
        <v>0.098</v>
      </c>
      <c r="O510">
        <v>10</v>
      </c>
    </row>
    <row r="511" spans="1:15">
      <c r="A511" t="s">
        <v>1119</v>
      </c>
      <c r="B511" s="39">
        <v>45608</v>
      </c>
      <c r="C511" s="39">
        <v>45617</v>
      </c>
      <c r="D511" t="s">
        <v>45</v>
      </c>
      <c r="E511" t="s">
        <v>60</v>
      </c>
      <c r="F511" t="s">
        <v>220</v>
      </c>
      <c r="G511" t="s">
        <v>19</v>
      </c>
      <c r="H511" t="s">
        <v>98</v>
      </c>
      <c r="I511" t="s">
        <v>92</v>
      </c>
      <c r="J511" t="s">
        <v>57</v>
      </c>
      <c r="K511" t="s">
        <v>1120</v>
      </c>
      <c r="L511">
        <v>903.41</v>
      </c>
      <c r="M511">
        <v>1860.41</v>
      </c>
      <c r="N511">
        <v>0.108</v>
      </c>
      <c r="O511">
        <v>5</v>
      </c>
    </row>
    <row r="512" spans="1:15">
      <c r="A512" t="s">
        <v>1121</v>
      </c>
      <c r="B512" s="39">
        <v>45056</v>
      </c>
      <c r="C512" s="39">
        <v>45060</v>
      </c>
      <c r="D512" t="s">
        <v>45</v>
      </c>
      <c r="E512" t="s">
        <v>60</v>
      </c>
      <c r="F512" t="s">
        <v>141</v>
      </c>
      <c r="G512" t="s">
        <v>39</v>
      </c>
      <c r="H512" t="s">
        <v>55</v>
      </c>
      <c r="I512" t="s">
        <v>21</v>
      </c>
      <c r="J512" t="s">
        <v>64</v>
      </c>
      <c r="K512" t="s">
        <v>1122</v>
      </c>
      <c r="L512">
        <v>622.6</v>
      </c>
      <c r="M512">
        <v>833.69</v>
      </c>
      <c r="N512">
        <v>0.209</v>
      </c>
      <c r="O512">
        <v>14</v>
      </c>
    </row>
    <row r="513" spans="1:15">
      <c r="A513" t="s">
        <v>1123</v>
      </c>
      <c r="B513" s="39">
        <v>45353</v>
      </c>
      <c r="C513" s="39">
        <v>45374</v>
      </c>
      <c r="D513" t="s">
        <v>52</v>
      </c>
      <c r="E513" t="s">
        <v>122</v>
      </c>
      <c r="F513" t="s">
        <v>123</v>
      </c>
      <c r="G513" t="s">
        <v>62</v>
      </c>
      <c r="H513" t="s">
        <v>28</v>
      </c>
      <c r="I513" t="s">
        <v>84</v>
      </c>
      <c r="J513" t="s">
        <v>22</v>
      </c>
      <c r="K513" t="s">
        <v>1124</v>
      </c>
      <c r="L513">
        <v>225.01</v>
      </c>
      <c r="M513">
        <v>333.48</v>
      </c>
      <c r="N513">
        <v>0.119</v>
      </c>
      <c r="O513">
        <v>12</v>
      </c>
    </row>
    <row r="514" spans="1:15">
      <c r="A514" t="s">
        <v>1125</v>
      </c>
      <c r="B514" s="39">
        <v>45575</v>
      </c>
      <c r="C514" s="39">
        <v>45576</v>
      </c>
      <c r="D514" t="s">
        <v>78</v>
      </c>
      <c r="E514" t="s">
        <v>108</v>
      </c>
      <c r="F514" t="s">
        <v>228</v>
      </c>
      <c r="G514" t="s">
        <v>39</v>
      </c>
      <c r="H514" t="s">
        <v>55</v>
      </c>
      <c r="I514" t="s">
        <v>49</v>
      </c>
      <c r="J514" t="s">
        <v>22</v>
      </c>
      <c r="K514" t="s">
        <v>1126</v>
      </c>
      <c r="L514">
        <v>1389.46</v>
      </c>
      <c r="M514">
        <v>1784.7</v>
      </c>
      <c r="N514">
        <v>0.146</v>
      </c>
      <c r="O514">
        <v>33</v>
      </c>
    </row>
    <row r="515" spans="1:15">
      <c r="A515" t="s">
        <v>1127</v>
      </c>
      <c r="B515" s="39">
        <v>45078</v>
      </c>
      <c r="C515" s="39">
        <v>45085</v>
      </c>
      <c r="D515" t="s">
        <v>78</v>
      </c>
      <c r="E515" t="s">
        <v>79</v>
      </c>
      <c r="F515" t="s">
        <v>335</v>
      </c>
      <c r="G515" t="s">
        <v>48</v>
      </c>
      <c r="H515" t="s">
        <v>28</v>
      </c>
      <c r="I515" t="s">
        <v>75</v>
      </c>
      <c r="J515" t="s">
        <v>42</v>
      </c>
      <c r="K515" t="s">
        <v>1128</v>
      </c>
      <c r="L515">
        <v>804.17</v>
      </c>
      <c r="M515">
        <v>1072.29</v>
      </c>
      <c r="N515">
        <v>0.032</v>
      </c>
      <c r="O515">
        <v>5</v>
      </c>
    </row>
    <row r="516" spans="1:15">
      <c r="A516" t="s">
        <v>1129</v>
      </c>
      <c r="B516" s="39">
        <v>45661</v>
      </c>
      <c r="C516" s="39">
        <v>45662</v>
      </c>
      <c r="D516" t="s">
        <v>45</v>
      </c>
      <c r="E516" t="s">
        <v>60</v>
      </c>
      <c r="F516" t="s">
        <v>141</v>
      </c>
      <c r="G516" t="s">
        <v>27</v>
      </c>
      <c r="H516" t="s">
        <v>20</v>
      </c>
      <c r="I516" t="s">
        <v>34</v>
      </c>
      <c r="J516" t="s">
        <v>22</v>
      </c>
      <c r="K516" t="s">
        <v>1130</v>
      </c>
      <c r="L516">
        <v>1428.33</v>
      </c>
      <c r="M516">
        <v>3028.05</v>
      </c>
      <c r="N516">
        <v>0</v>
      </c>
      <c r="O516">
        <v>11</v>
      </c>
    </row>
    <row r="517" spans="1:15">
      <c r="A517" t="s">
        <v>1131</v>
      </c>
      <c r="B517" s="39">
        <v>45874</v>
      </c>
      <c r="C517" s="39">
        <v>45897</v>
      </c>
      <c r="D517" t="s">
        <v>45</v>
      </c>
      <c r="E517" t="s">
        <v>60</v>
      </c>
      <c r="F517" t="s">
        <v>220</v>
      </c>
      <c r="G517" t="s">
        <v>39</v>
      </c>
      <c r="H517" t="s">
        <v>55</v>
      </c>
      <c r="I517" t="s">
        <v>126</v>
      </c>
      <c r="J517" t="s">
        <v>57</v>
      </c>
      <c r="K517" t="s">
        <v>1132</v>
      </c>
      <c r="L517">
        <v>638.54</v>
      </c>
      <c r="M517">
        <v>987.24</v>
      </c>
      <c r="N517">
        <v>0</v>
      </c>
      <c r="O517">
        <v>11</v>
      </c>
    </row>
    <row r="518" spans="1:15">
      <c r="A518" t="s">
        <v>1133</v>
      </c>
      <c r="B518" s="39">
        <v>45199</v>
      </c>
      <c r="C518" s="39">
        <v>45229</v>
      </c>
      <c r="D518" t="s">
        <v>45</v>
      </c>
      <c r="E518" t="s">
        <v>46</v>
      </c>
      <c r="F518" t="s">
        <v>214</v>
      </c>
      <c r="G518" t="s">
        <v>105</v>
      </c>
      <c r="H518" t="s">
        <v>28</v>
      </c>
      <c r="I518" t="s">
        <v>145</v>
      </c>
      <c r="J518" t="s">
        <v>30</v>
      </c>
      <c r="K518" t="s">
        <v>1134</v>
      </c>
      <c r="L518">
        <v>649.13</v>
      </c>
      <c r="M518">
        <v>975.43</v>
      </c>
      <c r="N518">
        <v>0.157</v>
      </c>
      <c r="O518">
        <v>27</v>
      </c>
    </row>
    <row r="519" spans="1:15">
      <c r="A519" t="s">
        <v>1135</v>
      </c>
      <c r="B519" s="39">
        <v>45794</v>
      </c>
      <c r="C519" s="39">
        <v>45807</v>
      </c>
      <c r="D519" t="s">
        <v>16</v>
      </c>
      <c r="E519" t="s">
        <v>25</v>
      </c>
      <c r="F519" t="s">
        <v>38</v>
      </c>
      <c r="G519" t="s">
        <v>48</v>
      </c>
      <c r="H519" t="s">
        <v>55</v>
      </c>
      <c r="I519" t="s">
        <v>84</v>
      </c>
      <c r="J519" t="s">
        <v>81</v>
      </c>
      <c r="K519" t="s">
        <v>1136</v>
      </c>
      <c r="L519">
        <v>66.4</v>
      </c>
      <c r="M519">
        <v>141.43</v>
      </c>
      <c r="N519">
        <v>0.107</v>
      </c>
      <c r="O519">
        <v>8</v>
      </c>
    </row>
    <row r="520" spans="1:15">
      <c r="A520" t="s">
        <v>1137</v>
      </c>
      <c r="B520" s="39">
        <v>45413</v>
      </c>
      <c r="C520" s="39">
        <v>45438</v>
      </c>
      <c r="D520" t="s">
        <v>78</v>
      </c>
      <c r="E520" t="s">
        <v>79</v>
      </c>
      <c r="F520" t="s">
        <v>80</v>
      </c>
      <c r="G520" t="s">
        <v>39</v>
      </c>
      <c r="H520" t="s">
        <v>20</v>
      </c>
      <c r="I520" t="s">
        <v>56</v>
      </c>
      <c r="J520" t="s">
        <v>35</v>
      </c>
      <c r="K520" t="s">
        <v>1138</v>
      </c>
      <c r="L520">
        <v>930.71</v>
      </c>
      <c r="M520">
        <v>1625.42</v>
      </c>
      <c r="N520">
        <v>0.138</v>
      </c>
      <c r="O520">
        <v>7</v>
      </c>
    </row>
    <row r="521" spans="1:15">
      <c r="A521" t="s">
        <v>1139</v>
      </c>
      <c r="B521" s="39">
        <v>45047</v>
      </c>
      <c r="C521" s="39">
        <v>45064</v>
      </c>
      <c r="D521" t="s">
        <v>16</v>
      </c>
      <c r="E521" t="s">
        <v>25</v>
      </c>
      <c r="F521" t="s">
        <v>26</v>
      </c>
      <c r="G521" t="s">
        <v>19</v>
      </c>
      <c r="H521" t="s">
        <v>98</v>
      </c>
      <c r="I521" t="s">
        <v>84</v>
      </c>
      <c r="J521" t="s">
        <v>22</v>
      </c>
      <c r="K521" t="s">
        <v>1140</v>
      </c>
      <c r="L521">
        <v>327.97</v>
      </c>
      <c r="M521">
        <v>299.94</v>
      </c>
      <c r="N521">
        <v>0.049</v>
      </c>
      <c r="O521">
        <v>3</v>
      </c>
    </row>
    <row r="522" spans="1:15">
      <c r="A522" t="s">
        <v>1141</v>
      </c>
      <c r="B522" s="39">
        <v>45482</v>
      </c>
      <c r="C522" s="39">
        <v>45512</v>
      </c>
      <c r="D522" t="s">
        <v>78</v>
      </c>
      <c r="E522" t="s">
        <v>90</v>
      </c>
      <c r="F522" t="s">
        <v>91</v>
      </c>
      <c r="G522" t="s">
        <v>19</v>
      </c>
      <c r="H522" t="s">
        <v>98</v>
      </c>
      <c r="I522" t="s">
        <v>29</v>
      </c>
      <c r="J522" t="s">
        <v>22</v>
      </c>
      <c r="K522" t="s">
        <v>1142</v>
      </c>
      <c r="L522">
        <v>1062.38</v>
      </c>
      <c r="M522">
        <v>1503.96</v>
      </c>
      <c r="N522">
        <v>0.18</v>
      </c>
      <c r="O522">
        <v>6</v>
      </c>
    </row>
    <row r="523" spans="1:15">
      <c r="A523" t="s">
        <v>1143</v>
      </c>
      <c r="B523" s="39">
        <v>45056</v>
      </c>
      <c r="C523" s="39">
        <v>45073</v>
      </c>
      <c r="D523" t="s">
        <v>45</v>
      </c>
      <c r="E523" t="s">
        <v>60</v>
      </c>
      <c r="F523" t="s">
        <v>220</v>
      </c>
      <c r="G523" t="s">
        <v>48</v>
      </c>
      <c r="H523" t="s">
        <v>20</v>
      </c>
      <c r="I523" t="s">
        <v>110</v>
      </c>
      <c r="J523" t="s">
        <v>57</v>
      </c>
      <c r="K523" t="s">
        <v>1144</v>
      </c>
      <c r="L523">
        <v>1286.16</v>
      </c>
      <c r="M523">
        <v>3101.11</v>
      </c>
      <c r="N523">
        <v>0.1</v>
      </c>
      <c r="O523">
        <v>23</v>
      </c>
    </row>
    <row r="524" spans="1:15">
      <c r="A524" t="s">
        <v>1145</v>
      </c>
      <c r="B524" s="39">
        <v>45482</v>
      </c>
      <c r="C524" s="39">
        <v>45485</v>
      </c>
      <c r="D524" t="s">
        <v>45</v>
      </c>
      <c r="E524" t="s">
        <v>116</v>
      </c>
      <c r="F524" t="s">
        <v>162</v>
      </c>
      <c r="G524" t="s">
        <v>62</v>
      </c>
      <c r="H524" t="s">
        <v>20</v>
      </c>
      <c r="I524" t="s">
        <v>145</v>
      </c>
      <c r="J524" t="s">
        <v>81</v>
      </c>
      <c r="K524" t="s">
        <v>1146</v>
      </c>
      <c r="L524">
        <v>748.39</v>
      </c>
      <c r="M524">
        <v>979.42</v>
      </c>
      <c r="N524">
        <v>0</v>
      </c>
      <c r="O524">
        <v>23</v>
      </c>
    </row>
    <row r="525" spans="1:15">
      <c r="A525" t="s">
        <v>1147</v>
      </c>
      <c r="B525" s="39">
        <v>45406</v>
      </c>
      <c r="C525" s="39">
        <v>45422</v>
      </c>
      <c r="D525" t="s">
        <v>16</v>
      </c>
      <c r="E525" t="s">
        <v>17</v>
      </c>
      <c r="F525" t="s">
        <v>18</v>
      </c>
      <c r="G525" t="s">
        <v>39</v>
      </c>
      <c r="H525" t="s">
        <v>28</v>
      </c>
      <c r="I525" t="s">
        <v>126</v>
      </c>
      <c r="J525" t="s">
        <v>64</v>
      </c>
      <c r="K525" t="s">
        <v>1148</v>
      </c>
      <c r="L525">
        <v>513.31</v>
      </c>
      <c r="M525">
        <v>1186.26</v>
      </c>
      <c r="N525">
        <v>0.094</v>
      </c>
      <c r="O525">
        <v>15</v>
      </c>
    </row>
    <row r="526" spans="1:15">
      <c r="A526" t="s">
        <v>1149</v>
      </c>
      <c r="B526" s="39">
        <v>45304</v>
      </c>
      <c r="C526" s="39">
        <v>45306</v>
      </c>
      <c r="D526" t="s">
        <v>52</v>
      </c>
      <c r="E526" t="s">
        <v>122</v>
      </c>
      <c r="F526" t="s">
        <v>167</v>
      </c>
      <c r="G526" t="s">
        <v>39</v>
      </c>
      <c r="H526" t="s">
        <v>98</v>
      </c>
      <c r="I526" t="s">
        <v>63</v>
      </c>
      <c r="J526" t="s">
        <v>22</v>
      </c>
      <c r="K526" t="s">
        <v>1150</v>
      </c>
      <c r="L526">
        <v>1061.37</v>
      </c>
      <c r="M526">
        <v>1938.33</v>
      </c>
      <c r="N526">
        <v>0.17</v>
      </c>
      <c r="O526">
        <v>4</v>
      </c>
    </row>
    <row r="527" spans="1:15">
      <c r="A527" t="s">
        <v>1151</v>
      </c>
      <c r="B527" s="39">
        <v>45398</v>
      </c>
      <c r="C527" s="39">
        <v>45409</v>
      </c>
      <c r="D527" t="s">
        <v>16</v>
      </c>
      <c r="E527" t="s">
        <v>17</v>
      </c>
      <c r="F527" t="s">
        <v>135</v>
      </c>
      <c r="G527" t="s">
        <v>105</v>
      </c>
      <c r="H527" t="s">
        <v>28</v>
      </c>
      <c r="I527" t="s">
        <v>145</v>
      </c>
      <c r="J527" t="s">
        <v>30</v>
      </c>
      <c r="K527" t="s">
        <v>1152</v>
      </c>
      <c r="L527">
        <v>401.3</v>
      </c>
      <c r="M527">
        <v>826.47</v>
      </c>
      <c r="N527">
        <v>0.225</v>
      </c>
      <c r="O527">
        <v>13</v>
      </c>
    </row>
    <row r="528" spans="1:15">
      <c r="A528" t="s">
        <v>1153</v>
      </c>
      <c r="B528" s="39">
        <v>45695</v>
      </c>
      <c r="C528" s="39">
        <v>45704</v>
      </c>
      <c r="D528" t="s">
        <v>16</v>
      </c>
      <c r="E528" t="s">
        <v>25</v>
      </c>
      <c r="F528" t="s">
        <v>38</v>
      </c>
      <c r="G528" t="s">
        <v>62</v>
      </c>
      <c r="H528" t="s">
        <v>55</v>
      </c>
      <c r="I528" t="s">
        <v>21</v>
      </c>
      <c r="J528" t="s">
        <v>30</v>
      </c>
      <c r="K528" t="s">
        <v>1154</v>
      </c>
      <c r="L528">
        <v>90.68</v>
      </c>
      <c r="M528">
        <v>118.17</v>
      </c>
      <c r="N528">
        <v>0.135</v>
      </c>
      <c r="O528">
        <v>21</v>
      </c>
    </row>
    <row r="529" spans="1:15">
      <c r="A529" t="s">
        <v>1155</v>
      </c>
      <c r="B529" s="39">
        <v>44938</v>
      </c>
      <c r="C529" s="39">
        <v>44952</v>
      </c>
      <c r="D529" t="s">
        <v>45</v>
      </c>
      <c r="E529" t="s">
        <v>116</v>
      </c>
      <c r="F529" t="s">
        <v>117</v>
      </c>
      <c r="G529" t="s">
        <v>39</v>
      </c>
      <c r="H529" t="s">
        <v>20</v>
      </c>
      <c r="I529" t="s">
        <v>110</v>
      </c>
      <c r="J529" t="s">
        <v>30</v>
      </c>
      <c r="K529" t="s">
        <v>1156</v>
      </c>
      <c r="L529">
        <v>1083.09</v>
      </c>
      <c r="M529">
        <v>1425.87</v>
      </c>
      <c r="N529">
        <v>0</v>
      </c>
      <c r="O529">
        <v>8</v>
      </c>
    </row>
    <row r="530" spans="1:15">
      <c r="A530" t="s">
        <v>1157</v>
      </c>
      <c r="B530" s="39">
        <v>45448</v>
      </c>
      <c r="C530" s="39">
        <v>45466</v>
      </c>
      <c r="D530" t="s">
        <v>16</v>
      </c>
      <c r="E530" t="s">
        <v>17</v>
      </c>
      <c r="F530" t="s">
        <v>33</v>
      </c>
      <c r="G530" t="s">
        <v>48</v>
      </c>
      <c r="H530" t="s">
        <v>55</v>
      </c>
      <c r="I530" t="s">
        <v>145</v>
      </c>
      <c r="J530" t="s">
        <v>57</v>
      </c>
      <c r="K530" t="s">
        <v>1158</v>
      </c>
      <c r="L530">
        <v>1208.74</v>
      </c>
      <c r="M530">
        <v>1594.78</v>
      </c>
      <c r="N530">
        <v>0.059</v>
      </c>
      <c r="O530">
        <v>39</v>
      </c>
    </row>
    <row r="531" spans="1:15">
      <c r="A531" t="s">
        <v>1159</v>
      </c>
      <c r="B531" s="39">
        <v>45162</v>
      </c>
      <c r="C531" s="39">
        <v>45189</v>
      </c>
      <c r="D531" t="s">
        <v>16</v>
      </c>
      <c r="E531" t="s">
        <v>148</v>
      </c>
      <c r="F531" t="s">
        <v>172</v>
      </c>
      <c r="G531" t="s">
        <v>62</v>
      </c>
      <c r="H531" t="s">
        <v>40</v>
      </c>
      <c r="I531" t="s">
        <v>110</v>
      </c>
      <c r="J531" t="s">
        <v>30</v>
      </c>
      <c r="K531" t="s">
        <v>1160</v>
      </c>
      <c r="L531">
        <v>1399.64</v>
      </c>
      <c r="M531">
        <v>3342.11</v>
      </c>
      <c r="N531">
        <v>0</v>
      </c>
      <c r="O531">
        <v>10</v>
      </c>
    </row>
    <row r="532" spans="1:15">
      <c r="A532" t="s">
        <v>1161</v>
      </c>
      <c r="B532" s="39">
        <v>45316</v>
      </c>
      <c r="C532" s="39">
        <v>45330</v>
      </c>
      <c r="D532" t="s">
        <v>45</v>
      </c>
      <c r="E532" t="s">
        <v>46</v>
      </c>
      <c r="F532" t="s">
        <v>47</v>
      </c>
      <c r="G532" t="s">
        <v>48</v>
      </c>
      <c r="H532" t="s">
        <v>40</v>
      </c>
      <c r="I532" t="s">
        <v>34</v>
      </c>
      <c r="J532" t="s">
        <v>35</v>
      </c>
      <c r="K532" t="s">
        <v>1162</v>
      </c>
      <c r="L532">
        <v>937.16</v>
      </c>
      <c r="M532">
        <v>1069.77</v>
      </c>
      <c r="N532">
        <v>0.038</v>
      </c>
      <c r="O532">
        <v>9</v>
      </c>
    </row>
    <row r="533" spans="1:15">
      <c r="A533" t="s">
        <v>1163</v>
      </c>
      <c r="B533" s="39">
        <v>45727</v>
      </c>
      <c r="C533" s="39">
        <v>45742</v>
      </c>
      <c r="D533" t="s">
        <v>78</v>
      </c>
      <c r="E533" t="s">
        <v>79</v>
      </c>
      <c r="F533" t="s">
        <v>80</v>
      </c>
      <c r="G533" t="s">
        <v>62</v>
      </c>
      <c r="H533" t="s">
        <v>28</v>
      </c>
      <c r="I533" t="s">
        <v>34</v>
      </c>
      <c r="J533" t="s">
        <v>42</v>
      </c>
      <c r="K533" t="s">
        <v>1164</v>
      </c>
      <c r="L533">
        <v>116.97</v>
      </c>
      <c r="M533">
        <v>140.82</v>
      </c>
      <c r="N533">
        <v>0.122</v>
      </c>
      <c r="O533">
        <v>5</v>
      </c>
    </row>
    <row r="534" spans="1:15">
      <c r="A534" t="s">
        <v>1165</v>
      </c>
      <c r="B534" s="39">
        <v>45769</v>
      </c>
      <c r="C534" s="39">
        <v>45789</v>
      </c>
      <c r="D534" t="s">
        <v>78</v>
      </c>
      <c r="E534" t="s">
        <v>90</v>
      </c>
      <c r="F534" t="s">
        <v>138</v>
      </c>
      <c r="G534" t="s">
        <v>105</v>
      </c>
      <c r="H534" t="s">
        <v>40</v>
      </c>
      <c r="I534" t="s">
        <v>95</v>
      </c>
      <c r="J534" t="s">
        <v>64</v>
      </c>
      <c r="K534" t="s">
        <v>1166</v>
      </c>
      <c r="L534">
        <v>59.51</v>
      </c>
      <c r="M534">
        <v>67.04</v>
      </c>
      <c r="N534">
        <v>0.114</v>
      </c>
      <c r="O534">
        <v>9</v>
      </c>
    </row>
    <row r="535" spans="1:15">
      <c r="A535" t="s">
        <v>1167</v>
      </c>
      <c r="B535" s="39">
        <v>45155</v>
      </c>
      <c r="C535" s="39">
        <v>45172</v>
      </c>
      <c r="D535" t="s">
        <v>16</v>
      </c>
      <c r="E535" t="s">
        <v>148</v>
      </c>
      <c r="F535" t="s">
        <v>172</v>
      </c>
      <c r="G535" t="s">
        <v>105</v>
      </c>
      <c r="H535" t="s">
        <v>20</v>
      </c>
      <c r="I535" t="s">
        <v>75</v>
      </c>
      <c r="J535" t="s">
        <v>42</v>
      </c>
      <c r="K535" t="s">
        <v>1168</v>
      </c>
      <c r="L535">
        <v>676.37</v>
      </c>
      <c r="M535">
        <v>1276.67</v>
      </c>
      <c r="N535">
        <v>0.066</v>
      </c>
      <c r="O535">
        <v>10</v>
      </c>
    </row>
    <row r="536" spans="1:15">
      <c r="A536" t="s">
        <v>1169</v>
      </c>
      <c r="B536" s="39">
        <v>45832</v>
      </c>
      <c r="C536" s="39">
        <v>45852</v>
      </c>
      <c r="D536" t="s">
        <v>16</v>
      </c>
      <c r="E536" t="s">
        <v>148</v>
      </c>
      <c r="F536" t="s">
        <v>149</v>
      </c>
      <c r="G536" t="s">
        <v>105</v>
      </c>
      <c r="H536" t="s">
        <v>40</v>
      </c>
      <c r="I536" t="s">
        <v>29</v>
      </c>
      <c r="J536" t="s">
        <v>57</v>
      </c>
      <c r="K536" t="s">
        <v>1170</v>
      </c>
      <c r="L536">
        <v>1151.06</v>
      </c>
      <c r="M536">
        <v>2821.36</v>
      </c>
      <c r="N536">
        <v>0.248</v>
      </c>
      <c r="O536">
        <v>20</v>
      </c>
    </row>
    <row r="537" spans="1:15">
      <c r="A537" t="s">
        <v>1171</v>
      </c>
      <c r="B537" s="39">
        <v>45667</v>
      </c>
      <c r="C537" s="39">
        <v>45694</v>
      </c>
      <c r="D537" t="s">
        <v>52</v>
      </c>
      <c r="E537" t="s">
        <v>73</v>
      </c>
      <c r="F537" t="s">
        <v>87</v>
      </c>
      <c r="G537" t="s">
        <v>39</v>
      </c>
      <c r="H537" t="s">
        <v>20</v>
      </c>
      <c r="I537" t="s">
        <v>56</v>
      </c>
      <c r="J537" t="s">
        <v>57</v>
      </c>
      <c r="K537" t="s">
        <v>1172</v>
      </c>
      <c r="L537">
        <v>725.62</v>
      </c>
      <c r="M537">
        <v>1559.19</v>
      </c>
      <c r="N537">
        <v>0.19</v>
      </c>
      <c r="O537">
        <v>12</v>
      </c>
    </row>
    <row r="538" spans="1:15">
      <c r="A538" t="s">
        <v>1173</v>
      </c>
      <c r="B538" s="39">
        <v>45108</v>
      </c>
      <c r="C538" s="39">
        <v>45118</v>
      </c>
      <c r="D538" t="s">
        <v>78</v>
      </c>
      <c r="E538" t="s">
        <v>90</v>
      </c>
      <c r="F538" t="s">
        <v>217</v>
      </c>
      <c r="G538" t="s">
        <v>19</v>
      </c>
      <c r="H538" t="s">
        <v>98</v>
      </c>
      <c r="I538" t="s">
        <v>84</v>
      </c>
      <c r="J538" t="s">
        <v>35</v>
      </c>
      <c r="K538" t="s">
        <v>1174</v>
      </c>
      <c r="L538">
        <v>479.5</v>
      </c>
      <c r="M538">
        <v>656.66</v>
      </c>
      <c r="N538">
        <v>0.149</v>
      </c>
      <c r="O538">
        <v>14</v>
      </c>
    </row>
    <row r="539" spans="1:15">
      <c r="A539" t="s">
        <v>1175</v>
      </c>
      <c r="B539" s="39">
        <v>45520</v>
      </c>
      <c r="C539" s="39">
        <v>45530</v>
      </c>
      <c r="D539" t="s">
        <v>52</v>
      </c>
      <c r="E539" t="s">
        <v>122</v>
      </c>
      <c r="F539" t="s">
        <v>123</v>
      </c>
      <c r="G539" t="s">
        <v>19</v>
      </c>
      <c r="H539" t="s">
        <v>55</v>
      </c>
      <c r="I539" t="s">
        <v>49</v>
      </c>
      <c r="J539" t="s">
        <v>57</v>
      </c>
      <c r="K539" t="s">
        <v>878</v>
      </c>
      <c r="L539">
        <v>1291.7</v>
      </c>
      <c r="M539">
        <v>2657.84</v>
      </c>
      <c r="N539">
        <v>0.087</v>
      </c>
      <c r="O539">
        <v>21</v>
      </c>
    </row>
    <row r="540" spans="1:15">
      <c r="A540" t="s">
        <v>1176</v>
      </c>
      <c r="B540" s="39">
        <v>45114</v>
      </c>
      <c r="C540" s="39">
        <v>45120</v>
      </c>
      <c r="D540" t="s">
        <v>16</v>
      </c>
      <c r="E540" t="s">
        <v>148</v>
      </c>
      <c r="F540" t="s">
        <v>258</v>
      </c>
      <c r="G540" t="s">
        <v>62</v>
      </c>
      <c r="H540" t="s">
        <v>40</v>
      </c>
      <c r="I540" t="s">
        <v>56</v>
      </c>
      <c r="J540" t="s">
        <v>81</v>
      </c>
      <c r="K540" t="s">
        <v>1177</v>
      </c>
      <c r="L540">
        <v>612.59</v>
      </c>
      <c r="M540">
        <v>1424.74</v>
      </c>
      <c r="N540">
        <v>0.044</v>
      </c>
      <c r="O540">
        <v>15</v>
      </c>
    </row>
    <row r="541" spans="1:15">
      <c r="A541" t="s">
        <v>1178</v>
      </c>
      <c r="B541" s="39">
        <v>45288</v>
      </c>
      <c r="C541" s="39">
        <v>45292</v>
      </c>
      <c r="D541" t="s">
        <v>16</v>
      </c>
      <c r="E541" t="s">
        <v>148</v>
      </c>
      <c r="F541" t="s">
        <v>258</v>
      </c>
      <c r="G541" t="s">
        <v>27</v>
      </c>
      <c r="H541" t="s">
        <v>55</v>
      </c>
      <c r="I541" t="s">
        <v>75</v>
      </c>
      <c r="J541" t="s">
        <v>30</v>
      </c>
      <c r="K541" t="s">
        <v>1179</v>
      </c>
      <c r="L541">
        <v>1141.8</v>
      </c>
      <c r="M541">
        <v>2318.74</v>
      </c>
      <c r="N541">
        <v>0.107</v>
      </c>
      <c r="O541">
        <v>32</v>
      </c>
    </row>
    <row r="542" spans="1:15">
      <c r="A542" t="s">
        <v>1180</v>
      </c>
      <c r="B542" s="39">
        <v>44952</v>
      </c>
      <c r="C542" s="39">
        <v>44972</v>
      </c>
      <c r="D542" t="s">
        <v>78</v>
      </c>
      <c r="E542" t="s">
        <v>79</v>
      </c>
      <c r="F542" t="s">
        <v>80</v>
      </c>
      <c r="G542" t="s">
        <v>62</v>
      </c>
      <c r="H542" t="s">
        <v>28</v>
      </c>
      <c r="I542" t="s">
        <v>68</v>
      </c>
      <c r="J542" t="s">
        <v>35</v>
      </c>
      <c r="K542" t="s">
        <v>1181</v>
      </c>
      <c r="L542">
        <v>492.62</v>
      </c>
      <c r="M542">
        <v>366.7</v>
      </c>
      <c r="N542">
        <v>0.089</v>
      </c>
      <c r="O542">
        <v>10</v>
      </c>
    </row>
    <row r="543" spans="1:15">
      <c r="A543" t="s">
        <v>1182</v>
      </c>
      <c r="B543" s="39">
        <v>45115</v>
      </c>
      <c r="C543" s="39">
        <v>45116</v>
      </c>
      <c r="D543" t="s">
        <v>16</v>
      </c>
      <c r="E543" t="s">
        <v>17</v>
      </c>
      <c r="F543" t="s">
        <v>33</v>
      </c>
      <c r="G543" t="s">
        <v>48</v>
      </c>
      <c r="H543" t="s">
        <v>28</v>
      </c>
      <c r="I543" t="s">
        <v>145</v>
      </c>
      <c r="J543" t="s">
        <v>57</v>
      </c>
      <c r="K543" t="s">
        <v>1183</v>
      </c>
      <c r="L543">
        <v>1258.72</v>
      </c>
      <c r="M543">
        <v>2797.41</v>
      </c>
      <c r="N543">
        <v>0</v>
      </c>
      <c r="O543">
        <v>7</v>
      </c>
    </row>
    <row r="544" spans="1:15">
      <c r="A544" t="s">
        <v>1184</v>
      </c>
      <c r="B544" s="39">
        <v>45450</v>
      </c>
      <c r="C544" s="39">
        <v>45452</v>
      </c>
      <c r="D544" t="s">
        <v>45</v>
      </c>
      <c r="E544" t="s">
        <v>116</v>
      </c>
      <c r="F544" t="s">
        <v>162</v>
      </c>
      <c r="G544" t="s">
        <v>19</v>
      </c>
      <c r="H544" t="s">
        <v>20</v>
      </c>
      <c r="I544" t="s">
        <v>68</v>
      </c>
      <c r="J544" t="s">
        <v>64</v>
      </c>
      <c r="K544" t="s">
        <v>1185</v>
      </c>
      <c r="L544">
        <v>1370.28</v>
      </c>
      <c r="M544">
        <v>2209.66</v>
      </c>
      <c r="N544">
        <v>0.133</v>
      </c>
      <c r="O544">
        <v>16</v>
      </c>
    </row>
    <row r="545" spans="1:15">
      <c r="A545" t="s">
        <v>1186</v>
      </c>
      <c r="B545" s="39">
        <v>44968</v>
      </c>
      <c r="C545" s="39">
        <v>44969</v>
      </c>
      <c r="D545" t="s">
        <v>16</v>
      </c>
      <c r="E545" t="s">
        <v>25</v>
      </c>
      <c r="F545" t="s">
        <v>26</v>
      </c>
      <c r="G545" t="s">
        <v>39</v>
      </c>
      <c r="H545" t="s">
        <v>98</v>
      </c>
      <c r="I545" t="s">
        <v>145</v>
      </c>
      <c r="J545" t="s">
        <v>81</v>
      </c>
      <c r="K545" t="s">
        <v>1187</v>
      </c>
      <c r="L545">
        <v>944.61</v>
      </c>
      <c r="M545">
        <v>839.04</v>
      </c>
      <c r="N545">
        <v>0.059</v>
      </c>
      <c r="O545">
        <v>6</v>
      </c>
    </row>
    <row r="546" spans="1:15">
      <c r="A546" t="s">
        <v>1188</v>
      </c>
      <c r="B546" s="39">
        <v>45108</v>
      </c>
      <c r="C546" s="39">
        <v>45115</v>
      </c>
      <c r="D546" t="s">
        <v>78</v>
      </c>
      <c r="E546" t="s">
        <v>79</v>
      </c>
      <c r="F546" t="s">
        <v>335</v>
      </c>
      <c r="G546" t="s">
        <v>62</v>
      </c>
      <c r="H546" t="s">
        <v>55</v>
      </c>
      <c r="I546" t="s">
        <v>126</v>
      </c>
      <c r="J546" t="s">
        <v>57</v>
      </c>
      <c r="K546" t="s">
        <v>1189</v>
      </c>
      <c r="L546">
        <v>460.21</v>
      </c>
      <c r="M546">
        <v>1139.15</v>
      </c>
      <c r="N546">
        <v>0.115</v>
      </c>
      <c r="O546">
        <v>14</v>
      </c>
    </row>
    <row r="547" spans="1:15">
      <c r="A547" t="s">
        <v>1190</v>
      </c>
      <c r="B547" s="39">
        <v>45889</v>
      </c>
      <c r="C547" s="39">
        <v>45895</v>
      </c>
      <c r="D547" t="s">
        <v>52</v>
      </c>
      <c r="E547" t="s">
        <v>122</v>
      </c>
      <c r="F547" t="s">
        <v>387</v>
      </c>
      <c r="G547" t="s">
        <v>19</v>
      </c>
      <c r="H547" t="s">
        <v>20</v>
      </c>
      <c r="I547" t="s">
        <v>110</v>
      </c>
      <c r="J547" t="s">
        <v>35</v>
      </c>
      <c r="K547" t="s">
        <v>1191</v>
      </c>
      <c r="L547">
        <v>1304.95</v>
      </c>
      <c r="M547">
        <v>1712.03</v>
      </c>
      <c r="N547">
        <v>0.212</v>
      </c>
      <c r="O547">
        <v>8</v>
      </c>
    </row>
    <row r="548" spans="1:15">
      <c r="A548" t="s">
        <v>1192</v>
      </c>
      <c r="B548" s="39">
        <v>45355</v>
      </c>
      <c r="C548" s="39">
        <v>45367</v>
      </c>
      <c r="D548" t="s">
        <v>16</v>
      </c>
      <c r="E548" t="s">
        <v>148</v>
      </c>
      <c r="F548" t="s">
        <v>149</v>
      </c>
      <c r="G548" t="s">
        <v>105</v>
      </c>
      <c r="H548" t="s">
        <v>55</v>
      </c>
      <c r="I548" t="s">
        <v>110</v>
      </c>
      <c r="J548" t="s">
        <v>64</v>
      </c>
      <c r="K548" t="s">
        <v>1193</v>
      </c>
      <c r="L548">
        <v>441.08</v>
      </c>
      <c r="M548">
        <v>1054.29</v>
      </c>
      <c r="N548">
        <v>0.237</v>
      </c>
      <c r="O548">
        <v>6</v>
      </c>
    </row>
    <row r="549" spans="1:15">
      <c r="A549" t="s">
        <v>1194</v>
      </c>
      <c r="B549" s="39">
        <v>45177</v>
      </c>
      <c r="C549" s="39">
        <v>45201</v>
      </c>
      <c r="D549" t="s">
        <v>52</v>
      </c>
      <c r="E549" t="s">
        <v>53</v>
      </c>
      <c r="F549" t="s">
        <v>54</v>
      </c>
      <c r="G549" t="s">
        <v>27</v>
      </c>
      <c r="H549" t="s">
        <v>98</v>
      </c>
      <c r="I549" t="s">
        <v>75</v>
      </c>
      <c r="J549" t="s">
        <v>81</v>
      </c>
      <c r="K549" t="s">
        <v>1195</v>
      </c>
      <c r="L549">
        <v>1299.03</v>
      </c>
      <c r="M549">
        <v>2451.22</v>
      </c>
      <c r="N549">
        <v>0.208</v>
      </c>
      <c r="O549">
        <v>8</v>
      </c>
    </row>
    <row r="550" spans="1:15">
      <c r="A550" t="s">
        <v>1196</v>
      </c>
      <c r="B550" s="39">
        <v>44985</v>
      </c>
      <c r="C550" s="39">
        <v>44991</v>
      </c>
      <c r="D550" t="s">
        <v>78</v>
      </c>
      <c r="E550" t="s">
        <v>79</v>
      </c>
      <c r="F550" t="s">
        <v>335</v>
      </c>
      <c r="G550" t="s">
        <v>62</v>
      </c>
      <c r="H550" t="s">
        <v>40</v>
      </c>
      <c r="I550" t="s">
        <v>145</v>
      </c>
      <c r="J550" t="s">
        <v>30</v>
      </c>
      <c r="K550" t="s">
        <v>1197</v>
      </c>
      <c r="L550">
        <v>880.02</v>
      </c>
      <c r="M550">
        <v>1251.21</v>
      </c>
      <c r="N550">
        <v>0.123</v>
      </c>
      <c r="O550">
        <v>29</v>
      </c>
    </row>
    <row r="551" spans="1:15">
      <c r="A551" t="s">
        <v>1198</v>
      </c>
      <c r="B551" s="39">
        <v>45486</v>
      </c>
      <c r="C551" s="39">
        <v>45507</v>
      </c>
      <c r="D551" t="s">
        <v>52</v>
      </c>
      <c r="E551" t="s">
        <v>73</v>
      </c>
      <c r="F551" t="s">
        <v>225</v>
      </c>
      <c r="G551" t="s">
        <v>19</v>
      </c>
      <c r="H551" t="s">
        <v>40</v>
      </c>
      <c r="I551" t="s">
        <v>110</v>
      </c>
      <c r="J551" t="s">
        <v>64</v>
      </c>
      <c r="K551" t="s">
        <v>1199</v>
      </c>
      <c r="L551">
        <v>702.98</v>
      </c>
      <c r="M551">
        <v>1104.8</v>
      </c>
      <c r="N551">
        <v>0.175</v>
      </c>
      <c r="O551">
        <v>12</v>
      </c>
    </row>
    <row r="552" spans="1:15">
      <c r="A552" t="s">
        <v>1200</v>
      </c>
      <c r="B552" s="39">
        <v>45633</v>
      </c>
      <c r="C552" s="39">
        <v>45652</v>
      </c>
      <c r="D552" t="s">
        <v>78</v>
      </c>
      <c r="E552" t="s">
        <v>108</v>
      </c>
      <c r="F552" t="s">
        <v>152</v>
      </c>
      <c r="G552" t="s">
        <v>105</v>
      </c>
      <c r="H552" t="s">
        <v>28</v>
      </c>
      <c r="I552" t="s">
        <v>145</v>
      </c>
      <c r="J552" t="s">
        <v>35</v>
      </c>
      <c r="K552" t="s">
        <v>1201</v>
      </c>
      <c r="L552">
        <v>1035.24</v>
      </c>
      <c r="M552">
        <v>2383.41</v>
      </c>
      <c r="N552">
        <v>0.17</v>
      </c>
      <c r="O552">
        <v>15</v>
      </c>
    </row>
    <row r="553" spans="1:15">
      <c r="A553" t="s">
        <v>1202</v>
      </c>
      <c r="B553" s="39">
        <v>45875</v>
      </c>
      <c r="C553" s="39">
        <v>45892</v>
      </c>
      <c r="D553" t="s">
        <v>52</v>
      </c>
      <c r="E553" t="s">
        <v>73</v>
      </c>
      <c r="F553" t="s">
        <v>87</v>
      </c>
      <c r="G553" t="s">
        <v>48</v>
      </c>
      <c r="H553" t="s">
        <v>55</v>
      </c>
      <c r="I553" t="s">
        <v>75</v>
      </c>
      <c r="J553" t="s">
        <v>64</v>
      </c>
      <c r="K553" t="s">
        <v>1203</v>
      </c>
      <c r="L553">
        <v>86.64</v>
      </c>
      <c r="M553">
        <v>213.06</v>
      </c>
      <c r="N553">
        <v>0.212</v>
      </c>
      <c r="O553">
        <v>11</v>
      </c>
    </row>
    <row r="554" spans="1:15">
      <c r="A554" t="s">
        <v>1204</v>
      </c>
      <c r="B554" s="39">
        <v>44988</v>
      </c>
      <c r="C554" s="39">
        <v>45005</v>
      </c>
      <c r="D554" t="s">
        <v>45</v>
      </c>
      <c r="E554" t="s">
        <v>46</v>
      </c>
      <c r="F554" t="s">
        <v>231</v>
      </c>
      <c r="G554" t="s">
        <v>62</v>
      </c>
      <c r="H554" t="s">
        <v>28</v>
      </c>
      <c r="I554" t="s">
        <v>145</v>
      </c>
      <c r="J554" t="s">
        <v>35</v>
      </c>
      <c r="K554" t="s">
        <v>1205</v>
      </c>
      <c r="L554">
        <v>1171.17</v>
      </c>
      <c r="M554">
        <v>2030.64</v>
      </c>
      <c r="N554">
        <v>0.157</v>
      </c>
      <c r="O554">
        <v>11</v>
      </c>
    </row>
    <row r="555" spans="1:15">
      <c r="A555" t="s">
        <v>1206</v>
      </c>
      <c r="B555" s="39">
        <v>45704</v>
      </c>
      <c r="C555" s="39">
        <v>45733</v>
      </c>
      <c r="D555" t="s">
        <v>78</v>
      </c>
      <c r="E555" t="s">
        <v>79</v>
      </c>
      <c r="F555" t="s">
        <v>159</v>
      </c>
      <c r="G555" t="s">
        <v>48</v>
      </c>
      <c r="H555" t="s">
        <v>20</v>
      </c>
      <c r="I555" t="s">
        <v>49</v>
      </c>
      <c r="J555" t="s">
        <v>81</v>
      </c>
      <c r="K555" t="s">
        <v>1207</v>
      </c>
      <c r="L555">
        <v>730.42</v>
      </c>
      <c r="M555">
        <v>956.7</v>
      </c>
      <c r="N555">
        <v>0.042</v>
      </c>
      <c r="O555">
        <v>22</v>
      </c>
    </row>
    <row r="556" spans="1:15">
      <c r="A556" t="s">
        <v>1208</v>
      </c>
      <c r="B556" s="39">
        <v>45703</v>
      </c>
      <c r="C556" s="39">
        <v>45717</v>
      </c>
      <c r="D556" t="s">
        <v>16</v>
      </c>
      <c r="E556" t="s">
        <v>17</v>
      </c>
      <c r="F556" t="s">
        <v>113</v>
      </c>
      <c r="G556" t="s">
        <v>27</v>
      </c>
      <c r="H556" t="s">
        <v>98</v>
      </c>
      <c r="I556" t="s">
        <v>49</v>
      </c>
      <c r="J556" t="s">
        <v>81</v>
      </c>
      <c r="K556" t="s">
        <v>1209</v>
      </c>
      <c r="L556">
        <v>1162.86</v>
      </c>
      <c r="M556">
        <v>1447.68</v>
      </c>
      <c r="N556">
        <v>0.087</v>
      </c>
      <c r="O556">
        <v>12</v>
      </c>
    </row>
    <row r="557" spans="1:15">
      <c r="A557" t="s">
        <v>1210</v>
      </c>
      <c r="B557" s="39">
        <v>45535</v>
      </c>
      <c r="C557" s="39">
        <v>45561</v>
      </c>
      <c r="D557" t="s">
        <v>45</v>
      </c>
      <c r="E557" t="s">
        <v>46</v>
      </c>
      <c r="F557" t="s">
        <v>214</v>
      </c>
      <c r="G557" t="s">
        <v>27</v>
      </c>
      <c r="H557" t="s">
        <v>28</v>
      </c>
      <c r="I557" t="s">
        <v>34</v>
      </c>
      <c r="J557" t="s">
        <v>42</v>
      </c>
      <c r="K557" t="s">
        <v>1211</v>
      </c>
      <c r="L557">
        <v>1189.03</v>
      </c>
      <c r="M557">
        <v>2949.62</v>
      </c>
      <c r="N557">
        <v>0.125</v>
      </c>
      <c r="O557">
        <v>13</v>
      </c>
    </row>
    <row r="558" spans="1:15">
      <c r="A558" t="s">
        <v>1212</v>
      </c>
      <c r="B558" s="39">
        <v>45053</v>
      </c>
      <c r="C558" s="39">
        <v>45066</v>
      </c>
      <c r="D558" t="s">
        <v>45</v>
      </c>
      <c r="E558" t="s">
        <v>60</v>
      </c>
      <c r="F558" t="s">
        <v>220</v>
      </c>
      <c r="G558" t="s">
        <v>105</v>
      </c>
      <c r="H558" t="s">
        <v>20</v>
      </c>
      <c r="I558" t="s">
        <v>145</v>
      </c>
      <c r="J558" t="s">
        <v>81</v>
      </c>
      <c r="K558" t="s">
        <v>1213</v>
      </c>
      <c r="L558">
        <v>1443.28</v>
      </c>
      <c r="M558">
        <v>2580.57</v>
      </c>
      <c r="N558">
        <v>0</v>
      </c>
      <c r="O558">
        <v>18</v>
      </c>
    </row>
    <row r="559" spans="1:15">
      <c r="A559" t="s">
        <v>1214</v>
      </c>
      <c r="B559" s="39">
        <v>45791</v>
      </c>
      <c r="C559" s="39">
        <v>45789</v>
      </c>
      <c r="D559" t="s">
        <v>52</v>
      </c>
      <c r="E559" t="s">
        <v>53</v>
      </c>
      <c r="F559" t="s">
        <v>179</v>
      </c>
      <c r="G559" t="s">
        <v>39</v>
      </c>
      <c r="H559" t="s">
        <v>55</v>
      </c>
      <c r="I559" t="s">
        <v>84</v>
      </c>
      <c r="J559" t="s">
        <v>30</v>
      </c>
      <c r="K559" t="s">
        <v>1215</v>
      </c>
      <c r="L559">
        <v>883.5</v>
      </c>
      <c r="M559">
        <v>1978.91</v>
      </c>
      <c r="N559">
        <v>0.054</v>
      </c>
      <c r="O559">
        <v>27</v>
      </c>
    </row>
    <row r="560" spans="1:15">
      <c r="A560" t="s">
        <v>1216</v>
      </c>
      <c r="B560" s="39">
        <v>45362</v>
      </c>
      <c r="C560" s="39">
        <v>45380</v>
      </c>
      <c r="D560" t="s">
        <v>52</v>
      </c>
      <c r="E560" t="s">
        <v>122</v>
      </c>
      <c r="F560" t="s">
        <v>387</v>
      </c>
      <c r="G560" t="s">
        <v>19</v>
      </c>
      <c r="H560" t="s">
        <v>20</v>
      </c>
      <c r="I560" t="s">
        <v>110</v>
      </c>
      <c r="J560" t="s">
        <v>64</v>
      </c>
      <c r="K560" t="s">
        <v>1217</v>
      </c>
      <c r="L560">
        <v>710.98</v>
      </c>
      <c r="M560">
        <v>1481.45</v>
      </c>
      <c r="N560">
        <v>0.211</v>
      </c>
      <c r="O560">
        <v>9</v>
      </c>
    </row>
    <row r="561" spans="1:15">
      <c r="A561" t="s">
        <v>1218</v>
      </c>
      <c r="B561" s="39">
        <v>45430</v>
      </c>
      <c r="C561" s="39">
        <v>45434</v>
      </c>
      <c r="D561" t="s">
        <v>16</v>
      </c>
      <c r="E561" t="s">
        <v>17</v>
      </c>
      <c r="F561" t="s">
        <v>33</v>
      </c>
      <c r="G561" t="s">
        <v>19</v>
      </c>
      <c r="H561" t="s">
        <v>98</v>
      </c>
      <c r="I561" t="s">
        <v>92</v>
      </c>
      <c r="J561" t="s">
        <v>81</v>
      </c>
      <c r="K561" t="s">
        <v>1219</v>
      </c>
      <c r="L561">
        <v>857.42</v>
      </c>
      <c r="M561">
        <v>1658.92</v>
      </c>
      <c r="N561">
        <v>0.122</v>
      </c>
      <c r="O561">
        <v>9</v>
      </c>
    </row>
    <row r="562" spans="1:15">
      <c r="A562" t="s">
        <v>1220</v>
      </c>
      <c r="B562" s="39">
        <v>45299</v>
      </c>
      <c r="C562" s="39">
        <v>45303</v>
      </c>
      <c r="D562" t="s">
        <v>45</v>
      </c>
      <c r="E562" t="s">
        <v>60</v>
      </c>
      <c r="F562" t="s">
        <v>61</v>
      </c>
      <c r="G562" t="s">
        <v>19</v>
      </c>
      <c r="H562" t="s">
        <v>98</v>
      </c>
      <c r="I562" t="s">
        <v>63</v>
      </c>
      <c r="J562" t="s">
        <v>30</v>
      </c>
      <c r="K562" t="s">
        <v>1221</v>
      </c>
      <c r="L562">
        <v>802.32</v>
      </c>
      <c r="M562">
        <v>602.34</v>
      </c>
      <c r="N562">
        <v>0.12</v>
      </c>
      <c r="O562">
        <v>25</v>
      </c>
    </row>
    <row r="563" spans="1:15">
      <c r="A563" t="s">
        <v>1222</v>
      </c>
      <c r="B563" s="39">
        <v>45590</v>
      </c>
      <c r="C563" s="39">
        <v>45601</v>
      </c>
      <c r="D563" t="s">
        <v>52</v>
      </c>
      <c r="E563" t="s">
        <v>122</v>
      </c>
      <c r="F563" t="s">
        <v>387</v>
      </c>
      <c r="G563" t="s">
        <v>19</v>
      </c>
      <c r="H563" t="s">
        <v>55</v>
      </c>
      <c r="I563" t="s">
        <v>126</v>
      </c>
      <c r="J563" t="s">
        <v>22</v>
      </c>
      <c r="K563" t="s">
        <v>1223</v>
      </c>
      <c r="L563">
        <v>446.66</v>
      </c>
      <c r="M563">
        <v>527.64</v>
      </c>
      <c r="N563">
        <v>0.145</v>
      </c>
      <c r="O563">
        <v>15</v>
      </c>
    </row>
    <row r="564" spans="1:15">
      <c r="A564" t="s">
        <v>1224</v>
      </c>
      <c r="B564" s="39">
        <v>45626</v>
      </c>
      <c r="C564" s="39">
        <v>45645</v>
      </c>
      <c r="D564" t="s">
        <v>16</v>
      </c>
      <c r="E564" t="s">
        <v>17</v>
      </c>
      <c r="F564" t="s">
        <v>18</v>
      </c>
      <c r="G564" t="s">
        <v>19</v>
      </c>
      <c r="H564" t="s">
        <v>28</v>
      </c>
      <c r="I564" t="s">
        <v>49</v>
      </c>
      <c r="J564" t="s">
        <v>42</v>
      </c>
      <c r="K564" t="s">
        <v>1225</v>
      </c>
      <c r="L564">
        <v>1195.98</v>
      </c>
      <c r="M564">
        <v>1841.9</v>
      </c>
      <c r="N564">
        <v>0.055</v>
      </c>
      <c r="O564">
        <v>19</v>
      </c>
    </row>
    <row r="565" spans="1:15">
      <c r="A565" t="s">
        <v>1226</v>
      </c>
      <c r="B565" s="39">
        <v>45029</v>
      </c>
      <c r="C565" s="39">
        <v>45048</v>
      </c>
      <c r="D565" t="s">
        <v>52</v>
      </c>
      <c r="E565" t="s">
        <v>53</v>
      </c>
      <c r="F565" t="s">
        <v>144</v>
      </c>
      <c r="G565" t="s">
        <v>48</v>
      </c>
      <c r="H565" t="s">
        <v>55</v>
      </c>
      <c r="I565" t="s">
        <v>63</v>
      </c>
      <c r="J565" t="s">
        <v>64</v>
      </c>
      <c r="K565" t="s">
        <v>1227</v>
      </c>
      <c r="L565">
        <v>671.05</v>
      </c>
      <c r="M565">
        <v>1645.48</v>
      </c>
      <c r="N565">
        <v>0.137</v>
      </c>
      <c r="O565">
        <v>6</v>
      </c>
    </row>
    <row r="566" spans="1:15">
      <c r="A566" t="s">
        <v>1228</v>
      </c>
      <c r="B566" s="39">
        <v>45692</v>
      </c>
      <c r="C566" s="39">
        <v>45696</v>
      </c>
      <c r="D566" t="s">
        <v>78</v>
      </c>
      <c r="E566" t="s">
        <v>108</v>
      </c>
      <c r="F566" t="s">
        <v>228</v>
      </c>
      <c r="G566" t="s">
        <v>105</v>
      </c>
      <c r="H566" t="s">
        <v>40</v>
      </c>
      <c r="I566" t="s">
        <v>49</v>
      </c>
      <c r="J566" t="s">
        <v>35</v>
      </c>
      <c r="K566" t="s">
        <v>1229</v>
      </c>
      <c r="L566">
        <v>586.21</v>
      </c>
      <c r="M566">
        <v>727.22</v>
      </c>
      <c r="N566">
        <v>0.068</v>
      </c>
      <c r="O566">
        <v>15</v>
      </c>
    </row>
    <row r="567" spans="1:15">
      <c r="A567" t="s">
        <v>1230</v>
      </c>
      <c r="B567" s="39">
        <v>45315</v>
      </c>
      <c r="C567" s="39">
        <v>45326</v>
      </c>
      <c r="D567" t="s">
        <v>78</v>
      </c>
      <c r="E567" t="s">
        <v>108</v>
      </c>
      <c r="F567" t="s">
        <v>228</v>
      </c>
      <c r="G567" t="s">
        <v>48</v>
      </c>
      <c r="H567" t="s">
        <v>20</v>
      </c>
      <c r="I567" t="s">
        <v>56</v>
      </c>
      <c r="J567" t="s">
        <v>57</v>
      </c>
      <c r="K567" t="s">
        <v>1231</v>
      </c>
      <c r="L567">
        <v>525.34</v>
      </c>
      <c r="M567">
        <v>1233.79</v>
      </c>
      <c r="N567">
        <v>0.143</v>
      </c>
      <c r="O567">
        <v>4</v>
      </c>
    </row>
    <row r="568" spans="1:15">
      <c r="A568" t="s">
        <v>1232</v>
      </c>
      <c r="B568" s="39">
        <v>45330</v>
      </c>
      <c r="C568" s="39">
        <v>45331</v>
      </c>
      <c r="D568" t="s">
        <v>16</v>
      </c>
      <c r="E568" t="s">
        <v>17</v>
      </c>
      <c r="F568" t="s">
        <v>113</v>
      </c>
      <c r="G568" t="s">
        <v>19</v>
      </c>
      <c r="H568" t="s">
        <v>98</v>
      </c>
      <c r="I568" t="s">
        <v>84</v>
      </c>
      <c r="J568" t="s">
        <v>22</v>
      </c>
      <c r="K568" t="s">
        <v>1233</v>
      </c>
      <c r="L568">
        <v>1233.52</v>
      </c>
      <c r="M568">
        <v>1543.76</v>
      </c>
      <c r="N568">
        <v>0.126</v>
      </c>
      <c r="O568">
        <v>13</v>
      </c>
    </row>
    <row r="569" spans="1:15">
      <c r="A569" t="s">
        <v>1234</v>
      </c>
      <c r="B569" s="39">
        <v>45834</v>
      </c>
      <c r="C569" s="39">
        <v>45849</v>
      </c>
      <c r="D569" t="s">
        <v>16</v>
      </c>
      <c r="E569" t="s">
        <v>25</v>
      </c>
      <c r="F569" t="s">
        <v>26</v>
      </c>
      <c r="G569" t="s">
        <v>62</v>
      </c>
      <c r="H569" t="s">
        <v>28</v>
      </c>
      <c r="I569" t="s">
        <v>75</v>
      </c>
      <c r="J569" t="s">
        <v>57</v>
      </c>
      <c r="K569" t="s">
        <v>1235</v>
      </c>
      <c r="L569">
        <v>1170.15</v>
      </c>
      <c r="M569">
        <v>2115.19</v>
      </c>
      <c r="N569">
        <v>0.092</v>
      </c>
      <c r="O569">
        <v>23</v>
      </c>
    </row>
    <row r="570" spans="1:15">
      <c r="A570" t="s">
        <v>1236</v>
      </c>
      <c r="B570" s="39">
        <v>45600</v>
      </c>
      <c r="C570" s="39">
        <v>45603</v>
      </c>
      <c r="D570" t="s">
        <v>78</v>
      </c>
      <c r="E570" t="s">
        <v>90</v>
      </c>
      <c r="F570" t="s">
        <v>138</v>
      </c>
      <c r="G570" t="s">
        <v>19</v>
      </c>
      <c r="H570" t="s">
        <v>28</v>
      </c>
      <c r="I570" t="s">
        <v>68</v>
      </c>
      <c r="J570" t="s">
        <v>64</v>
      </c>
      <c r="K570" t="s">
        <v>1237</v>
      </c>
      <c r="L570">
        <v>740.68</v>
      </c>
      <c r="M570">
        <v>1837.19</v>
      </c>
      <c r="N570">
        <v>0.197</v>
      </c>
      <c r="O570">
        <v>17</v>
      </c>
    </row>
    <row r="571" spans="1:15">
      <c r="A571" t="s">
        <v>1238</v>
      </c>
      <c r="B571" s="39">
        <v>45342</v>
      </c>
      <c r="C571" s="39">
        <v>45342</v>
      </c>
      <c r="D571" t="s">
        <v>52</v>
      </c>
      <c r="E571" t="s">
        <v>122</v>
      </c>
      <c r="F571" t="s">
        <v>387</v>
      </c>
      <c r="G571" t="s">
        <v>105</v>
      </c>
      <c r="H571" t="s">
        <v>28</v>
      </c>
      <c r="I571" t="s">
        <v>21</v>
      </c>
      <c r="J571" t="s">
        <v>35</v>
      </c>
      <c r="K571" t="s">
        <v>1239</v>
      </c>
      <c r="L571">
        <v>1407.05</v>
      </c>
      <c r="M571">
        <v>2858.93</v>
      </c>
      <c r="N571">
        <v>0</v>
      </c>
      <c r="O571">
        <v>12</v>
      </c>
    </row>
    <row r="572" spans="1:15">
      <c r="A572" t="s">
        <v>1240</v>
      </c>
      <c r="B572" s="39">
        <v>45760</v>
      </c>
      <c r="C572" s="39">
        <v>45761</v>
      </c>
      <c r="D572" t="s">
        <v>45</v>
      </c>
      <c r="E572" t="s">
        <v>46</v>
      </c>
      <c r="F572" t="s">
        <v>47</v>
      </c>
      <c r="G572" t="s">
        <v>105</v>
      </c>
      <c r="H572" t="s">
        <v>28</v>
      </c>
      <c r="I572" t="s">
        <v>41</v>
      </c>
      <c r="J572" t="s">
        <v>22</v>
      </c>
      <c r="K572" t="s">
        <v>1241</v>
      </c>
      <c r="L572">
        <v>138.9</v>
      </c>
      <c r="M572">
        <v>289.92</v>
      </c>
      <c r="N572">
        <v>0.029</v>
      </c>
      <c r="O572">
        <v>12</v>
      </c>
    </row>
    <row r="573" spans="1:15">
      <c r="A573" t="s">
        <v>1242</v>
      </c>
      <c r="B573" s="39">
        <v>45078</v>
      </c>
      <c r="C573" s="39">
        <v>45078</v>
      </c>
      <c r="D573" t="s">
        <v>45</v>
      </c>
      <c r="E573" t="s">
        <v>60</v>
      </c>
      <c r="F573" t="s">
        <v>61</v>
      </c>
      <c r="G573" t="s">
        <v>19</v>
      </c>
      <c r="H573" t="s">
        <v>20</v>
      </c>
      <c r="I573" t="s">
        <v>63</v>
      </c>
      <c r="J573" t="s">
        <v>81</v>
      </c>
      <c r="K573" t="s">
        <v>1243</v>
      </c>
      <c r="L573">
        <v>669.37</v>
      </c>
      <c r="M573">
        <v>997.2</v>
      </c>
      <c r="N573">
        <v>0.082</v>
      </c>
      <c r="O573">
        <v>5</v>
      </c>
    </row>
    <row r="574" spans="1:15">
      <c r="A574" t="s">
        <v>1244</v>
      </c>
      <c r="B574" s="39">
        <v>45740</v>
      </c>
      <c r="C574" s="39">
        <v>45751</v>
      </c>
      <c r="D574" t="s">
        <v>45</v>
      </c>
      <c r="E574" t="s">
        <v>60</v>
      </c>
      <c r="F574" t="s">
        <v>220</v>
      </c>
      <c r="G574" t="s">
        <v>27</v>
      </c>
      <c r="H574" t="s">
        <v>40</v>
      </c>
      <c r="I574" t="s">
        <v>29</v>
      </c>
      <c r="J574" t="s">
        <v>42</v>
      </c>
      <c r="K574" t="s">
        <v>1245</v>
      </c>
      <c r="L574">
        <v>23.83</v>
      </c>
      <c r="M574">
        <v>47.29</v>
      </c>
      <c r="N574">
        <v>0.064</v>
      </c>
      <c r="O574">
        <v>19</v>
      </c>
    </row>
    <row r="575" spans="1:15">
      <c r="A575" t="s">
        <v>1246</v>
      </c>
      <c r="B575" s="39">
        <v>45293</v>
      </c>
      <c r="C575" s="39">
        <v>45293</v>
      </c>
      <c r="D575" t="s">
        <v>52</v>
      </c>
      <c r="E575" t="s">
        <v>53</v>
      </c>
      <c r="F575" t="s">
        <v>179</v>
      </c>
      <c r="G575" t="s">
        <v>27</v>
      </c>
      <c r="H575" t="s">
        <v>98</v>
      </c>
      <c r="I575" t="s">
        <v>75</v>
      </c>
      <c r="J575" t="s">
        <v>57</v>
      </c>
      <c r="K575" t="s">
        <v>1247</v>
      </c>
      <c r="L575">
        <v>444.41</v>
      </c>
      <c r="M575">
        <v>754.24</v>
      </c>
      <c r="N575">
        <v>0.207</v>
      </c>
      <c r="O575">
        <v>32</v>
      </c>
    </row>
    <row r="576" spans="1:15">
      <c r="A576" t="s">
        <v>1248</v>
      </c>
      <c r="B576" s="39">
        <v>45279</v>
      </c>
      <c r="C576" s="39">
        <v>45292</v>
      </c>
      <c r="D576" t="s">
        <v>52</v>
      </c>
      <c r="E576" t="s">
        <v>53</v>
      </c>
      <c r="F576" t="s">
        <v>54</v>
      </c>
      <c r="G576" t="s">
        <v>105</v>
      </c>
      <c r="H576" t="s">
        <v>20</v>
      </c>
      <c r="I576" t="s">
        <v>95</v>
      </c>
      <c r="J576" t="s">
        <v>64</v>
      </c>
      <c r="K576" t="s">
        <v>1249</v>
      </c>
      <c r="L576">
        <v>856.1</v>
      </c>
      <c r="M576">
        <v>901.48</v>
      </c>
      <c r="N576">
        <v>0.056</v>
      </c>
      <c r="O576">
        <v>17</v>
      </c>
    </row>
    <row r="577" spans="1:15">
      <c r="A577" t="s">
        <v>1250</v>
      </c>
      <c r="B577" s="39">
        <v>45042</v>
      </c>
      <c r="C577" s="39">
        <v>45042</v>
      </c>
      <c r="D577" t="s">
        <v>78</v>
      </c>
      <c r="E577" t="s">
        <v>90</v>
      </c>
      <c r="F577" t="s">
        <v>91</v>
      </c>
      <c r="G577" t="s">
        <v>48</v>
      </c>
      <c r="H577" t="s">
        <v>98</v>
      </c>
      <c r="I577" t="s">
        <v>110</v>
      </c>
      <c r="J577" t="s">
        <v>22</v>
      </c>
      <c r="K577" t="s">
        <v>1251</v>
      </c>
      <c r="L577">
        <v>81.49</v>
      </c>
      <c r="M577">
        <v>113.08</v>
      </c>
      <c r="N577">
        <v>0.121</v>
      </c>
      <c r="O577">
        <v>5</v>
      </c>
    </row>
    <row r="578" spans="1:15">
      <c r="A578" t="s">
        <v>1252</v>
      </c>
      <c r="B578" s="39">
        <v>45872</v>
      </c>
      <c r="C578" s="39">
        <v>45885</v>
      </c>
      <c r="D578" t="s">
        <v>52</v>
      </c>
      <c r="E578" t="s">
        <v>53</v>
      </c>
      <c r="F578" t="s">
        <v>144</v>
      </c>
      <c r="G578" t="s">
        <v>105</v>
      </c>
      <c r="H578" t="s">
        <v>55</v>
      </c>
      <c r="I578" t="s">
        <v>68</v>
      </c>
      <c r="J578" t="s">
        <v>35</v>
      </c>
      <c r="K578" t="s">
        <v>1253</v>
      </c>
      <c r="L578">
        <v>698.66</v>
      </c>
      <c r="M578">
        <v>868.62</v>
      </c>
      <c r="N578">
        <v>0.072</v>
      </c>
      <c r="O578">
        <v>15</v>
      </c>
    </row>
    <row r="579" spans="1:15">
      <c r="A579" t="s">
        <v>1254</v>
      </c>
      <c r="B579" s="39">
        <v>45140</v>
      </c>
      <c r="C579" s="39">
        <v>45157</v>
      </c>
      <c r="D579" t="s">
        <v>52</v>
      </c>
      <c r="E579" t="s">
        <v>53</v>
      </c>
      <c r="F579" t="s">
        <v>179</v>
      </c>
      <c r="G579" t="s">
        <v>19</v>
      </c>
      <c r="H579" t="s">
        <v>28</v>
      </c>
      <c r="I579" t="s">
        <v>84</v>
      </c>
      <c r="J579" t="s">
        <v>35</v>
      </c>
      <c r="K579" t="s">
        <v>1255</v>
      </c>
      <c r="L579">
        <v>175.38</v>
      </c>
      <c r="M579">
        <v>347.9</v>
      </c>
      <c r="N579">
        <v>0.072</v>
      </c>
      <c r="O579">
        <v>43</v>
      </c>
    </row>
    <row r="580" spans="1:15">
      <c r="A580" t="s">
        <v>1256</v>
      </c>
      <c r="B580" s="39">
        <v>45092</v>
      </c>
      <c r="C580" s="39">
        <v>45119</v>
      </c>
      <c r="D580" t="s">
        <v>78</v>
      </c>
      <c r="E580" t="s">
        <v>108</v>
      </c>
      <c r="F580" t="s">
        <v>228</v>
      </c>
      <c r="G580" t="s">
        <v>48</v>
      </c>
      <c r="H580" t="s">
        <v>98</v>
      </c>
      <c r="I580" t="s">
        <v>34</v>
      </c>
      <c r="J580" t="s">
        <v>81</v>
      </c>
      <c r="K580" t="s">
        <v>1257</v>
      </c>
      <c r="L580">
        <v>751.28</v>
      </c>
      <c r="M580">
        <v>1111.88</v>
      </c>
      <c r="N580">
        <v>0.135</v>
      </c>
      <c r="O580">
        <v>7</v>
      </c>
    </row>
    <row r="581" spans="1:15">
      <c r="A581" t="s">
        <v>1258</v>
      </c>
      <c r="B581" s="39">
        <v>45607</v>
      </c>
      <c r="C581" s="39">
        <v>45620</v>
      </c>
      <c r="D581" t="s">
        <v>78</v>
      </c>
      <c r="E581" t="s">
        <v>108</v>
      </c>
      <c r="F581" t="s">
        <v>152</v>
      </c>
      <c r="G581" t="s">
        <v>19</v>
      </c>
      <c r="H581" t="s">
        <v>20</v>
      </c>
      <c r="I581" t="s">
        <v>63</v>
      </c>
      <c r="J581" t="s">
        <v>35</v>
      </c>
      <c r="K581" t="s">
        <v>1259</v>
      </c>
      <c r="L581">
        <v>164.53</v>
      </c>
      <c r="M581">
        <v>327.72</v>
      </c>
      <c r="N581">
        <v>0.067</v>
      </c>
      <c r="O581">
        <v>14</v>
      </c>
    </row>
    <row r="582" spans="1:15">
      <c r="A582" t="s">
        <v>1260</v>
      </c>
      <c r="B582" s="39">
        <v>45849</v>
      </c>
      <c r="C582" s="39">
        <v>45872</v>
      </c>
      <c r="D582" t="s">
        <v>16</v>
      </c>
      <c r="E582" t="s">
        <v>17</v>
      </c>
      <c r="F582" t="s">
        <v>135</v>
      </c>
      <c r="G582" t="s">
        <v>62</v>
      </c>
      <c r="H582" t="s">
        <v>20</v>
      </c>
      <c r="I582" t="s">
        <v>21</v>
      </c>
      <c r="J582" t="s">
        <v>42</v>
      </c>
      <c r="K582" t="s">
        <v>1261</v>
      </c>
      <c r="L582">
        <v>389.93</v>
      </c>
      <c r="M582">
        <v>486.13</v>
      </c>
      <c r="N582">
        <v>0.132</v>
      </c>
      <c r="O582">
        <v>17</v>
      </c>
    </row>
    <row r="583" spans="1:15">
      <c r="A583" t="s">
        <v>1262</v>
      </c>
      <c r="B583" s="39">
        <v>45080</v>
      </c>
      <c r="C583" s="39">
        <v>45108</v>
      </c>
      <c r="D583" t="s">
        <v>52</v>
      </c>
      <c r="E583" t="s">
        <v>73</v>
      </c>
      <c r="F583" t="s">
        <v>87</v>
      </c>
      <c r="G583" t="s">
        <v>62</v>
      </c>
      <c r="H583" t="s">
        <v>40</v>
      </c>
      <c r="I583" t="s">
        <v>75</v>
      </c>
      <c r="J583" t="s">
        <v>22</v>
      </c>
      <c r="K583" t="s">
        <v>1263</v>
      </c>
      <c r="L583">
        <v>860.4</v>
      </c>
      <c r="M583">
        <v>2066.6</v>
      </c>
      <c r="N583">
        <v>0.01</v>
      </c>
      <c r="O583">
        <v>3</v>
      </c>
    </row>
    <row r="584" spans="1:15">
      <c r="A584" t="s">
        <v>1264</v>
      </c>
      <c r="B584" s="39">
        <v>44955</v>
      </c>
      <c r="C584" s="39">
        <v>44963</v>
      </c>
      <c r="D584" t="s">
        <v>52</v>
      </c>
      <c r="E584" t="s">
        <v>73</v>
      </c>
      <c r="F584" t="s">
        <v>87</v>
      </c>
      <c r="G584" t="s">
        <v>19</v>
      </c>
      <c r="H584" t="s">
        <v>40</v>
      </c>
      <c r="I584" t="s">
        <v>145</v>
      </c>
      <c r="J584" t="s">
        <v>64</v>
      </c>
      <c r="K584" t="s">
        <v>1265</v>
      </c>
      <c r="L584">
        <v>41.84</v>
      </c>
      <c r="M584">
        <v>86.2</v>
      </c>
      <c r="N584">
        <v>0.226</v>
      </c>
      <c r="O584">
        <v>27</v>
      </c>
    </row>
    <row r="585" spans="1:15">
      <c r="A585" t="s">
        <v>1266</v>
      </c>
      <c r="B585" s="39">
        <v>45541</v>
      </c>
      <c r="C585" s="39">
        <v>45539</v>
      </c>
      <c r="D585" t="s">
        <v>45</v>
      </c>
      <c r="E585" t="s">
        <v>46</v>
      </c>
      <c r="F585" t="s">
        <v>47</v>
      </c>
      <c r="G585" t="s">
        <v>19</v>
      </c>
      <c r="H585" t="s">
        <v>98</v>
      </c>
      <c r="I585" t="s">
        <v>75</v>
      </c>
      <c r="J585" t="s">
        <v>57</v>
      </c>
      <c r="K585" t="s">
        <v>1267</v>
      </c>
      <c r="L585">
        <v>1368.17</v>
      </c>
      <c r="M585">
        <v>2307.75</v>
      </c>
      <c r="N585">
        <v>0.163</v>
      </c>
      <c r="O585">
        <v>21</v>
      </c>
    </row>
    <row r="586" spans="1:15">
      <c r="A586" t="s">
        <v>1268</v>
      </c>
      <c r="B586" s="39">
        <v>45507</v>
      </c>
      <c r="C586" s="39">
        <v>45513</v>
      </c>
      <c r="D586" t="s">
        <v>16</v>
      </c>
      <c r="E586" t="s">
        <v>17</v>
      </c>
      <c r="F586" t="s">
        <v>113</v>
      </c>
      <c r="G586" t="s">
        <v>48</v>
      </c>
      <c r="H586" t="s">
        <v>40</v>
      </c>
      <c r="I586" t="s">
        <v>92</v>
      </c>
      <c r="J586" t="s">
        <v>57</v>
      </c>
      <c r="K586" t="s">
        <v>1269</v>
      </c>
      <c r="L586">
        <v>643.21</v>
      </c>
      <c r="M586">
        <v>1112.81</v>
      </c>
      <c r="N586">
        <v>0.141</v>
      </c>
      <c r="O586">
        <v>4</v>
      </c>
    </row>
    <row r="587" spans="1:15">
      <c r="A587" t="s">
        <v>1270</v>
      </c>
      <c r="B587" s="39">
        <v>45764</v>
      </c>
      <c r="C587" s="39">
        <v>45764</v>
      </c>
      <c r="D587" t="s">
        <v>52</v>
      </c>
      <c r="E587" t="s">
        <v>73</v>
      </c>
      <c r="F587" t="s">
        <v>74</v>
      </c>
      <c r="G587" t="s">
        <v>19</v>
      </c>
      <c r="H587" t="s">
        <v>55</v>
      </c>
      <c r="I587" t="s">
        <v>49</v>
      </c>
      <c r="J587" t="s">
        <v>42</v>
      </c>
      <c r="K587" t="s">
        <v>1271</v>
      </c>
      <c r="L587">
        <v>719.41</v>
      </c>
      <c r="M587">
        <v>1125.99</v>
      </c>
      <c r="N587">
        <v>0.041</v>
      </c>
      <c r="O587">
        <v>21</v>
      </c>
    </row>
    <row r="588" spans="1:15">
      <c r="A588" t="s">
        <v>1272</v>
      </c>
      <c r="B588" s="39">
        <v>45049</v>
      </c>
      <c r="C588" s="39">
        <v>45062</v>
      </c>
      <c r="D588" t="s">
        <v>52</v>
      </c>
      <c r="E588" t="s">
        <v>122</v>
      </c>
      <c r="F588" t="s">
        <v>387</v>
      </c>
      <c r="G588" t="s">
        <v>19</v>
      </c>
      <c r="H588" t="s">
        <v>40</v>
      </c>
      <c r="I588" t="s">
        <v>49</v>
      </c>
      <c r="J588" t="s">
        <v>42</v>
      </c>
      <c r="K588" t="s">
        <v>1273</v>
      </c>
      <c r="L588">
        <v>64.5</v>
      </c>
      <c r="M588">
        <v>123.62</v>
      </c>
      <c r="N588">
        <v>0</v>
      </c>
      <c r="O588">
        <v>3</v>
      </c>
    </row>
    <row r="589" spans="1:15">
      <c r="A589" t="s">
        <v>1274</v>
      </c>
      <c r="B589" s="39">
        <v>45364</v>
      </c>
      <c r="C589" s="39">
        <v>45388</v>
      </c>
      <c r="D589" t="s">
        <v>16</v>
      </c>
      <c r="E589" t="s">
        <v>25</v>
      </c>
      <c r="F589" t="s">
        <v>67</v>
      </c>
      <c r="G589" t="s">
        <v>48</v>
      </c>
      <c r="H589" t="s">
        <v>55</v>
      </c>
      <c r="I589" t="s">
        <v>49</v>
      </c>
      <c r="J589" t="s">
        <v>22</v>
      </c>
      <c r="K589" t="s">
        <v>1275</v>
      </c>
      <c r="L589">
        <v>1232.78</v>
      </c>
      <c r="M589">
        <v>1731.75</v>
      </c>
      <c r="N589">
        <v>0.093</v>
      </c>
      <c r="O589">
        <v>16</v>
      </c>
    </row>
    <row r="590" spans="1:15">
      <c r="A590" t="s">
        <v>1276</v>
      </c>
      <c r="B590" s="39">
        <v>45459</v>
      </c>
      <c r="C590" s="39">
        <v>45464</v>
      </c>
      <c r="D590" t="s">
        <v>45</v>
      </c>
      <c r="E590" t="s">
        <v>46</v>
      </c>
      <c r="F590" t="s">
        <v>214</v>
      </c>
      <c r="G590" t="s">
        <v>62</v>
      </c>
      <c r="H590" t="s">
        <v>55</v>
      </c>
      <c r="I590" t="s">
        <v>84</v>
      </c>
      <c r="J590" t="s">
        <v>42</v>
      </c>
      <c r="K590" t="s">
        <v>1277</v>
      </c>
      <c r="L590">
        <v>1367.13</v>
      </c>
      <c r="M590">
        <v>3062.01</v>
      </c>
      <c r="N590">
        <v>0.103</v>
      </c>
      <c r="O590">
        <v>25</v>
      </c>
    </row>
    <row r="591" spans="1:15">
      <c r="A591" t="s">
        <v>1278</v>
      </c>
      <c r="B591" s="39">
        <v>45703</v>
      </c>
      <c r="C591" s="39">
        <v>45715</v>
      </c>
      <c r="D591" t="s">
        <v>78</v>
      </c>
      <c r="E591" t="s">
        <v>90</v>
      </c>
      <c r="F591" t="s">
        <v>138</v>
      </c>
      <c r="G591" t="s">
        <v>39</v>
      </c>
      <c r="H591" t="s">
        <v>98</v>
      </c>
      <c r="I591" t="s">
        <v>95</v>
      </c>
      <c r="J591" t="s">
        <v>81</v>
      </c>
      <c r="K591" t="s">
        <v>1279</v>
      </c>
      <c r="L591">
        <v>1027.26</v>
      </c>
      <c r="M591">
        <v>2200.41</v>
      </c>
      <c r="N591">
        <v>0.088</v>
      </c>
      <c r="O591">
        <v>6</v>
      </c>
    </row>
    <row r="592" spans="1:15">
      <c r="A592" t="s">
        <v>1280</v>
      </c>
      <c r="B592" s="39">
        <v>45019</v>
      </c>
      <c r="C592" s="39">
        <v>45032</v>
      </c>
      <c r="D592" t="s">
        <v>78</v>
      </c>
      <c r="E592" t="s">
        <v>90</v>
      </c>
      <c r="F592" t="s">
        <v>91</v>
      </c>
      <c r="G592" t="s">
        <v>39</v>
      </c>
      <c r="H592" t="s">
        <v>40</v>
      </c>
      <c r="I592" t="s">
        <v>110</v>
      </c>
      <c r="J592" t="s">
        <v>81</v>
      </c>
      <c r="K592" t="s">
        <v>1281</v>
      </c>
      <c r="L592">
        <v>790.54</v>
      </c>
      <c r="M592">
        <v>601.49</v>
      </c>
      <c r="N592">
        <v>0</v>
      </c>
      <c r="O592">
        <v>15</v>
      </c>
    </row>
    <row r="593" spans="1:15">
      <c r="A593" t="s">
        <v>1282</v>
      </c>
      <c r="B593" s="39">
        <v>45899</v>
      </c>
      <c r="C593" s="39">
        <v>45922</v>
      </c>
      <c r="D593" t="s">
        <v>78</v>
      </c>
      <c r="E593" t="s">
        <v>90</v>
      </c>
      <c r="F593" t="s">
        <v>91</v>
      </c>
      <c r="G593" t="s">
        <v>19</v>
      </c>
      <c r="H593" t="s">
        <v>98</v>
      </c>
      <c r="I593" t="s">
        <v>63</v>
      </c>
      <c r="J593" t="s">
        <v>22</v>
      </c>
      <c r="K593" t="s">
        <v>1283</v>
      </c>
      <c r="L593">
        <v>663.9</v>
      </c>
      <c r="M593">
        <v>947.77</v>
      </c>
      <c r="N593">
        <v>0.174</v>
      </c>
      <c r="O593">
        <v>15</v>
      </c>
    </row>
    <row r="594" spans="1:15">
      <c r="A594" t="s">
        <v>1284</v>
      </c>
      <c r="B594" s="39">
        <v>44984</v>
      </c>
      <c r="C594" s="39">
        <v>44983</v>
      </c>
      <c r="D594" t="s">
        <v>52</v>
      </c>
      <c r="E594" t="s">
        <v>122</v>
      </c>
      <c r="F594" t="s">
        <v>167</v>
      </c>
      <c r="G594" t="s">
        <v>39</v>
      </c>
      <c r="H594" t="s">
        <v>28</v>
      </c>
      <c r="I594" t="s">
        <v>49</v>
      </c>
      <c r="J594" t="s">
        <v>35</v>
      </c>
      <c r="K594" t="s">
        <v>1285</v>
      </c>
      <c r="L594">
        <v>1015.91</v>
      </c>
      <c r="M594">
        <v>2331.48</v>
      </c>
      <c r="N594">
        <v>0.146</v>
      </c>
      <c r="O594">
        <v>26</v>
      </c>
    </row>
    <row r="595" spans="1:15">
      <c r="A595" t="s">
        <v>1286</v>
      </c>
      <c r="B595" s="39">
        <v>45504</v>
      </c>
      <c r="C595" s="39">
        <v>45519</v>
      </c>
      <c r="D595" t="s">
        <v>45</v>
      </c>
      <c r="E595" t="s">
        <v>46</v>
      </c>
      <c r="F595" t="s">
        <v>214</v>
      </c>
      <c r="G595" t="s">
        <v>19</v>
      </c>
      <c r="H595" t="s">
        <v>40</v>
      </c>
      <c r="I595" t="s">
        <v>84</v>
      </c>
      <c r="J595" t="s">
        <v>64</v>
      </c>
      <c r="K595" t="s">
        <v>1287</v>
      </c>
      <c r="L595">
        <v>1252.52</v>
      </c>
      <c r="M595">
        <v>1417.24</v>
      </c>
      <c r="N595">
        <v>0.192</v>
      </c>
      <c r="O595">
        <v>5</v>
      </c>
    </row>
    <row r="596" spans="1:15">
      <c r="A596" t="s">
        <v>1288</v>
      </c>
      <c r="B596" s="39">
        <v>45823</v>
      </c>
      <c r="C596" s="39">
        <v>45850</v>
      </c>
      <c r="D596" t="s">
        <v>78</v>
      </c>
      <c r="E596" t="s">
        <v>90</v>
      </c>
      <c r="F596" t="s">
        <v>91</v>
      </c>
      <c r="G596" t="s">
        <v>48</v>
      </c>
      <c r="H596" t="s">
        <v>98</v>
      </c>
      <c r="I596" t="s">
        <v>21</v>
      </c>
      <c r="J596" t="s">
        <v>81</v>
      </c>
      <c r="K596" t="s">
        <v>1289</v>
      </c>
      <c r="L596">
        <v>318.83</v>
      </c>
      <c r="M596">
        <v>699.5</v>
      </c>
      <c r="N596">
        <v>0.08</v>
      </c>
      <c r="O596">
        <v>13</v>
      </c>
    </row>
    <row r="597" spans="1:15">
      <c r="A597" t="s">
        <v>1290</v>
      </c>
      <c r="B597" s="39">
        <v>45473</v>
      </c>
      <c r="C597" s="39">
        <v>45494</v>
      </c>
      <c r="D597" t="s">
        <v>16</v>
      </c>
      <c r="E597" t="s">
        <v>17</v>
      </c>
      <c r="F597" t="s">
        <v>18</v>
      </c>
      <c r="G597" t="s">
        <v>62</v>
      </c>
      <c r="H597" t="s">
        <v>20</v>
      </c>
      <c r="I597" t="s">
        <v>95</v>
      </c>
      <c r="J597" t="s">
        <v>57</v>
      </c>
      <c r="K597" t="s">
        <v>1291</v>
      </c>
      <c r="L597">
        <v>753.43</v>
      </c>
      <c r="M597">
        <v>1787.2</v>
      </c>
      <c r="N597">
        <v>0.073</v>
      </c>
      <c r="O597">
        <v>9</v>
      </c>
    </row>
    <row r="598" spans="1:15">
      <c r="A598" t="s">
        <v>1292</v>
      </c>
      <c r="B598" s="39">
        <v>45705</v>
      </c>
      <c r="C598" s="39">
        <v>45703</v>
      </c>
      <c r="D598" t="s">
        <v>52</v>
      </c>
      <c r="E598" t="s">
        <v>53</v>
      </c>
      <c r="F598" t="s">
        <v>54</v>
      </c>
      <c r="G598" t="s">
        <v>62</v>
      </c>
      <c r="H598" t="s">
        <v>20</v>
      </c>
      <c r="I598" t="s">
        <v>145</v>
      </c>
      <c r="J598" t="s">
        <v>22</v>
      </c>
      <c r="K598" t="s">
        <v>1293</v>
      </c>
      <c r="L598">
        <v>1133.47</v>
      </c>
      <c r="M598">
        <v>1698.75</v>
      </c>
      <c r="N598">
        <v>0.043</v>
      </c>
      <c r="O598">
        <v>5</v>
      </c>
    </row>
    <row r="599" spans="1:15">
      <c r="A599" t="s">
        <v>1294</v>
      </c>
      <c r="B599" s="39">
        <v>44933</v>
      </c>
      <c r="C599" s="39">
        <v>44956</v>
      </c>
      <c r="D599" t="s">
        <v>16</v>
      </c>
      <c r="E599" t="s">
        <v>148</v>
      </c>
      <c r="F599" t="s">
        <v>258</v>
      </c>
      <c r="G599" t="s">
        <v>48</v>
      </c>
      <c r="H599" t="s">
        <v>28</v>
      </c>
      <c r="I599" t="s">
        <v>75</v>
      </c>
      <c r="J599" t="s">
        <v>30</v>
      </c>
      <c r="K599" t="s">
        <v>1295</v>
      </c>
      <c r="L599">
        <v>299.02</v>
      </c>
      <c r="M599">
        <v>724.7</v>
      </c>
      <c r="N599">
        <v>0.14</v>
      </c>
      <c r="O599">
        <v>5</v>
      </c>
    </row>
    <row r="600" spans="1:15">
      <c r="A600" t="s">
        <v>1296</v>
      </c>
      <c r="B600" s="39">
        <v>45726</v>
      </c>
      <c r="C600" s="39">
        <v>45751</v>
      </c>
      <c r="D600" t="s">
        <v>45</v>
      </c>
      <c r="E600" t="s">
        <v>46</v>
      </c>
      <c r="F600" t="s">
        <v>47</v>
      </c>
      <c r="G600" t="s">
        <v>19</v>
      </c>
      <c r="H600" t="s">
        <v>98</v>
      </c>
      <c r="I600" t="s">
        <v>92</v>
      </c>
      <c r="J600" t="s">
        <v>30</v>
      </c>
      <c r="K600" t="s">
        <v>1297</v>
      </c>
      <c r="L600">
        <v>783.72</v>
      </c>
      <c r="M600">
        <v>1355.94</v>
      </c>
      <c r="N600">
        <v>0.187</v>
      </c>
      <c r="O600">
        <v>4</v>
      </c>
    </row>
    <row r="601" spans="1:15">
      <c r="A601" t="s">
        <v>1298</v>
      </c>
      <c r="B601" s="39">
        <v>45521</v>
      </c>
      <c r="C601" s="39">
        <v>45519</v>
      </c>
      <c r="D601" t="s">
        <v>52</v>
      </c>
      <c r="E601" t="s">
        <v>73</v>
      </c>
      <c r="F601" t="s">
        <v>225</v>
      </c>
      <c r="G601" t="s">
        <v>48</v>
      </c>
      <c r="H601" t="s">
        <v>98</v>
      </c>
      <c r="I601" t="s">
        <v>110</v>
      </c>
      <c r="J601" t="s">
        <v>64</v>
      </c>
      <c r="K601" t="s">
        <v>1299</v>
      </c>
      <c r="L601">
        <v>165.3</v>
      </c>
      <c r="M601">
        <v>275.07</v>
      </c>
      <c r="N601">
        <v>0.133</v>
      </c>
      <c r="O601">
        <v>25</v>
      </c>
    </row>
    <row r="602" spans="1:15">
      <c r="A602" t="s">
        <v>1300</v>
      </c>
      <c r="B602" s="39">
        <v>45360</v>
      </c>
      <c r="C602" s="39">
        <v>45373</v>
      </c>
      <c r="D602" t="s">
        <v>78</v>
      </c>
      <c r="E602" t="s">
        <v>108</v>
      </c>
      <c r="F602" t="s">
        <v>228</v>
      </c>
      <c r="G602" t="s">
        <v>48</v>
      </c>
      <c r="H602" t="s">
        <v>28</v>
      </c>
      <c r="I602" t="s">
        <v>63</v>
      </c>
      <c r="J602" t="s">
        <v>57</v>
      </c>
      <c r="K602" t="s">
        <v>1301</v>
      </c>
      <c r="L602">
        <v>985.45</v>
      </c>
      <c r="M602">
        <v>1802.44</v>
      </c>
      <c r="N602">
        <v>0.009</v>
      </c>
      <c r="O602">
        <v>19</v>
      </c>
    </row>
    <row r="603" spans="1:15">
      <c r="A603" t="s">
        <v>1302</v>
      </c>
      <c r="B603" s="39">
        <v>45523</v>
      </c>
      <c r="C603" s="39">
        <v>45537</v>
      </c>
      <c r="D603" t="s">
        <v>52</v>
      </c>
      <c r="E603" t="s">
        <v>53</v>
      </c>
      <c r="F603" t="s">
        <v>54</v>
      </c>
      <c r="G603" t="s">
        <v>48</v>
      </c>
      <c r="H603" t="s">
        <v>55</v>
      </c>
      <c r="I603" t="s">
        <v>21</v>
      </c>
      <c r="J603" t="s">
        <v>30</v>
      </c>
      <c r="K603" t="s">
        <v>1303</v>
      </c>
      <c r="L603">
        <v>1337.01</v>
      </c>
      <c r="M603">
        <v>1269.78</v>
      </c>
      <c r="N603">
        <v>0.16</v>
      </c>
      <c r="O603">
        <v>7</v>
      </c>
    </row>
    <row r="604" spans="1:15">
      <c r="A604" t="s">
        <v>1304</v>
      </c>
      <c r="B604" s="39">
        <v>45880</v>
      </c>
      <c r="C604" s="39">
        <v>45897</v>
      </c>
      <c r="D604" t="s">
        <v>78</v>
      </c>
      <c r="E604" t="s">
        <v>90</v>
      </c>
      <c r="F604" t="s">
        <v>217</v>
      </c>
      <c r="G604" t="s">
        <v>27</v>
      </c>
      <c r="H604" t="s">
        <v>28</v>
      </c>
      <c r="I604" t="s">
        <v>84</v>
      </c>
      <c r="J604" t="s">
        <v>35</v>
      </c>
      <c r="K604" t="s">
        <v>1305</v>
      </c>
      <c r="L604">
        <v>416.16</v>
      </c>
      <c r="M604">
        <v>571.9</v>
      </c>
      <c r="N604">
        <v>0.071</v>
      </c>
      <c r="O604">
        <v>2</v>
      </c>
    </row>
    <row r="605" spans="1:15">
      <c r="A605" t="s">
        <v>1306</v>
      </c>
      <c r="B605" s="39">
        <v>45793</v>
      </c>
      <c r="C605" s="39">
        <v>45795</v>
      </c>
      <c r="D605" t="s">
        <v>45</v>
      </c>
      <c r="E605" t="s">
        <v>46</v>
      </c>
      <c r="F605" t="s">
        <v>214</v>
      </c>
      <c r="G605" t="s">
        <v>105</v>
      </c>
      <c r="H605" t="s">
        <v>20</v>
      </c>
      <c r="I605" t="s">
        <v>29</v>
      </c>
      <c r="J605" t="s">
        <v>30</v>
      </c>
      <c r="K605" t="s">
        <v>1307</v>
      </c>
      <c r="L605">
        <v>1144.38</v>
      </c>
      <c r="M605">
        <v>2755.04</v>
      </c>
      <c r="N605">
        <v>0.15</v>
      </c>
      <c r="O605">
        <v>17</v>
      </c>
    </row>
    <row r="606" spans="1:15">
      <c r="A606" t="s">
        <v>1308</v>
      </c>
      <c r="B606" s="39">
        <v>45026</v>
      </c>
      <c r="C606" s="39">
        <v>45041</v>
      </c>
      <c r="D606" t="s">
        <v>78</v>
      </c>
      <c r="E606" t="s">
        <v>108</v>
      </c>
      <c r="F606" t="s">
        <v>152</v>
      </c>
      <c r="G606" t="s">
        <v>62</v>
      </c>
      <c r="H606" t="s">
        <v>20</v>
      </c>
      <c r="I606" t="s">
        <v>145</v>
      </c>
      <c r="J606" t="s">
        <v>30</v>
      </c>
      <c r="K606" t="s">
        <v>1309</v>
      </c>
      <c r="L606">
        <v>405.66</v>
      </c>
      <c r="M606">
        <v>962.51</v>
      </c>
      <c r="N606">
        <v>0.19</v>
      </c>
      <c r="O606">
        <v>7</v>
      </c>
    </row>
    <row r="607" spans="1:15">
      <c r="A607" t="s">
        <v>1310</v>
      </c>
      <c r="B607" s="39">
        <v>45186</v>
      </c>
      <c r="C607" s="39">
        <v>45201</v>
      </c>
      <c r="D607" t="s">
        <v>52</v>
      </c>
      <c r="E607" t="s">
        <v>73</v>
      </c>
      <c r="F607" t="s">
        <v>225</v>
      </c>
      <c r="G607" t="s">
        <v>62</v>
      </c>
      <c r="H607" t="s">
        <v>20</v>
      </c>
      <c r="I607" t="s">
        <v>56</v>
      </c>
      <c r="J607" t="s">
        <v>57</v>
      </c>
      <c r="K607" t="s">
        <v>1311</v>
      </c>
      <c r="L607">
        <v>689.33</v>
      </c>
      <c r="M607">
        <v>668.27</v>
      </c>
      <c r="N607">
        <v>0.186</v>
      </c>
      <c r="O607">
        <v>13</v>
      </c>
    </row>
    <row r="608" spans="1:15">
      <c r="A608" t="s">
        <v>1312</v>
      </c>
      <c r="B608" s="39">
        <v>45038</v>
      </c>
      <c r="C608" s="39">
        <v>45060</v>
      </c>
      <c r="D608" t="s">
        <v>45</v>
      </c>
      <c r="E608" t="s">
        <v>46</v>
      </c>
      <c r="F608" t="s">
        <v>231</v>
      </c>
      <c r="G608" t="s">
        <v>105</v>
      </c>
      <c r="H608" t="s">
        <v>20</v>
      </c>
      <c r="I608" t="s">
        <v>75</v>
      </c>
      <c r="J608" t="s">
        <v>81</v>
      </c>
      <c r="K608" t="s">
        <v>1313</v>
      </c>
      <c r="L608">
        <v>1209.22</v>
      </c>
      <c r="M608">
        <v>1404.33</v>
      </c>
      <c r="N608">
        <v>0.103</v>
      </c>
      <c r="O608">
        <v>11</v>
      </c>
    </row>
    <row r="609" spans="1:15">
      <c r="A609" t="s">
        <v>1314</v>
      </c>
      <c r="B609" s="39">
        <v>45827</v>
      </c>
      <c r="C609" s="39">
        <v>45829</v>
      </c>
      <c r="D609" t="s">
        <v>16</v>
      </c>
      <c r="E609" t="s">
        <v>148</v>
      </c>
      <c r="F609" t="s">
        <v>149</v>
      </c>
      <c r="G609" t="s">
        <v>62</v>
      </c>
      <c r="I609" t="s">
        <v>92</v>
      </c>
      <c r="J609" t="s">
        <v>42</v>
      </c>
      <c r="K609" t="s">
        <v>1315</v>
      </c>
      <c r="L609">
        <v>1466.27</v>
      </c>
      <c r="M609">
        <v>3589.89</v>
      </c>
      <c r="N609">
        <v>0.097</v>
      </c>
      <c r="O609">
        <v>9</v>
      </c>
    </row>
    <row r="610" spans="1:15">
      <c r="A610" t="s">
        <v>1316</v>
      </c>
      <c r="B610" s="39">
        <v>45623</v>
      </c>
      <c r="C610" s="39">
        <v>45650</v>
      </c>
      <c r="D610" t="s">
        <v>16</v>
      </c>
      <c r="E610" t="s">
        <v>17</v>
      </c>
      <c r="F610" t="s">
        <v>113</v>
      </c>
      <c r="G610" t="s">
        <v>19</v>
      </c>
      <c r="H610" t="s">
        <v>55</v>
      </c>
      <c r="I610" t="s">
        <v>56</v>
      </c>
      <c r="J610" t="s">
        <v>30</v>
      </c>
      <c r="K610" t="s">
        <v>1317</v>
      </c>
      <c r="L610">
        <v>143.33</v>
      </c>
      <c r="M610">
        <v>233.51</v>
      </c>
      <c r="N610">
        <v>0.163</v>
      </c>
      <c r="O610">
        <v>14</v>
      </c>
    </row>
    <row r="611" spans="1:15">
      <c r="A611" t="s">
        <v>1318</v>
      </c>
      <c r="B611" s="39">
        <v>45319</v>
      </c>
      <c r="C611" s="39">
        <v>45318</v>
      </c>
      <c r="D611" t="s">
        <v>16</v>
      </c>
      <c r="E611" t="s">
        <v>148</v>
      </c>
      <c r="F611" t="s">
        <v>258</v>
      </c>
      <c r="G611" t="s">
        <v>105</v>
      </c>
      <c r="H611" t="s">
        <v>98</v>
      </c>
      <c r="I611" t="s">
        <v>68</v>
      </c>
      <c r="J611" t="s">
        <v>22</v>
      </c>
      <c r="K611" t="s">
        <v>1319</v>
      </c>
      <c r="L611">
        <v>109.75</v>
      </c>
      <c r="M611">
        <v>124.25</v>
      </c>
      <c r="N611">
        <v>0.12</v>
      </c>
      <c r="O611">
        <v>19</v>
      </c>
    </row>
    <row r="612" spans="1:15">
      <c r="A612" t="s">
        <v>1320</v>
      </c>
      <c r="B612" s="39">
        <v>45032</v>
      </c>
      <c r="C612" s="39">
        <v>45039</v>
      </c>
      <c r="D612" t="s">
        <v>52</v>
      </c>
      <c r="E612" t="s">
        <v>122</v>
      </c>
      <c r="F612" t="s">
        <v>326</v>
      </c>
      <c r="G612" t="s">
        <v>19</v>
      </c>
      <c r="H612" t="s">
        <v>55</v>
      </c>
      <c r="I612" t="s">
        <v>68</v>
      </c>
      <c r="J612" t="s">
        <v>30</v>
      </c>
      <c r="K612" t="s">
        <v>1321</v>
      </c>
      <c r="L612">
        <v>1099.15</v>
      </c>
      <c r="M612">
        <v>1431.37</v>
      </c>
      <c r="N612">
        <v>0.104</v>
      </c>
      <c r="O612">
        <v>8</v>
      </c>
    </row>
    <row r="613" spans="1:15">
      <c r="A613" t="s">
        <v>1322</v>
      </c>
      <c r="B613" s="39">
        <v>45323</v>
      </c>
      <c r="C613" s="39">
        <v>45323</v>
      </c>
      <c r="D613" t="s">
        <v>52</v>
      </c>
      <c r="E613" t="s">
        <v>122</v>
      </c>
      <c r="F613" t="s">
        <v>326</v>
      </c>
      <c r="G613" t="s">
        <v>48</v>
      </c>
      <c r="H613" t="s">
        <v>55</v>
      </c>
      <c r="I613" t="s">
        <v>92</v>
      </c>
      <c r="J613" t="s">
        <v>30</v>
      </c>
      <c r="K613" t="s">
        <v>1323</v>
      </c>
      <c r="L613">
        <v>714.43</v>
      </c>
      <c r="M613">
        <v>1595.52</v>
      </c>
      <c r="N613">
        <v>0.194</v>
      </c>
      <c r="O613">
        <v>14</v>
      </c>
    </row>
    <row r="614" spans="1:15">
      <c r="A614" t="s">
        <v>1324</v>
      </c>
      <c r="B614" s="39">
        <v>45584</v>
      </c>
      <c r="C614" s="39">
        <v>45602</v>
      </c>
      <c r="D614" t="s">
        <v>52</v>
      </c>
      <c r="E614" t="s">
        <v>122</v>
      </c>
      <c r="F614" t="s">
        <v>123</v>
      </c>
      <c r="G614" t="s">
        <v>27</v>
      </c>
      <c r="I614" t="s">
        <v>21</v>
      </c>
      <c r="J614" t="s">
        <v>64</v>
      </c>
      <c r="K614" t="s">
        <v>1325</v>
      </c>
      <c r="L614">
        <v>942.02</v>
      </c>
      <c r="M614">
        <v>1028.46</v>
      </c>
      <c r="N614">
        <v>0</v>
      </c>
      <c r="O614">
        <v>9</v>
      </c>
    </row>
    <row r="615" spans="1:15">
      <c r="A615" t="s">
        <v>1326</v>
      </c>
      <c r="B615" s="39">
        <v>45468</v>
      </c>
      <c r="C615" s="39">
        <v>45473</v>
      </c>
      <c r="D615" t="s">
        <v>16</v>
      </c>
      <c r="E615" t="s">
        <v>17</v>
      </c>
      <c r="F615" t="s">
        <v>18</v>
      </c>
      <c r="G615" t="s">
        <v>27</v>
      </c>
      <c r="H615" t="s">
        <v>98</v>
      </c>
      <c r="I615" t="s">
        <v>110</v>
      </c>
      <c r="J615" t="s">
        <v>35</v>
      </c>
      <c r="K615" t="s">
        <v>1327</v>
      </c>
      <c r="L615">
        <v>1323.55</v>
      </c>
      <c r="M615">
        <v>3230.35</v>
      </c>
      <c r="N615">
        <v>0.022</v>
      </c>
      <c r="O615">
        <v>26</v>
      </c>
    </row>
    <row r="616" spans="1:15">
      <c r="A616" t="s">
        <v>1328</v>
      </c>
      <c r="B616" s="39">
        <v>45137</v>
      </c>
      <c r="C616" s="39">
        <v>45157</v>
      </c>
      <c r="D616" t="s">
        <v>78</v>
      </c>
      <c r="E616" t="s">
        <v>90</v>
      </c>
      <c r="F616" t="s">
        <v>217</v>
      </c>
      <c r="G616" t="s">
        <v>105</v>
      </c>
      <c r="H616" t="s">
        <v>40</v>
      </c>
      <c r="I616" t="s">
        <v>41</v>
      </c>
      <c r="J616" t="s">
        <v>35</v>
      </c>
      <c r="K616" t="s">
        <v>1329</v>
      </c>
      <c r="L616">
        <v>1418.51</v>
      </c>
      <c r="M616">
        <v>2789.61</v>
      </c>
      <c r="N616">
        <v>0.171</v>
      </c>
      <c r="O616">
        <v>8</v>
      </c>
    </row>
    <row r="617" spans="1:15">
      <c r="A617" t="s">
        <v>1330</v>
      </c>
      <c r="B617" s="39">
        <v>45727</v>
      </c>
      <c r="C617" s="39">
        <v>45743</v>
      </c>
      <c r="D617" t="s">
        <v>45</v>
      </c>
      <c r="E617" t="s">
        <v>46</v>
      </c>
      <c r="F617" t="s">
        <v>214</v>
      </c>
      <c r="G617" t="s">
        <v>105</v>
      </c>
      <c r="H617" t="s">
        <v>55</v>
      </c>
      <c r="I617" t="s">
        <v>56</v>
      </c>
      <c r="J617" t="s">
        <v>30</v>
      </c>
      <c r="K617" t="s">
        <v>1331</v>
      </c>
      <c r="L617">
        <v>1317.58</v>
      </c>
      <c r="M617">
        <v>1897.74</v>
      </c>
      <c r="N617">
        <v>0.081</v>
      </c>
      <c r="O617">
        <v>6</v>
      </c>
    </row>
    <row r="618" spans="1:15">
      <c r="A618" t="s">
        <v>1332</v>
      </c>
      <c r="B618" s="39">
        <v>45208</v>
      </c>
      <c r="C618" s="39">
        <v>45210</v>
      </c>
      <c r="D618" t="s">
        <v>16</v>
      </c>
      <c r="E618" t="s">
        <v>25</v>
      </c>
      <c r="F618" t="s">
        <v>26</v>
      </c>
      <c r="G618" t="s">
        <v>27</v>
      </c>
      <c r="H618" t="s">
        <v>40</v>
      </c>
      <c r="I618" t="s">
        <v>95</v>
      </c>
      <c r="J618" t="s">
        <v>35</v>
      </c>
      <c r="K618" t="s">
        <v>1333</v>
      </c>
      <c r="L618">
        <v>391.16</v>
      </c>
      <c r="M618">
        <v>902.47</v>
      </c>
      <c r="N618">
        <v>0.004</v>
      </c>
      <c r="O618">
        <v>12</v>
      </c>
    </row>
    <row r="619" spans="1:15">
      <c r="A619" t="s">
        <v>1334</v>
      </c>
      <c r="B619" s="39">
        <v>45643</v>
      </c>
      <c r="C619" s="39">
        <v>45673</v>
      </c>
      <c r="D619" t="s">
        <v>78</v>
      </c>
      <c r="E619" t="s">
        <v>108</v>
      </c>
      <c r="F619" t="s">
        <v>228</v>
      </c>
      <c r="G619" t="s">
        <v>19</v>
      </c>
      <c r="H619" t="s">
        <v>20</v>
      </c>
      <c r="I619" t="s">
        <v>145</v>
      </c>
      <c r="J619" t="s">
        <v>64</v>
      </c>
      <c r="K619" t="s">
        <v>1335</v>
      </c>
      <c r="L619">
        <v>722.87</v>
      </c>
      <c r="M619">
        <v>-33.66</v>
      </c>
      <c r="N619">
        <v>0.102</v>
      </c>
      <c r="O619">
        <v>28</v>
      </c>
    </row>
    <row r="620" spans="1:15">
      <c r="A620" t="s">
        <v>1336</v>
      </c>
      <c r="B620" s="39">
        <v>45849</v>
      </c>
      <c r="C620" s="39">
        <v>45854</v>
      </c>
      <c r="D620" t="s">
        <v>78</v>
      </c>
      <c r="E620" t="s">
        <v>108</v>
      </c>
      <c r="F620" t="s">
        <v>152</v>
      </c>
      <c r="G620" t="s">
        <v>105</v>
      </c>
      <c r="H620" t="s">
        <v>28</v>
      </c>
      <c r="I620" t="s">
        <v>95</v>
      </c>
      <c r="J620" t="s">
        <v>30</v>
      </c>
      <c r="K620" t="s">
        <v>1337</v>
      </c>
      <c r="L620">
        <v>930.03</v>
      </c>
      <c r="M620">
        <v>1086.68</v>
      </c>
      <c r="N620">
        <v>0.109</v>
      </c>
      <c r="O620">
        <v>26</v>
      </c>
    </row>
    <row r="621" spans="1:15">
      <c r="A621" t="s">
        <v>1338</v>
      </c>
      <c r="B621" s="39">
        <v>45578</v>
      </c>
      <c r="C621" s="39">
        <v>45589</v>
      </c>
      <c r="D621" t="s">
        <v>78</v>
      </c>
      <c r="E621" t="s">
        <v>90</v>
      </c>
      <c r="F621" t="s">
        <v>217</v>
      </c>
      <c r="G621" t="s">
        <v>27</v>
      </c>
      <c r="H621" t="s">
        <v>55</v>
      </c>
      <c r="I621" t="s">
        <v>84</v>
      </c>
      <c r="J621" t="s">
        <v>22</v>
      </c>
      <c r="K621" t="s">
        <v>1339</v>
      </c>
      <c r="L621">
        <v>816.7</v>
      </c>
      <c r="M621">
        <v>1010.75</v>
      </c>
      <c r="N621">
        <v>0.047</v>
      </c>
      <c r="O621">
        <v>43</v>
      </c>
    </row>
    <row r="622" spans="1:15">
      <c r="A622" t="s">
        <v>1340</v>
      </c>
      <c r="B622" s="39">
        <v>45177</v>
      </c>
      <c r="C622" s="39">
        <v>45183</v>
      </c>
      <c r="D622" t="s">
        <v>16</v>
      </c>
      <c r="E622" t="s">
        <v>17</v>
      </c>
      <c r="F622" t="s">
        <v>135</v>
      </c>
      <c r="G622" t="s">
        <v>27</v>
      </c>
      <c r="H622" t="s">
        <v>98</v>
      </c>
      <c r="I622" t="s">
        <v>34</v>
      </c>
      <c r="J622" t="s">
        <v>81</v>
      </c>
      <c r="K622" t="s">
        <v>1341</v>
      </c>
      <c r="L622">
        <v>251.03</v>
      </c>
      <c r="M622">
        <v>411.48</v>
      </c>
      <c r="N622">
        <v>0.165</v>
      </c>
      <c r="O622">
        <v>3</v>
      </c>
    </row>
    <row r="623" spans="1:15">
      <c r="A623" t="s">
        <v>1342</v>
      </c>
      <c r="B623" s="39">
        <v>45764</v>
      </c>
      <c r="C623" s="39">
        <v>45780</v>
      </c>
      <c r="D623" t="s">
        <v>52</v>
      </c>
      <c r="E623" t="s">
        <v>73</v>
      </c>
      <c r="F623" t="s">
        <v>225</v>
      </c>
      <c r="G623" t="s">
        <v>48</v>
      </c>
      <c r="H623" t="s">
        <v>40</v>
      </c>
      <c r="I623" t="s">
        <v>29</v>
      </c>
      <c r="J623" t="s">
        <v>35</v>
      </c>
      <c r="K623" t="s">
        <v>1343</v>
      </c>
      <c r="L623">
        <v>168.68</v>
      </c>
      <c r="M623">
        <v>413.34</v>
      </c>
      <c r="N623">
        <v>0.186</v>
      </c>
      <c r="O623">
        <v>7</v>
      </c>
    </row>
    <row r="624" spans="1:15">
      <c r="A624" t="s">
        <v>1344</v>
      </c>
      <c r="B624" s="39">
        <v>45501</v>
      </c>
      <c r="C624" s="39">
        <v>45527</v>
      </c>
      <c r="D624" t="s">
        <v>45</v>
      </c>
      <c r="E624" t="s">
        <v>60</v>
      </c>
      <c r="F624" t="s">
        <v>281</v>
      </c>
      <c r="G624" t="s">
        <v>19</v>
      </c>
      <c r="H624" t="s">
        <v>20</v>
      </c>
      <c r="I624" t="s">
        <v>29</v>
      </c>
      <c r="J624" t="s">
        <v>35</v>
      </c>
      <c r="K624" t="s">
        <v>1345</v>
      </c>
      <c r="L624">
        <v>1339.24</v>
      </c>
      <c r="M624">
        <v>1558.89</v>
      </c>
      <c r="N624">
        <v>0.192</v>
      </c>
      <c r="O624">
        <v>24</v>
      </c>
    </row>
    <row r="625" spans="1:15">
      <c r="A625" t="s">
        <v>1346</v>
      </c>
      <c r="B625" s="39">
        <v>45857</v>
      </c>
      <c r="C625" s="39">
        <v>45869</v>
      </c>
      <c r="D625" t="s">
        <v>16</v>
      </c>
      <c r="E625" t="s">
        <v>17</v>
      </c>
      <c r="F625" t="s">
        <v>33</v>
      </c>
      <c r="G625" t="s">
        <v>62</v>
      </c>
      <c r="H625" t="s">
        <v>40</v>
      </c>
      <c r="I625" t="s">
        <v>68</v>
      </c>
      <c r="J625" t="s">
        <v>81</v>
      </c>
      <c r="K625" t="s">
        <v>1347</v>
      </c>
      <c r="L625">
        <v>619.64</v>
      </c>
      <c r="M625">
        <v>861.16</v>
      </c>
      <c r="N625">
        <v>0.113</v>
      </c>
      <c r="O625">
        <v>14</v>
      </c>
    </row>
    <row r="626" spans="1:15">
      <c r="A626" t="s">
        <v>1348</v>
      </c>
      <c r="B626" s="39">
        <v>45141</v>
      </c>
      <c r="C626" s="39">
        <v>45140</v>
      </c>
      <c r="D626" t="s">
        <v>45</v>
      </c>
      <c r="E626" t="s">
        <v>116</v>
      </c>
      <c r="F626" t="s">
        <v>162</v>
      </c>
      <c r="G626" t="s">
        <v>39</v>
      </c>
      <c r="H626" t="s">
        <v>98</v>
      </c>
      <c r="I626" t="s">
        <v>29</v>
      </c>
      <c r="J626" t="s">
        <v>35</v>
      </c>
      <c r="K626" t="s">
        <v>1349</v>
      </c>
      <c r="L626">
        <v>1021.97</v>
      </c>
      <c r="M626">
        <v>2296.25</v>
      </c>
      <c r="N626">
        <v>0.161</v>
      </c>
      <c r="O626">
        <v>26</v>
      </c>
    </row>
    <row r="627" spans="1:15">
      <c r="A627" t="s">
        <v>1350</v>
      </c>
      <c r="B627" s="39">
        <v>45249</v>
      </c>
      <c r="C627" s="39">
        <v>45272</v>
      </c>
      <c r="D627" t="s">
        <v>45</v>
      </c>
      <c r="E627" t="s">
        <v>60</v>
      </c>
      <c r="F627" t="s">
        <v>141</v>
      </c>
      <c r="G627" t="s">
        <v>62</v>
      </c>
      <c r="H627" t="s">
        <v>98</v>
      </c>
      <c r="I627" t="s">
        <v>21</v>
      </c>
      <c r="J627" t="s">
        <v>35</v>
      </c>
      <c r="K627" t="s">
        <v>1351</v>
      </c>
      <c r="L627">
        <v>1349.04</v>
      </c>
      <c r="M627">
        <v>2636.6</v>
      </c>
      <c r="N627">
        <v>0.114</v>
      </c>
      <c r="O627">
        <v>14</v>
      </c>
    </row>
    <row r="628" spans="1:15">
      <c r="A628" t="s">
        <v>1352</v>
      </c>
      <c r="B628" s="39">
        <v>45282</v>
      </c>
      <c r="C628" s="39">
        <v>45307</v>
      </c>
      <c r="D628" t="s">
        <v>45</v>
      </c>
      <c r="E628" t="s">
        <v>60</v>
      </c>
      <c r="F628" t="s">
        <v>281</v>
      </c>
      <c r="G628" t="s">
        <v>62</v>
      </c>
      <c r="H628" t="s">
        <v>20</v>
      </c>
      <c r="I628" t="s">
        <v>75</v>
      </c>
      <c r="J628" t="s">
        <v>22</v>
      </c>
      <c r="K628" t="s">
        <v>1353</v>
      </c>
      <c r="L628">
        <v>1346.81</v>
      </c>
      <c r="M628">
        <v>978.09</v>
      </c>
      <c r="N628">
        <v>0.159</v>
      </c>
      <c r="O628">
        <v>17</v>
      </c>
    </row>
    <row r="629" spans="1:15">
      <c r="A629" t="s">
        <v>1354</v>
      </c>
      <c r="B629" s="39">
        <v>45141</v>
      </c>
      <c r="C629" s="39">
        <v>45168</v>
      </c>
      <c r="D629" t="s">
        <v>45</v>
      </c>
      <c r="E629" t="s">
        <v>116</v>
      </c>
      <c r="F629" t="s">
        <v>162</v>
      </c>
      <c r="G629" t="s">
        <v>48</v>
      </c>
      <c r="H629" t="s">
        <v>55</v>
      </c>
      <c r="I629" t="s">
        <v>126</v>
      </c>
      <c r="J629" t="s">
        <v>64</v>
      </c>
      <c r="K629" t="s">
        <v>1355</v>
      </c>
      <c r="L629">
        <v>226.04</v>
      </c>
      <c r="M629">
        <v>545.72</v>
      </c>
      <c r="N629">
        <v>0.151</v>
      </c>
      <c r="O629">
        <v>11</v>
      </c>
    </row>
    <row r="630" spans="1:15">
      <c r="A630" t="s">
        <v>1356</v>
      </c>
      <c r="B630" s="39">
        <v>45100</v>
      </c>
      <c r="C630" s="39">
        <v>45125</v>
      </c>
      <c r="D630" t="s">
        <v>52</v>
      </c>
      <c r="E630" t="s">
        <v>53</v>
      </c>
      <c r="F630" t="s">
        <v>179</v>
      </c>
      <c r="G630" t="s">
        <v>105</v>
      </c>
      <c r="H630" t="s">
        <v>28</v>
      </c>
      <c r="I630" t="s">
        <v>126</v>
      </c>
      <c r="J630" t="s">
        <v>42</v>
      </c>
      <c r="K630" t="s">
        <v>1357</v>
      </c>
      <c r="L630">
        <v>807.02</v>
      </c>
      <c r="M630">
        <v>1435.54</v>
      </c>
      <c r="N630">
        <v>0</v>
      </c>
      <c r="O630">
        <v>23</v>
      </c>
    </row>
    <row r="631" spans="1:15">
      <c r="A631" t="s">
        <v>1358</v>
      </c>
      <c r="B631" s="39">
        <v>45267</v>
      </c>
      <c r="C631" s="39">
        <v>45293</v>
      </c>
      <c r="D631" t="s">
        <v>78</v>
      </c>
      <c r="E631" t="s">
        <v>79</v>
      </c>
      <c r="F631" t="s">
        <v>335</v>
      </c>
      <c r="G631" t="s">
        <v>105</v>
      </c>
      <c r="H631" t="s">
        <v>55</v>
      </c>
      <c r="I631" t="s">
        <v>63</v>
      </c>
      <c r="J631" t="s">
        <v>22</v>
      </c>
      <c r="K631" t="s">
        <v>1359</v>
      </c>
      <c r="L631">
        <v>1071.99</v>
      </c>
      <c r="M631">
        <v>2397.3</v>
      </c>
      <c r="N631">
        <v>0.062</v>
      </c>
      <c r="O631">
        <v>18</v>
      </c>
    </row>
    <row r="632" spans="1:15">
      <c r="A632" t="s">
        <v>1360</v>
      </c>
      <c r="B632" s="39">
        <v>45249</v>
      </c>
      <c r="C632" s="39">
        <v>45279</v>
      </c>
      <c r="D632" t="s">
        <v>45</v>
      </c>
      <c r="E632" t="s">
        <v>46</v>
      </c>
      <c r="F632" t="s">
        <v>231</v>
      </c>
      <c r="G632" t="s">
        <v>48</v>
      </c>
      <c r="H632" t="s">
        <v>20</v>
      </c>
      <c r="J632" t="s">
        <v>42</v>
      </c>
      <c r="K632" t="s">
        <v>1361</v>
      </c>
      <c r="L632">
        <v>807.11</v>
      </c>
      <c r="M632">
        <v>1853.86</v>
      </c>
      <c r="N632">
        <v>0.139</v>
      </c>
      <c r="O632">
        <v>8</v>
      </c>
    </row>
    <row r="633" spans="1:15">
      <c r="A633" t="s">
        <v>1362</v>
      </c>
      <c r="B633" s="39">
        <v>45716</v>
      </c>
      <c r="C633" s="39">
        <v>45726</v>
      </c>
      <c r="D633" t="s">
        <v>45</v>
      </c>
      <c r="E633" t="s">
        <v>46</v>
      </c>
      <c r="F633" t="s">
        <v>47</v>
      </c>
      <c r="G633" t="s">
        <v>27</v>
      </c>
      <c r="H633" t="s">
        <v>55</v>
      </c>
      <c r="I633" t="s">
        <v>126</v>
      </c>
      <c r="J633" t="s">
        <v>57</v>
      </c>
      <c r="K633" t="s">
        <v>1363</v>
      </c>
      <c r="L633">
        <v>51.86</v>
      </c>
      <c r="M633">
        <v>45.98</v>
      </c>
      <c r="N633">
        <v>0.173</v>
      </c>
      <c r="O633">
        <v>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67"/>
  <sheetViews>
    <sheetView topLeftCell="A48" workbookViewId="0">
      <selection activeCell="I19" sqref="I19"/>
    </sheetView>
  </sheetViews>
  <sheetFormatPr defaultColWidth="9" defaultRowHeight="14.5"/>
  <sheetData>
    <row r="1" spans="1:1">
      <c r="A1" s="25" t="s">
        <v>1364</v>
      </c>
    </row>
    <row r="2" spans="1:1">
      <c r="A2" t="s">
        <v>1365</v>
      </c>
    </row>
    <row r="4" spans="1:1">
      <c r="A4" t="s">
        <v>1366</v>
      </c>
    </row>
    <row r="5" spans="1:1">
      <c r="A5" t="s">
        <v>1367</v>
      </c>
    </row>
    <row r="6" spans="1:1">
      <c r="A6" t="s">
        <v>1368</v>
      </c>
    </row>
    <row r="8" spans="1:1">
      <c r="A8" t="s">
        <v>1369</v>
      </c>
    </row>
    <row r="9" spans="1:1">
      <c r="A9" t="s">
        <v>1370</v>
      </c>
    </row>
    <row r="10" spans="1:1">
      <c r="A10" t="s">
        <v>1371</v>
      </c>
    </row>
    <row r="11" spans="1:1">
      <c r="A11" t="s">
        <v>1372</v>
      </c>
    </row>
    <row r="12" spans="1:1">
      <c r="A12" t="s">
        <v>1373</v>
      </c>
    </row>
    <row r="13" spans="1:1">
      <c r="A13" t="s">
        <v>1374</v>
      </c>
    </row>
    <row r="14" spans="1:1">
      <c r="A14" t="s">
        <v>1375</v>
      </c>
    </row>
    <row r="15" spans="1:1">
      <c r="A15" t="s">
        <v>1376</v>
      </c>
    </row>
    <row r="17" spans="1:1">
      <c r="A17" t="s">
        <v>1377</v>
      </c>
    </row>
    <row r="18" spans="1:1">
      <c r="A18" t="s">
        <v>1378</v>
      </c>
    </row>
    <row r="19" spans="1:9">
      <c r="A19" t="s">
        <v>1379</v>
      </c>
      <c r="I19" t="s">
        <v>1380</v>
      </c>
    </row>
    <row r="20" spans="1:1">
      <c r="A20" t="s">
        <v>1381</v>
      </c>
    </row>
    <row r="21" spans="1:1">
      <c r="A21" t="s">
        <v>1382</v>
      </c>
    </row>
    <row r="23" spans="1:1">
      <c r="A23" t="s">
        <v>1383</v>
      </c>
    </row>
    <row r="24" spans="1:1">
      <c r="A24" t="s">
        <v>1384</v>
      </c>
    </row>
    <row r="25" spans="1:1">
      <c r="A25" t="s">
        <v>1385</v>
      </c>
    </row>
    <row r="26" spans="1:1">
      <c r="A26" t="s">
        <v>1386</v>
      </c>
    </row>
    <row r="27" spans="1:1">
      <c r="A27" t="s">
        <v>1387</v>
      </c>
    </row>
    <row r="29" spans="1:1">
      <c r="A29" t="s">
        <v>1388</v>
      </c>
    </row>
    <row r="30" spans="1:1">
      <c r="A30" t="s">
        <v>1389</v>
      </c>
    </row>
    <row r="31" spans="1:1">
      <c r="A31" t="s">
        <v>1390</v>
      </c>
    </row>
    <row r="32" spans="1:1">
      <c r="A32" t="s">
        <v>1391</v>
      </c>
    </row>
    <row r="33" spans="1:1">
      <c r="A33" t="s">
        <v>1392</v>
      </c>
    </row>
    <row r="34" spans="1:1">
      <c r="A34" t="s">
        <v>1393</v>
      </c>
    </row>
    <row r="35" spans="1:1">
      <c r="A35" t="s">
        <v>1394</v>
      </c>
    </row>
    <row r="36" spans="1:1">
      <c r="A36" t="s">
        <v>1395</v>
      </c>
    </row>
    <row r="37" spans="1:1">
      <c r="A37" t="s">
        <v>1396</v>
      </c>
    </row>
    <row r="38" spans="1:1">
      <c r="A38" t="s">
        <v>1397</v>
      </c>
    </row>
    <row r="39" spans="1:1">
      <c r="A39" t="s">
        <v>1398</v>
      </c>
    </row>
    <row r="40" spans="1:1">
      <c r="A40" t="s">
        <v>1399</v>
      </c>
    </row>
    <row r="41" spans="1:1">
      <c r="A41" t="s">
        <v>1400</v>
      </c>
    </row>
    <row r="43" spans="1:1">
      <c r="A43" t="s">
        <v>1401</v>
      </c>
    </row>
    <row r="44" spans="1:1">
      <c r="A44" t="s">
        <v>1402</v>
      </c>
    </row>
    <row r="45" spans="1:1">
      <c r="A45" t="s">
        <v>1403</v>
      </c>
    </row>
    <row r="46" spans="1:1">
      <c r="A46" t="s">
        <v>1404</v>
      </c>
    </row>
    <row r="47" spans="1:1">
      <c r="A47" t="s">
        <v>1405</v>
      </c>
    </row>
    <row r="48" spans="1:1">
      <c r="A48" t="s">
        <v>1406</v>
      </c>
    </row>
    <row r="50" spans="1:1">
      <c r="A50" t="s">
        <v>1407</v>
      </c>
    </row>
    <row r="51" spans="1:1">
      <c r="A51" t="s">
        <v>1408</v>
      </c>
    </row>
    <row r="52" spans="1:1">
      <c r="A52" t="s">
        <v>1409</v>
      </c>
    </row>
    <row r="53" spans="1:1">
      <c r="A53" t="s">
        <v>1410</v>
      </c>
    </row>
    <row r="54" spans="1:1">
      <c r="A54" t="s">
        <v>1411</v>
      </c>
    </row>
    <row r="55" spans="1:1">
      <c r="A55" t="s">
        <v>1412</v>
      </c>
    </row>
    <row r="56" spans="1:1">
      <c r="A56" t="s">
        <v>1413</v>
      </c>
    </row>
    <row r="57" spans="1:1">
      <c r="A57" t="s">
        <v>1414</v>
      </c>
    </row>
    <row r="58" spans="1:1">
      <c r="A58" t="s">
        <v>1415</v>
      </c>
    </row>
    <row r="59" spans="1:1">
      <c r="A59" t="s">
        <v>1416</v>
      </c>
    </row>
    <row r="61" spans="1:1">
      <c r="A61" t="s">
        <v>1417</v>
      </c>
    </row>
    <row r="62" spans="1:1">
      <c r="A62" t="s">
        <v>1418</v>
      </c>
    </row>
    <row r="64" spans="1:1">
      <c r="A64" t="s">
        <v>1419</v>
      </c>
    </row>
    <row r="65" spans="1:1">
      <c r="A65" t="s">
        <v>1420</v>
      </c>
    </row>
    <row r="66" spans="1:1">
      <c r="A66" t="s">
        <v>1421</v>
      </c>
    </row>
    <row r="67" spans="1:1">
      <c r="A67" t="s">
        <v>1422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638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4.5"/>
  <cols>
    <col min="1" max="1" width="17.4272727272727" customWidth="1"/>
    <col min="2" max="2" width="11" style="20" customWidth="1"/>
    <col min="3" max="3" width="21.4272727272727" style="2" customWidth="1"/>
    <col min="4" max="4" width="7.28181818181818" style="21" customWidth="1"/>
    <col min="5" max="6" width="13.5727272727273" style="19" customWidth="1"/>
    <col min="7" max="7" width="23.8545454545455" style="19" customWidth="1"/>
    <col min="8" max="8" width="14.5727272727273" style="22" customWidth="1"/>
    <col min="9" max="10" width="9.13636363636364" customWidth="1"/>
    <col min="11" max="11" width="15.4272727272727" customWidth="1"/>
    <col min="12" max="12" width="13.5727272727273" customWidth="1"/>
    <col min="13" max="13" width="17.8545454545455" customWidth="1"/>
    <col min="14" max="14" width="12.1363636363636" customWidth="1"/>
    <col min="15" max="15" width="11.8545454545455" customWidth="1"/>
    <col min="16" max="16" width="16.4272727272727" customWidth="1"/>
    <col min="17" max="17" width="10.5727272727273" customWidth="1"/>
    <col min="18" max="18" width="11" style="3" customWidth="1"/>
    <col min="19" max="19" width="9.13636363636364" customWidth="1"/>
    <col min="20" max="22" width="19.4272727272727" customWidth="1"/>
    <col min="23" max="23" width="11.8545454545455" style="23" customWidth="1"/>
    <col min="24" max="25" width="17.2818181818182" style="24" customWidth="1"/>
    <col min="26" max="26" width="8.85454545454546" style="24" customWidth="1"/>
    <col min="27" max="27" width="14.5727272727273" style="24" customWidth="1"/>
    <col min="28" max="28" width="15.4272727272727" customWidth="1"/>
    <col min="29" max="29" width="16.8545454545455" customWidth="1"/>
    <col min="30" max="30" width="11.5727272727273"/>
    <col min="31" max="32" width="14.5727272727273"/>
    <col min="33" max="33" width="14"/>
    <col min="34" max="34" width="12.8545454545455"/>
    <col min="35" max="35" width="10.5727272727273"/>
  </cols>
  <sheetData>
    <row r="1" s="14" customFormat="1" spans="1:33">
      <c r="A1" s="25" t="s">
        <v>0</v>
      </c>
      <c r="B1" s="26" t="s">
        <v>1</v>
      </c>
      <c r="C1" s="27" t="s">
        <v>1423</v>
      </c>
      <c r="D1" s="28" t="s">
        <v>1424</v>
      </c>
      <c r="E1" s="29" t="s">
        <v>1425</v>
      </c>
      <c r="F1" s="29" t="s">
        <v>2</v>
      </c>
      <c r="G1" s="29" t="s">
        <v>1426</v>
      </c>
      <c r="H1" s="30" t="s">
        <v>1427</v>
      </c>
      <c r="I1" s="25" t="s">
        <v>1428</v>
      </c>
      <c r="J1" s="25" t="s">
        <v>3</v>
      </c>
      <c r="K1" s="25" t="s">
        <v>4</v>
      </c>
      <c r="L1" s="25" t="s">
        <v>5</v>
      </c>
      <c r="M1" s="25" t="s">
        <v>6</v>
      </c>
      <c r="N1" s="25" t="s">
        <v>7</v>
      </c>
      <c r="O1" s="25" t="s">
        <v>8</v>
      </c>
      <c r="P1" s="25" t="s">
        <v>9</v>
      </c>
      <c r="Q1" s="25" t="s">
        <v>10</v>
      </c>
      <c r="R1" s="31" t="s">
        <v>11</v>
      </c>
      <c r="S1" s="25" t="s">
        <v>12</v>
      </c>
      <c r="T1" s="25" t="s">
        <v>1429</v>
      </c>
      <c r="U1" s="25" t="s">
        <v>1430</v>
      </c>
      <c r="V1" s="25" t="s">
        <v>1431</v>
      </c>
      <c r="W1" s="32" t="s">
        <v>13</v>
      </c>
      <c r="X1" s="33" t="s">
        <v>1432</v>
      </c>
      <c r="Y1" s="33" t="s">
        <v>1433</v>
      </c>
      <c r="Z1" s="33" t="s">
        <v>14</v>
      </c>
      <c r="AA1" s="35" t="s">
        <v>1434</v>
      </c>
      <c r="AB1" s="14" t="s">
        <v>1435</v>
      </c>
      <c r="AC1" s="14" t="s">
        <v>1436</v>
      </c>
      <c r="AD1" s="14" t="s">
        <v>1437</v>
      </c>
      <c r="AE1" s="14" t="s">
        <v>1438</v>
      </c>
      <c r="AF1" s="14" t="s">
        <v>1439</v>
      </c>
      <c r="AG1" s="14" t="s">
        <v>1440</v>
      </c>
    </row>
    <row r="2" spans="1:33">
      <c r="A2" t="s">
        <v>15</v>
      </c>
      <c r="B2" s="20">
        <v>45362</v>
      </c>
      <c r="C2" s="2">
        <f t="shared" ref="C2:C65" si="0">MONTH(B2)</f>
        <v>3</v>
      </c>
      <c r="D2" s="21">
        <f>B2</f>
        <v>45362</v>
      </c>
      <c r="E2" s="19" t="str">
        <f t="shared" ref="E2:E65" si="1">IF(AND(MONTH(B2)&gt;=1,MONTH(B2)&lt;=3),"Quarter 1",IF(AND(MONTH(B2)&gt;=4,MONTH(B2)&lt;=6),"Quarter 2",IF(AND(MONTH(B2)&gt;=7,MONTH(B2)&lt;=9),"Quarter 3",IF(AND(MONTH(B2)&gt;=10,MONTH(B2)&lt;=12),"Quarter 4"))))</f>
        <v>Quarter 1</v>
      </c>
      <c r="F2" s="19">
        <v>45388</v>
      </c>
      <c r="G2" s="19">
        <f t="shared" ref="G2:G65" si="2">IF(B2&gt;F2,B2+7,F2)</f>
        <v>45388</v>
      </c>
      <c r="H2" s="22">
        <f t="shared" ref="H2:H65" si="3">G2-B2</f>
        <v>26</v>
      </c>
      <c r="I2" t="str">
        <f t="shared" ref="I2:I65" si="4">IF(H2&lt;=7,"Ontime","Delayed ")</f>
        <v>Delayed </v>
      </c>
      <c r="J2" t="s">
        <v>16</v>
      </c>
      <c r="K2" t="s">
        <v>17</v>
      </c>
      <c r="L2" t="s">
        <v>18</v>
      </c>
      <c r="M2" t="s">
        <v>19</v>
      </c>
      <c r="N2" t="s">
        <v>20</v>
      </c>
      <c r="O2" t="s">
        <v>21</v>
      </c>
      <c r="P2" t="s">
        <v>22</v>
      </c>
      <c r="Q2" t="s">
        <v>23</v>
      </c>
      <c r="R2" s="3">
        <v>279.24</v>
      </c>
      <c r="S2" s="3">
        <v>608.9</v>
      </c>
      <c r="T2" s="3">
        <f t="shared" ref="T2:T65" si="5">IF(S2&lt;=0,R2,S2)</f>
        <v>608.9</v>
      </c>
      <c r="U2" s="3">
        <f>(1+'10. Whatif Control pannel'!$B$6)*T2</f>
        <v>681.968</v>
      </c>
      <c r="V2" s="3" t="str">
        <f t="shared" ref="V2:V65" si="6">IF(T2&lt;=_xlfn.PERCENTILE.INC(T2:T633,33%),"Low",IF(T2&lt;=_xlfn.PERCENTILE.INC(T2:T633,67%),"Medium","High"))</f>
        <v>Low</v>
      </c>
      <c r="W2" s="34">
        <v>0.112</v>
      </c>
      <c r="X2" s="24" t="str">
        <f t="shared" ref="X2:X65" si="7">IF(W2&gt;0.2,"High Discount","Okay")</f>
        <v>Okay</v>
      </c>
      <c r="Y2" s="36">
        <f>IF(W2&lt;=0.25,W2,'10. Whatif Control pannel'!$B$2)</f>
        <v>0.112</v>
      </c>
      <c r="Z2" s="24">
        <v>9</v>
      </c>
      <c r="AA2" s="13">
        <f>(1+'10. Whatif Control pannel'!$B$10)*Z2</f>
        <v>10.8</v>
      </c>
      <c r="AB2" s="3">
        <f t="shared" ref="AB2:AB65" si="8">T2*Z2*(1-W2)</f>
        <v>4866.3288</v>
      </c>
      <c r="AC2" s="3">
        <f>U2*AA2*(1-Y2)</f>
        <v>6540.3459072</v>
      </c>
      <c r="AD2" s="3">
        <f t="shared" ref="AD2:AD65" si="9">R2*Z2</f>
        <v>2513.16</v>
      </c>
      <c r="AE2" s="3">
        <f t="shared" ref="AE2:AE65" si="10">AB2-AD2</f>
        <v>2353.1688</v>
      </c>
      <c r="AF2" s="3">
        <f>AC2-AD2</f>
        <v>4027.1859072</v>
      </c>
      <c r="AG2">
        <f t="shared" ref="AG2:AG65" si="11">IF(AB2=0,0,AE2/AB2)</f>
        <v>0.483561406701495</v>
      </c>
    </row>
    <row r="3" spans="1:33">
      <c r="A3" t="s">
        <v>24</v>
      </c>
      <c r="B3" s="20">
        <v>45588</v>
      </c>
      <c r="C3" s="2">
        <f t="shared" si="0"/>
        <v>10</v>
      </c>
      <c r="D3" s="21">
        <f t="shared" ref="D3:D66" si="12">B3</f>
        <v>45588</v>
      </c>
      <c r="E3" s="19" t="str">
        <f t="shared" si="1"/>
        <v>Quarter 4</v>
      </c>
      <c r="F3" s="19">
        <v>45587</v>
      </c>
      <c r="G3" s="19">
        <f t="shared" si="2"/>
        <v>45595</v>
      </c>
      <c r="H3" s="22">
        <f t="shared" si="3"/>
        <v>7</v>
      </c>
      <c r="I3" t="str">
        <f t="shared" si="4"/>
        <v>Ontime</v>
      </c>
      <c r="J3" t="s">
        <v>16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s="3">
        <v>1084.39</v>
      </c>
      <c r="S3" s="3">
        <v>759.33</v>
      </c>
      <c r="T3" s="3">
        <f t="shared" si="5"/>
        <v>759.33</v>
      </c>
      <c r="U3" s="3">
        <f>(1+'10. Whatif Control pannel'!$B$6)*T3</f>
        <v>850.4496</v>
      </c>
      <c r="V3" s="3" t="str">
        <f t="shared" si="6"/>
        <v>Low</v>
      </c>
      <c r="W3" s="34">
        <v>0.237</v>
      </c>
      <c r="X3" s="24" t="str">
        <f t="shared" si="7"/>
        <v>High Discount</v>
      </c>
      <c r="Y3" s="36">
        <f>IF(W3&lt;=0.25,W3,'10. Whatif Control pannel'!$B$2)</f>
        <v>0.237</v>
      </c>
      <c r="Z3" s="24">
        <v>31</v>
      </c>
      <c r="AA3" s="13">
        <f>(1+'10. Whatif Control pannel'!$B$10)*Z3</f>
        <v>37.2</v>
      </c>
      <c r="AB3" s="3">
        <f t="shared" si="8"/>
        <v>17960.43249</v>
      </c>
      <c r="AC3" s="3">
        <f t="shared" ref="AC3:AC66" si="13">U3*AA3*(1-Y3)</f>
        <v>24138.82126656</v>
      </c>
      <c r="AD3" s="3">
        <f t="shared" si="9"/>
        <v>33616.09</v>
      </c>
      <c r="AE3" s="3">
        <f t="shared" si="10"/>
        <v>-15655.65751</v>
      </c>
      <c r="AF3" s="3">
        <f t="shared" ref="AF3:AF66" si="14">AC3-AD3</f>
        <v>-9477.26873344</v>
      </c>
      <c r="AG3">
        <f t="shared" si="11"/>
        <v>-0.871674861878563</v>
      </c>
    </row>
    <row r="4" spans="1:34">
      <c r="A4" t="s">
        <v>32</v>
      </c>
      <c r="B4" s="20">
        <v>44985</v>
      </c>
      <c r="C4" s="2">
        <f t="shared" si="0"/>
        <v>2</v>
      </c>
      <c r="D4" s="21">
        <f t="shared" si="12"/>
        <v>44985</v>
      </c>
      <c r="E4" s="19" t="str">
        <f t="shared" si="1"/>
        <v>Quarter 1</v>
      </c>
      <c r="F4" s="19">
        <v>45010</v>
      </c>
      <c r="G4" s="19">
        <f t="shared" si="2"/>
        <v>45010</v>
      </c>
      <c r="H4" s="22">
        <f t="shared" si="3"/>
        <v>25</v>
      </c>
      <c r="I4" t="str">
        <f t="shared" si="4"/>
        <v>Delayed </v>
      </c>
      <c r="J4" t="s">
        <v>16</v>
      </c>
      <c r="K4" t="s">
        <v>17</v>
      </c>
      <c r="L4" t="s">
        <v>33</v>
      </c>
      <c r="M4" t="s">
        <v>19</v>
      </c>
      <c r="N4" t="s">
        <v>20</v>
      </c>
      <c r="O4" t="s">
        <v>34</v>
      </c>
      <c r="P4" t="s">
        <v>35</v>
      </c>
      <c r="Q4" t="s">
        <v>36</v>
      </c>
      <c r="R4" s="3">
        <v>1460.76</v>
      </c>
      <c r="S4" s="3">
        <v>-30.66</v>
      </c>
      <c r="T4" s="3">
        <f t="shared" si="5"/>
        <v>1460.76</v>
      </c>
      <c r="U4" s="3">
        <f>(1+'10. Whatif Control pannel'!$B$6)*T4</f>
        <v>1636.0512</v>
      </c>
      <c r="V4" s="3" t="str">
        <f t="shared" si="6"/>
        <v>Medium</v>
      </c>
      <c r="W4" s="34">
        <v>0.131</v>
      </c>
      <c r="X4" s="24" t="str">
        <f t="shared" si="7"/>
        <v>Okay</v>
      </c>
      <c r="Y4" s="36">
        <f>IF(W4&lt;=0.25,W4,'10. Whatif Control pannel'!$B$2)</f>
        <v>0.131</v>
      </c>
      <c r="Z4" s="24">
        <v>12</v>
      </c>
      <c r="AA4" s="13">
        <f>(1+'10. Whatif Control pannel'!$B$10)*Z4</f>
        <v>14.4</v>
      </c>
      <c r="AB4" s="3">
        <f t="shared" si="8"/>
        <v>15232.80528</v>
      </c>
      <c r="AC4" s="3">
        <f t="shared" si="13"/>
        <v>20472.89029632</v>
      </c>
      <c r="AD4" s="3">
        <f t="shared" si="9"/>
        <v>17529.12</v>
      </c>
      <c r="AE4" s="3">
        <f t="shared" si="10"/>
        <v>-2296.31472</v>
      </c>
      <c r="AF4" s="3">
        <f t="shared" si="14"/>
        <v>2943.77029632</v>
      </c>
      <c r="AG4">
        <f t="shared" si="11"/>
        <v>-0.150747986191024</v>
      </c>
      <c r="AH4" s="23"/>
    </row>
    <row r="5" spans="1:33">
      <c r="A5" t="s">
        <v>37</v>
      </c>
      <c r="B5" s="20">
        <v>45745</v>
      </c>
      <c r="C5" s="2">
        <f t="shared" si="0"/>
        <v>3</v>
      </c>
      <c r="D5" s="21">
        <f t="shared" si="12"/>
        <v>45745</v>
      </c>
      <c r="E5" s="19" t="str">
        <f t="shared" si="1"/>
        <v>Quarter 1</v>
      </c>
      <c r="F5" s="19">
        <v>45749</v>
      </c>
      <c r="G5" s="19">
        <f t="shared" si="2"/>
        <v>45749</v>
      </c>
      <c r="H5" s="22">
        <f t="shared" si="3"/>
        <v>4</v>
      </c>
      <c r="I5" t="str">
        <f t="shared" si="4"/>
        <v>Ontime</v>
      </c>
      <c r="J5" t="s">
        <v>16</v>
      </c>
      <c r="K5" t="s">
        <v>25</v>
      </c>
      <c r="L5" t="s">
        <v>38</v>
      </c>
      <c r="M5" t="s">
        <v>39</v>
      </c>
      <c r="N5" t="s">
        <v>40</v>
      </c>
      <c r="O5" t="s">
        <v>41</v>
      </c>
      <c r="P5" t="s">
        <v>42</v>
      </c>
      <c r="Q5" t="s">
        <v>43</v>
      </c>
      <c r="R5" s="3">
        <v>259.93</v>
      </c>
      <c r="S5" s="3">
        <v>255.94</v>
      </c>
      <c r="T5" s="3">
        <f t="shared" si="5"/>
        <v>255.94</v>
      </c>
      <c r="U5" s="3">
        <f>(1+'10. Whatif Control pannel'!$B$6)*T5</f>
        <v>286.6528</v>
      </c>
      <c r="V5" s="3" t="str">
        <f t="shared" si="6"/>
        <v>Low</v>
      </c>
      <c r="W5" s="34">
        <v>0.072</v>
      </c>
      <c r="X5" s="24" t="str">
        <f t="shared" si="7"/>
        <v>Okay</v>
      </c>
      <c r="Y5" s="36">
        <f>IF(W5&lt;=0.25,W5,'10. Whatif Control pannel'!$B$2)</f>
        <v>0.072</v>
      </c>
      <c r="Z5" s="24">
        <v>22</v>
      </c>
      <c r="AA5" s="13">
        <f>(1+'10. Whatif Control pannel'!$B$10)*Z5</f>
        <v>26.4</v>
      </c>
      <c r="AB5" s="3">
        <f t="shared" si="8"/>
        <v>5225.27104</v>
      </c>
      <c r="AC5" s="3">
        <f t="shared" si="13"/>
        <v>7022.76427776</v>
      </c>
      <c r="AD5" s="3">
        <f t="shared" si="9"/>
        <v>5718.46</v>
      </c>
      <c r="AE5" s="3">
        <f t="shared" si="10"/>
        <v>-493.188959999999</v>
      </c>
      <c r="AF5" s="3">
        <f t="shared" si="14"/>
        <v>1304.30427776</v>
      </c>
      <c r="AG5">
        <f t="shared" si="11"/>
        <v>-0.0943853354638613</v>
      </c>
    </row>
    <row r="6" spans="1:33">
      <c r="A6" t="s">
        <v>44</v>
      </c>
      <c r="B6" s="20">
        <v>45266</v>
      </c>
      <c r="C6" s="2">
        <f t="shared" si="0"/>
        <v>12</v>
      </c>
      <c r="D6" s="21">
        <f t="shared" si="12"/>
        <v>45266</v>
      </c>
      <c r="E6" s="19" t="str">
        <f t="shared" si="1"/>
        <v>Quarter 4</v>
      </c>
      <c r="F6" s="19">
        <v>45291</v>
      </c>
      <c r="G6" s="19">
        <f t="shared" si="2"/>
        <v>45291</v>
      </c>
      <c r="H6" s="22">
        <f t="shared" si="3"/>
        <v>25</v>
      </c>
      <c r="I6" t="str">
        <f t="shared" si="4"/>
        <v>Delayed </v>
      </c>
      <c r="J6" t="s">
        <v>45</v>
      </c>
      <c r="K6" t="s">
        <v>46</v>
      </c>
      <c r="L6" t="s">
        <v>47</v>
      </c>
      <c r="M6" t="s">
        <v>48</v>
      </c>
      <c r="N6" t="s">
        <v>20</v>
      </c>
      <c r="O6" t="s">
        <v>49</v>
      </c>
      <c r="P6" t="s">
        <v>30</v>
      </c>
      <c r="Q6" t="s">
        <v>50</v>
      </c>
      <c r="R6" s="3">
        <v>663.03</v>
      </c>
      <c r="S6" s="3">
        <v>813.51</v>
      </c>
      <c r="T6" s="3">
        <f t="shared" si="5"/>
        <v>813.51</v>
      </c>
      <c r="U6" s="3">
        <f>(1+'10. Whatif Control pannel'!$B$6)*T6</f>
        <v>911.1312</v>
      </c>
      <c r="V6" s="3" t="str">
        <f t="shared" si="6"/>
        <v>Low</v>
      </c>
      <c r="W6" s="34">
        <v>0.102</v>
      </c>
      <c r="X6" s="24" t="str">
        <f t="shared" si="7"/>
        <v>Okay</v>
      </c>
      <c r="Y6" s="36">
        <f>IF(W6&lt;=0.25,W6,'10. Whatif Control pannel'!$B$2)</f>
        <v>0.102</v>
      </c>
      <c r="Z6" s="24">
        <v>15</v>
      </c>
      <c r="AA6" s="13">
        <f>(1+'10. Whatif Control pannel'!$B$10)*Z6</f>
        <v>18</v>
      </c>
      <c r="AB6" s="3">
        <f t="shared" si="8"/>
        <v>10957.9797</v>
      </c>
      <c r="AC6" s="3">
        <f t="shared" si="13"/>
        <v>14727.5247168</v>
      </c>
      <c r="AD6" s="3">
        <f t="shared" si="9"/>
        <v>9945.45</v>
      </c>
      <c r="AE6" s="3">
        <f t="shared" si="10"/>
        <v>1012.5297</v>
      </c>
      <c r="AF6" s="3">
        <f t="shared" si="14"/>
        <v>4782.0747168</v>
      </c>
      <c r="AG6">
        <f t="shared" si="11"/>
        <v>0.092401129379716</v>
      </c>
    </row>
    <row r="7" spans="1:33">
      <c r="A7" t="s">
        <v>51</v>
      </c>
      <c r="B7" s="20">
        <v>44928</v>
      </c>
      <c r="C7" s="2">
        <f t="shared" si="0"/>
        <v>1</v>
      </c>
      <c r="D7" s="21">
        <f t="shared" si="12"/>
        <v>44928</v>
      </c>
      <c r="E7" s="19" t="str">
        <f t="shared" si="1"/>
        <v>Quarter 1</v>
      </c>
      <c r="F7" s="19">
        <v>44931</v>
      </c>
      <c r="G7" s="19">
        <f t="shared" si="2"/>
        <v>44931</v>
      </c>
      <c r="H7" s="22">
        <f t="shared" si="3"/>
        <v>3</v>
      </c>
      <c r="I7" t="str">
        <f t="shared" si="4"/>
        <v>Ontime</v>
      </c>
      <c r="J7" t="s">
        <v>52</v>
      </c>
      <c r="K7" t="s">
        <v>53</v>
      </c>
      <c r="L7" t="s">
        <v>54</v>
      </c>
      <c r="M7" t="s">
        <v>19</v>
      </c>
      <c r="N7" t="s">
        <v>55</v>
      </c>
      <c r="O7" t="s">
        <v>56</v>
      </c>
      <c r="P7" t="s">
        <v>57</v>
      </c>
      <c r="Q7" t="s">
        <v>58</v>
      </c>
      <c r="R7" s="3">
        <v>315.87</v>
      </c>
      <c r="S7" s="3">
        <v>591.68</v>
      </c>
      <c r="T7" s="3">
        <f t="shared" si="5"/>
        <v>591.68</v>
      </c>
      <c r="U7" s="3">
        <f>(1+'10. Whatif Control pannel'!$B$6)*T7</f>
        <v>662.6816</v>
      </c>
      <c r="V7" s="3" t="str">
        <f t="shared" si="6"/>
        <v>Low</v>
      </c>
      <c r="W7" s="34">
        <v>0</v>
      </c>
      <c r="X7" s="24" t="str">
        <f t="shared" si="7"/>
        <v>Okay</v>
      </c>
      <c r="Y7" s="36">
        <f>IF(W7&lt;=0.25,W7,'10. Whatif Control pannel'!$B$2)</f>
        <v>0</v>
      </c>
      <c r="Z7" s="24">
        <v>7</v>
      </c>
      <c r="AA7" s="13">
        <f>(1+'10. Whatif Control pannel'!$B$10)*Z7</f>
        <v>8.4</v>
      </c>
      <c r="AB7" s="3">
        <f t="shared" si="8"/>
        <v>4141.76</v>
      </c>
      <c r="AC7" s="3">
        <f t="shared" si="13"/>
        <v>5566.52544</v>
      </c>
      <c r="AD7" s="3">
        <f t="shared" si="9"/>
        <v>2211.09</v>
      </c>
      <c r="AE7" s="3">
        <f t="shared" si="10"/>
        <v>1930.67</v>
      </c>
      <c r="AF7" s="3">
        <f t="shared" si="14"/>
        <v>3355.43544</v>
      </c>
      <c r="AG7">
        <f t="shared" si="11"/>
        <v>0.466147241752298</v>
      </c>
    </row>
    <row r="8" spans="1:33">
      <c r="A8" t="s">
        <v>59</v>
      </c>
      <c r="B8" s="20">
        <v>45653</v>
      </c>
      <c r="C8" s="2">
        <f t="shared" si="0"/>
        <v>12</v>
      </c>
      <c r="D8" s="21">
        <f t="shared" si="12"/>
        <v>45653</v>
      </c>
      <c r="E8" s="19" t="str">
        <f t="shared" si="1"/>
        <v>Quarter 4</v>
      </c>
      <c r="F8" s="19">
        <v>45671</v>
      </c>
      <c r="G8" s="19">
        <f t="shared" si="2"/>
        <v>45671</v>
      </c>
      <c r="H8" s="22">
        <f t="shared" si="3"/>
        <v>18</v>
      </c>
      <c r="I8" t="str">
        <f t="shared" si="4"/>
        <v>Delayed </v>
      </c>
      <c r="J8" t="s">
        <v>45</v>
      </c>
      <c r="K8" t="s">
        <v>60</v>
      </c>
      <c r="L8" t="s">
        <v>61</v>
      </c>
      <c r="M8" t="s">
        <v>62</v>
      </c>
      <c r="N8" t="s">
        <v>40</v>
      </c>
      <c r="O8" t="s">
        <v>63</v>
      </c>
      <c r="P8" t="s">
        <v>64</v>
      </c>
      <c r="Q8" t="s">
        <v>65</v>
      </c>
      <c r="R8" s="3">
        <v>586.07</v>
      </c>
      <c r="S8" s="3">
        <v>845.97</v>
      </c>
      <c r="T8" s="3">
        <f t="shared" si="5"/>
        <v>845.97</v>
      </c>
      <c r="U8" s="3">
        <f>(1+'10. Whatif Control pannel'!$B$6)*T8</f>
        <v>947.4864</v>
      </c>
      <c r="V8" s="3" t="str">
        <f t="shared" si="6"/>
        <v>Medium</v>
      </c>
      <c r="W8" s="34">
        <v>0.147</v>
      </c>
      <c r="X8" s="24" t="str">
        <f t="shared" si="7"/>
        <v>Okay</v>
      </c>
      <c r="Y8" s="36">
        <f>IF(W8&lt;=0.25,W8,'10. Whatif Control pannel'!$B$2)</f>
        <v>0.147</v>
      </c>
      <c r="Z8" s="24">
        <v>4</v>
      </c>
      <c r="AA8" s="13">
        <f>(1+'10. Whatif Control pannel'!$B$10)*Z8</f>
        <v>4.8</v>
      </c>
      <c r="AB8" s="3">
        <f t="shared" si="8"/>
        <v>2886.44964</v>
      </c>
      <c r="AC8" s="3">
        <f t="shared" si="13"/>
        <v>3879.38831616</v>
      </c>
      <c r="AD8" s="3">
        <f t="shared" si="9"/>
        <v>2344.28</v>
      </c>
      <c r="AE8" s="3">
        <f t="shared" si="10"/>
        <v>542.16964</v>
      </c>
      <c r="AF8" s="3">
        <f t="shared" si="14"/>
        <v>1535.10831616</v>
      </c>
      <c r="AG8">
        <f t="shared" si="11"/>
        <v>0.187832703708629</v>
      </c>
    </row>
    <row r="9" spans="1:33">
      <c r="A9" t="s">
        <v>66</v>
      </c>
      <c r="B9" s="20">
        <v>44941</v>
      </c>
      <c r="C9" s="2">
        <f t="shared" si="0"/>
        <v>1</v>
      </c>
      <c r="D9" s="21">
        <f t="shared" si="12"/>
        <v>44941</v>
      </c>
      <c r="E9" s="19" t="str">
        <f t="shared" si="1"/>
        <v>Quarter 1</v>
      </c>
      <c r="F9" s="19">
        <v>44939</v>
      </c>
      <c r="G9" s="19">
        <f t="shared" si="2"/>
        <v>44948</v>
      </c>
      <c r="H9" s="22">
        <f t="shared" si="3"/>
        <v>7</v>
      </c>
      <c r="I9" t="str">
        <f t="shared" si="4"/>
        <v>Ontime</v>
      </c>
      <c r="J9" t="s">
        <v>16</v>
      </c>
      <c r="K9" t="s">
        <v>25</v>
      </c>
      <c r="L9" t="s">
        <v>67</v>
      </c>
      <c r="M9" t="s">
        <v>27</v>
      </c>
      <c r="N9" t="s">
        <v>28</v>
      </c>
      <c r="O9" t="s">
        <v>68</v>
      </c>
      <c r="P9" t="s">
        <v>30</v>
      </c>
      <c r="Q9" t="s">
        <v>69</v>
      </c>
      <c r="R9" s="3">
        <v>28.38</v>
      </c>
      <c r="S9" s="3">
        <v>47.22</v>
      </c>
      <c r="T9" s="3">
        <f t="shared" si="5"/>
        <v>47.22</v>
      </c>
      <c r="U9" s="3">
        <f>(1+'10. Whatif Control pannel'!$B$6)*T9</f>
        <v>52.8864</v>
      </c>
      <c r="V9" s="3" t="str">
        <f t="shared" si="6"/>
        <v>Low</v>
      </c>
      <c r="W9" s="34">
        <v>0.194</v>
      </c>
      <c r="X9" s="24" t="str">
        <f t="shared" si="7"/>
        <v>Okay</v>
      </c>
      <c r="Y9" s="36">
        <f>IF(W9&lt;=0.25,W9,'10. Whatif Control pannel'!$B$2)</f>
        <v>0.194</v>
      </c>
      <c r="Z9" s="24">
        <v>18</v>
      </c>
      <c r="AA9" s="13">
        <f>(1+'10. Whatif Control pannel'!$B$10)*Z9</f>
        <v>21.6</v>
      </c>
      <c r="AB9" s="3">
        <f t="shared" si="8"/>
        <v>685.06776</v>
      </c>
      <c r="AC9" s="3">
        <f t="shared" si="13"/>
        <v>920.73106944</v>
      </c>
      <c r="AD9" s="3">
        <f t="shared" si="9"/>
        <v>510.84</v>
      </c>
      <c r="AE9" s="3">
        <f t="shared" si="10"/>
        <v>174.22776</v>
      </c>
      <c r="AF9" s="3">
        <f t="shared" si="14"/>
        <v>409.89106944</v>
      </c>
      <c r="AG9">
        <f t="shared" si="11"/>
        <v>0.254321937438714</v>
      </c>
    </row>
    <row r="10" spans="1:33">
      <c r="A10" t="s">
        <v>70</v>
      </c>
      <c r="B10" s="20">
        <v>45416</v>
      </c>
      <c r="C10" s="2">
        <f t="shared" si="0"/>
        <v>5</v>
      </c>
      <c r="D10" s="21">
        <f t="shared" si="12"/>
        <v>45416</v>
      </c>
      <c r="E10" s="19" t="str">
        <f t="shared" si="1"/>
        <v>Quarter 2</v>
      </c>
      <c r="F10" s="19">
        <v>45441</v>
      </c>
      <c r="G10" s="19">
        <f t="shared" si="2"/>
        <v>45441</v>
      </c>
      <c r="H10" s="22">
        <f t="shared" si="3"/>
        <v>25</v>
      </c>
      <c r="I10" t="str">
        <f t="shared" si="4"/>
        <v>Delayed </v>
      </c>
      <c r="J10" t="s">
        <v>16</v>
      </c>
      <c r="K10" t="s">
        <v>25</v>
      </c>
      <c r="L10" t="s">
        <v>67</v>
      </c>
      <c r="M10" t="s">
        <v>39</v>
      </c>
      <c r="N10" t="s">
        <v>40</v>
      </c>
      <c r="O10" t="s">
        <v>68</v>
      </c>
      <c r="P10" t="s">
        <v>64</v>
      </c>
      <c r="Q10" t="s">
        <v>71</v>
      </c>
      <c r="R10" s="3">
        <v>1295.34</v>
      </c>
      <c r="S10" s="3">
        <v>2530.81</v>
      </c>
      <c r="T10" s="3">
        <f t="shared" si="5"/>
        <v>2530.81</v>
      </c>
      <c r="U10" s="3">
        <f>(1+'10. Whatif Control pannel'!$B$6)*T10</f>
        <v>2834.5072</v>
      </c>
      <c r="V10" s="3" t="str">
        <f t="shared" si="6"/>
        <v>High</v>
      </c>
      <c r="W10" s="34">
        <v>0.031</v>
      </c>
      <c r="X10" s="24" t="str">
        <f t="shared" si="7"/>
        <v>Okay</v>
      </c>
      <c r="Y10" s="36">
        <f>IF(W10&lt;=0.25,W10,'10. Whatif Control pannel'!$B$2)</f>
        <v>0.031</v>
      </c>
      <c r="Z10" s="24">
        <v>6</v>
      </c>
      <c r="AA10" s="13">
        <f>(1+'10. Whatif Control pannel'!$B$10)*Z10</f>
        <v>7.2</v>
      </c>
      <c r="AB10" s="3">
        <f t="shared" si="8"/>
        <v>14714.12934</v>
      </c>
      <c r="AC10" s="3">
        <f t="shared" si="13"/>
        <v>19775.78983296</v>
      </c>
      <c r="AD10" s="3">
        <f t="shared" si="9"/>
        <v>7772.04</v>
      </c>
      <c r="AE10" s="3">
        <f t="shared" si="10"/>
        <v>6942.08934</v>
      </c>
      <c r="AF10" s="3">
        <f t="shared" si="14"/>
        <v>12003.74983296</v>
      </c>
      <c r="AG10">
        <f t="shared" si="11"/>
        <v>0.47179749338808</v>
      </c>
    </row>
    <row r="11" spans="1:33">
      <c r="A11" t="s">
        <v>72</v>
      </c>
      <c r="B11" s="20">
        <v>45798</v>
      </c>
      <c r="C11" s="2">
        <f t="shared" si="0"/>
        <v>5</v>
      </c>
      <c r="D11" s="21">
        <f t="shared" si="12"/>
        <v>45798</v>
      </c>
      <c r="E11" s="19" t="str">
        <f t="shared" si="1"/>
        <v>Quarter 2</v>
      </c>
      <c r="F11" s="19">
        <v>45817</v>
      </c>
      <c r="G11" s="19">
        <f t="shared" si="2"/>
        <v>45817</v>
      </c>
      <c r="H11" s="22">
        <f t="shared" si="3"/>
        <v>19</v>
      </c>
      <c r="I11" t="str">
        <f t="shared" si="4"/>
        <v>Delayed </v>
      </c>
      <c r="J11" t="s">
        <v>52</v>
      </c>
      <c r="K11" t="s">
        <v>73</v>
      </c>
      <c r="L11" t="s">
        <v>74</v>
      </c>
      <c r="M11" t="s">
        <v>39</v>
      </c>
      <c r="N11" t="s">
        <v>28</v>
      </c>
      <c r="O11" t="s">
        <v>75</v>
      </c>
      <c r="P11" t="s">
        <v>22</v>
      </c>
      <c r="Q11" t="s">
        <v>76</v>
      </c>
      <c r="R11" s="3">
        <v>1331.38</v>
      </c>
      <c r="S11" s="3">
        <v>2309.56</v>
      </c>
      <c r="T11" s="3">
        <f t="shared" si="5"/>
        <v>2309.56</v>
      </c>
      <c r="U11" s="3">
        <f>(1+'10. Whatif Control pannel'!$B$6)*T11</f>
        <v>2586.7072</v>
      </c>
      <c r="V11" s="3" t="str">
        <f t="shared" si="6"/>
        <v>High</v>
      </c>
      <c r="W11" s="34">
        <v>0.149</v>
      </c>
      <c r="X11" s="24" t="str">
        <f t="shared" si="7"/>
        <v>Okay</v>
      </c>
      <c r="Y11" s="36">
        <f>IF(W11&lt;=0.25,W11,'10. Whatif Control pannel'!$B$2)</f>
        <v>0.149</v>
      </c>
      <c r="Z11" s="24">
        <v>31</v>
      </c>
      <c r="AA11" s="13">
        <f>(1+'10. Whatif Control pannel'!$B$10)*Z11</f>
        <v>37.2</v>
      </c>
      <c r="AB11" s="3">
        <f t="shared" si="8"/>
        <v>60928.50236</v>
      </c>
      <c r="AC11" s="3">
        <f t="shared" si="13"/>
        <v>81887.90717184</v>
      </c>
      <c r="AD11" s="3">
        <f t="shared" si="9"/>
        <v>41272.78</v>
      </c>
      <c r="AE11" s="3">
        <f t="shared" si="10"/>
        <v>19655.72236</v>
      </c>
      <c r="AF11" s="3">
        <f t="shared" si="14"/>
        <v>40615.12717184</v>
      </c>
      <c r="AG11">
        <f t="shared" si="11"/>
        <v>0.322603077355535</v>
      </c>
    </row>
    <row r="12" spans="1:33">
      <c r="A12" t="s">
        <v>77</v>
      </c>
      <c r="B12" s="20">
        <v>45319</v>
      </c>
      <c r="C12" s="2">
        <f t="shared" si="0"/>
        <v>1</v>
      </c>
      <c r="D12" s="21">
        <f t="shared" si="12"/>
        <v>45319</v>
      </c>
      <c r="E12" s="19" t="str">
        <f t="shared" si="1"/>
        <v>Quarter 1</v>
      </c>
      <c r="F12" s="19">
        <v>45331</v>
      </c>
      <c r="G12" s="19">
        <f t="shared" si="2"/>
        <v>45331</v>
      </c>
      <c r="H12" s="22">
        <f t="shared" si="3"/>
        <v>12</v>
      </c>
      <c r="I12" t="str">
        <f t="shared" si="4"/>
        <v>Delayed </v>
      </c>
      <c r="J12" t="s">
        <v>78</v>
      </c>
      <c r="K12" t="s">
        <v>79</v>
      </c>
      <c r="L12" t="s">
        <v>80</v>
      </c>
      <c r="M12" t="s">
        <v>19</v>
      </c>
      <c r="N12" t="s">
        <v>28</v>
      </c>
      <c r="O12" t="s">
        <v>41</v>
      </c>
      <c r="P12" t="s">
        <v>81</v>
      </c>
      <c r="Q12" t="s">
        <v>82</v>
      </c>
      <c r="R12" s="3">
        <v>644.17</v>
      </c>
      <c r="S12" s="3">
        <v>700.12</v>
      </c>
      <c r="T12" s="3">
        <f t="shared" si="5"/>
        <v>700.12</v>
      </c>
      <c r="U12" s="3">
        <f>(1+'10. Whatif Control pannel'!$B$6)*T12</f>
        <v>784.1344</v>
      </c>
      <c r="V12" s="3" t="str">
        <f t="shared" si="6"/>
        <v>Low</v>
      </c>
      <c r="W12" s="34">
        <v>0.006</v>
      </c>
      <c r="X12" s="24" t="str">
        <f t="shared" si="7"/>
        <v>Okay</v>
      </c>
      <c r="Y12" s="36">
        <f>IF(W12&lt;=0.25,W12,'10. Whatif Control pannel'!$B$2)</f>
        <v>0.006</v>
      </c>
      <c r="Z12" s="24">
        <v>23</v>
      </c>
      <c r="AA12" s="13">
        <f>(1+'10. Whatif Control pannel'!$B$10)*Z12</f>
        <v>27.6</v>
      </c>
      <c r="AB12" s="3">
        <f t="shared" si="8"/>
        <v>16006.14344</v>
      </c>
      <c r="AC12" s="3">
        <f t="shared" si="13"/>
        <v>21512.25678336</v>
      </c>
      <c r="AD12" s="3">
        <f t="shared" si="9"/>
        <v>14815.91</v>
      </c>
      <c r="AE12" s="3">
        <f t="shared" si="10"/>
        <v>1190.23344</v>
      </c>
      <c r="AF12" s="3">
        <f t="shared" si="14"/>
        <v>6696.34678336</v>
      </c>
      <c r="AG12">
        <f t="shared" si="11"/>
        <v>0.0743610379640581</v>
      </c>
    </row>
    <row r="13" spans="1:33">
      <c r="A13" t="s">
        <v>83</v>
      </c>
      <c r="B13" s="20">
        <v>45660</v>
      </c>
      <c r="C13" s="2">
        <f t="shared" si="0"/>
        <v>1</v>
      </c>
      <c r="D13" s="21">
        <f t="shared" si="12"/>
        <v>45660</v>
      </c>
      <c r="E13" s="19" t="str">
        <f t="shared" si="1"/>
        <v>Quarter 1</v>
      </c>
      <c r="F13" s="19">
        <v>45680</v>
      </c>
      <c r="G13" s="19">
        <f t="shared" si="2"/>
        <v>45680</v>
      </c>
      <c r="H13" s="22">
        <f t="shared" si="3"/>
        <v>20</v>
      </c>
      <c r="I13" t="str">
        <f t="shared" si="4"/>
        <v>Delayed </v>
      </c>
      <c r="J13" t="s">
        <v>45</v>
      </c>
      <c r="K13" t="s">
        <v>46</v>
      </c>
      <c r="L13" t="s">
        <v>47</v>
      </c>
      <c r="M13" t="s">
        <v>19</v>
      </c>
      <c r="N13" t="s">
        <v>55</v>
      </c>
      <c r="O13" t="s">
        <v>84</v>
      </c>
      <c r="P13" t="s">
        <v>42</v>
      </c>
      <c r="Q13" t="s">
        <v>85</v>
      </c>
      <c r="R13" s="3">
        <v>908.6</v>
      </c>
      <c r="S13" s="3">
        <v>691.37</v>
      </c>
      <c r="T13" s="3">
        <f t="shared" si="5"/>
        <v>691.37</v>
      </c>
      <c r="U13" s="3">
        <f>(1+'10. Whatif Control pannel'!$B$6)*T13</f>
        <v>774.3344</v>
      </c>
      <c r="V13" s="3" t="str">
        <f t="shared" si="6"/>
        <v>Low</v>
      </c>
      <c r="W13" s="34">
        <v>0.25</v>
      </c>
      <c r="X13" s="24" t="str">
        <f t="shared" si="7"/>
        <v>High Discount</v>
      </c>
      <c r="Y13" s="36">
        <f>IF(W13&lt;=0.25,W13,'10. Whatif Control pannel'!$B$2)</f>
        <v>0.25</v>
      </c>
      <c r="Z13" s="24">
        <v>20</v>
      </c>
      <c r="AA13" s="13">
        <f>(1+'10. Whatif Control pannel'!$B$10)*Z13</f>
        <v>24</v>
      </c>
      <c r="AB13" s="3">
        <f t="shared" si="8"/>
        <v>10370.55</v>
      </c>
      <c r="AC13" s="3">
        <f t="shared" si="13"/>
        <v>13938.0192</v>
      </c>
      <c r="AD13" s="3">
        <f t="shared" si="9"/>
        <v>18172</v>
      </c>
      <c r="AE13" s="3">
        <f t="shared" si="10"/>
        <v>-7801.45</v>
      </c>
      <c r="AF13" s="3">
        <f t="shared" si="14"/>
        <v>-4233.9808</v>
      </c>
      <c r="AG13">
        <f t="shared" si="11"/>
        <v>-0.752269648186451</v>
      </c>
    </row>
    <row r="14" spans="1:33">
      <c r="A14" t="s">
        <v>86</v>
      </c>
      <c r="B14" s="20">
        <v>45722</v>
      </c>
      <c r="C14" s="2">
        <f t="shared" si="0"/>
        <v>3</v>
      </c>
      <c r="D14" s="21">
        <f t="shared" si="12"/>
        <v>45722</v>
      </c>
      <c r="E14" s="19" t="str">
        <f t="shared" si="1"/>
        <v>Quarter 1</v>
      </c>
      <c r="F14" s="19">
        <v>45747</v>
      </c>
      <c r="G14" s="19">
        <f t="shared" si="2"/>
        <v>45747</v>
      </c>
      <c r="H14" s="22">
        <f t="shared" si="3"/>
        <v>25</v>
      </c>
      <c r="I14" t="str">
        <f t="shared" si="4"/>
        <v>Delayed </v>
      </c>
      <c r="J14" t="s">
        <v>52</v>
      </c>
      <c r="K14" t="s">
        <v>73</v>
      </c>
      <c r="L14" t="s">
        <v>87</v>
      </c>
      <c r="M14" t="s">
        <v>39</v>
      </c>
      <c r="N14" t="s">
        <v>28</v>
      </c>
      <c r="O14" t="s">
        <v>29</v>
      </c>
      <c r="P14" t="s">
        <v>22</v>
      </c>
      <c r="Q14" t="s">
        <v>88</v>
      </c>
      <c r="R14" s="3">
        <v>331.57</v>
      </c>
      <c r="S14" s="3">
        <v>548.4</v>
      </c>
      <c r="T14" s="3">
        <f t="shared" si="5"/>
        <v>548.4</v>
      </c>
      <c r="U14" s="3">
        <f>(1+'10. Whatif Control pannel'!$B$6)*T14</f>
        <v>614.208</v>
      </c>
      <c r="V14" s="3" t="str">
        <f t="shared" si="6"/>
        <v>Low</v>
      </c>
      <c r="W14" s="34">
        <v>0.094</v>
      </c>
      <c r="X14" s="24" t="str">
        <f t="shared" si="7"/>
        <v>Okay</v>
      </c>
      <c r="Y14" s="36">
        <f>IF(W14&lt;=0.25,W14,'10. Whatif Control pannel'!$B$2)</f>
        <v>0.094</v>
      </c>
      <c r="Z14" s="24">
        <v>10</v>
      </c>
      <c r="AA14" s="13">
        <f>(1+'10. Whatif Control pannel'!$B$10)*Z14</f>
        <v>12</v>
      </c>
      <c r="AB14" s="3">
        <f t="shared" si="8"/>
        <v>4968.504</v>
      </c>
      <c r="AC14" s="3">
        <f t="shared" si="13"/>
        <v>6677.669376</v>
      </c>
      <c r="AD14" s="3">
        <f t="shared" si="9"/>
        <v>3315.7</v>
      </c>
      <c r="AE14" s="3">
        <f t="shared" si="10"/>
        <v>1652.804</v>
      </c>
      <c r="AF14" s="3">
        <f t="shared" si="14"/>
        <v>3361.969376</v>
      </c>
      <c r="AG14">
        <f t="shared" si="11"/>
        <v>0.332656268365689</v>
      </c>
    </row>
    <row r="15" spans="1:33">
      <c r="A15" t="s">
        <v>89</v>
      </c>
      <c r="B15" s="20">
        <v>45311</v>
      </c>
      <c r="C15" s="2">
        <f t="shared" si="0"/>
        <v>1</v>
      </c>
      <c r="D15" s="21">
        <f t="shared" si="12"/>
        <v>45311</v>
      </c>
      <c r="E15" s="19" t="str">
        <f t="shared" si="1"/>
        <v>Quarter 1</v>
      </c>
      <c r="F15" s="19">
        <v>45335</v>
      </c>
      <c r="G15" s="19">
        <f t="shared" si="2"/>
        <v>45335</v>
      </c>
      <c r="H15" s="22">
        <f t="shared" si="3"/>
        <v>24</v>
      </c>
      <c r="I15" t="str">
        <f t="shared" si="4"/>
        <v>Delayed </v>
      </c>
      <c r="J15" t="s">
        <v>78</v>
      </c>
      <c r="K15" t="s">
        <v>90</v>
      </c>
      <c r="L15" t="s">
        <v>91</v>
      </c>
      <c r="M15" t="s">
        <v>19</v>
      </c>
      <c r="N15" t="s">
        <v>20</v>
      </c>
      <c r="O15" t="s">
        <v>92</v>
      </c>
      <c r="P15" t="s">
        <v>30</v>
      </c>
      <c r="Q15" t="s">
        <v>93</v>
      </c>
      <c r="R15" s="3">
        <v>643.53</v>
      </c>
      <c r="S15" s="3">
        <v>1439.01</v>
      </c>
      <c r="T15" s="3">
        <f t="shared" si="5"/>
        <v>1439.01</v>
      </c>
      <c r="U15" s="3">
        <f>(1+'10. Whatif Control pannel'!$B$6)*T15</f>
        <v>1611.6912</v>
      </c>
      <c r="V15" s="3" t="str">
        <f t="shared" si="6"/>
        <v>Medium</v>
      </c>
      <c r="W15" s="34">
        <v>0</v>
      </c>
      <c r="X15" s="24" t="str">
        <f t="shared" si="7"/>
        <v>Okay</v>
      </c>
      <c r="Y15" s="36">
        <f>IF(W15&lt;=0.25,W15,'10. Whatif Control pannel'!$B$2)</f>
        <v>0</v>
      </c>
      <c r="Z15" s="24">
        <v>15</v>
      </c>
      <c r="AA15" s="13">
        <f>(1+'10. Whatif Control pannel'!$B$10)*Z15</f>
        <v>18</v>
      </c>
      <c r="AB15" s="3">
        <f t="shared" si="8"/>
        <v>21585.15</v>
      </c>
      <c r="AC15" s="3">
        <f t="shared" si="13"/>
        <v>29010.4416</v>
      </c>
      <c r="AD15" s="3">
        <f t="shared" si="9"/>
        <v>9652.95</v>
      </c>
      <c r="AE15" s="3">
        <f t="shared" si="10"/>
        <v>11932.2</v>
      </c>
      <c r="AF15" s="3">
        <f t="shared" si="14"/>
        <v>19357.4916</v>
      </c>
      <c r="AG15">
        <f t="shared" si="11"/>
        <v>0.552796714407822</v>
      </c>
    </row>
    <row r="16" spans="1:33">
      <c r="A16" t="s">
        <v>94</v>
      </c>
      <c r="B16" s="20">
        <v>45901</v>
      </c>
      <c r="C16" s="2">
        <f t="shared" si="0"/>
        <v>9</v>
      </c>
      <c r="D16" s="21">
        <f t="shared" si="12"/>
        <v>45901</v>
      </c>
      <c r="E16" s="19" t="str">
        <f t="shared" si="1"/>
        <v>Quarter 3</v>
      </c>
      <c r="F16" s="19">
        <v>45930</v>
      </c>
      <c r="G16" s="19">
        <f t="shared" si="2"/>
        <v>45930</v>
      </c>
      <c r="H16" s="22">
        <f t="shared" si="3"/>
        <v>29</v>
      </c>
      <c r="I16" t="str">
        <f t="shared" si="4"/>
        <v>Delayed </v>
      </c>
      <c r="J16" t="s">
        <v>52</v>
      </c>
      <c r="K16" t="s">
        <v>73</v>
      </c>
      <c r="L16" t="s">
        <v>87</v>
      </c>
      <c r="M16" t="s">
        <v>27</v>
      </c>
      <c r="N16" t="s">
        <v>20</v>
      </c>
      <c r="O16" t="s">
        <v>95</v>
      </c>
      <c r="P16" t="s">
        <v>81</v>
      </c>
      <c r="Q16" t="s">
        <v>96</v>
      </c>
      <c r="R16" s="3">
        <v>780.59</v>
      </c>
      <c r="S16" s="3">
        <v>631.57</v>
      </c>
      <c r="T16" s="3">
        <f t="shared" si="5"/>
        <v>631.57</v>
      </c>
      <c r="U16" s="3">
        <f>(1+'10. Whatif Control pannel'!$B$6)*T16</f>
        <v>707.3584</v>
      </c>
      <c r="V16" s="3" t="str">
        <f t="shared" si="6"/>
        <v>Low</v>
      </c>
      <c r="W16" s="34">
        <v>0</v>
      </c>
      <c r="X16" s="24" t="str">
        <f t="shared" si="7"/>
        <v>Okay</v>
      </c>
      <c r="Y16" s="36">
        <f>IF(W16&lt;=0.25,W16,'10. Whatif Control pannel'!$B$2)</f>
        <v>0</v>
      </c>
      <c r="Z16" s="24">
        <v>12</v>
      </c>
      <c r="AA16" s="13">
        <f>(1+'10. Whatif Control pannel'!$B$10)*Z16</f>
        <v>14.4</v>
      </c>
      <c r="AB16" s="3">
        <f t="shared" si="8"/>
        <v>7578.84</v>
      </c>
      <c r="AC16" s="3">
        <f t="shared" si="13"/>
        <v>10185.96096</v>
      </c>
      <c r="AD16" s="3">
        <f t="shared" si="9"/>
        <v>9367.08</v>
      </c>
      <c r="AE16" s="3">
        <f t="shared" si="10"/>
        <v>-1788.24</v>
      </c>
      <c r="AF16" s="3">
        <f t="shared" si="14"/>
        <v>818.88096</v>
      </c>
      <c r="AG16">
        <f t="shared" si="11"/>
        <v>-0.235951675982076</v>
      </c>
    </row>
    <row r="17" spans="1:33">
      <c r="A17" t="s">
        <v>97</v>
      </c>
      <c r="B17" s="20">
        <v>45039</v>
      </c>
      <c r="C17" s="2">
        <f t="shared" si="0"/>
        <v>4</v>
      </c>
      <c r="D17" s="21">
        <f t="shared" si="12"/>
        <v>45039</v>
      </c>
      <c r="E17" s="19" t="str">
        <f t="shared" si="1"/>
        <v>Quarter 2</v>
      </c>
      <c r="F17" s="19">
        <v>45038</v>
      </c>
      <c r="G17" s="19">
        <f t="shared" si="2"/>
        <v>45046</v>
      </c>
      <c r="H17" s="22">
        <f t="shared" si="3"/>
        <v>7</v>
      </c>
      <c r="I17" t="str">
        <f t="shared" si="4"/>
        <v>Ontime</v>
      </c>
      <c r="J17" t="s">
        <v>16</v>
      </c>
      <c r="K17" t="s">
        <v>17</v>
      </c>
      <c r="L17" t="s">
        <v>33</v>
      </c>
      <c r="M17" t="s">
        <v>62</v>
      </c>
      <c r="N17" t="s">
        <v>98</v>
      </c>
      <c r="O17" t="s">
        <v>63</v>
      </c>
      <c r="P17" t="s">
        <v>57</v>
      </c>
      <c r="Q17" t="s">
        <v>99</v>
      </c>
      <c r="R17" s="3">
        <v>756.51</v>
      </c>
      <c r="S17" s="3">
        <v>850.8</v>
      </c>
      <c r="T17" s="3">
        <f t="shared" si="5"/>
        <v>850.8</v>
      </c>
      <c r="U17" s="3">
        <f>(1+'10. Whatif Control pannel'!$B$6)*T17</f>
        <v>952.896</v>
      </c>
      <c r="V17" s="3" t="str">
        <f t="shared" si="6"/>
        <v>Medium</v>
      </c>
      <c r="W17" s="34">
        <v>0.074</v>
      </c>
      <c r="X17" s="24" t="str">
        <f t="shared" si="7"/>
        <v>Okay</v>
      </c>
      <c r="Y17" s="36">
        <f>IF(W17&lt;=0.25,W17,'10. Whatif Control pannel'!$B$2)</f>
        <v>0.074</v>
      </c>
      <c r="Z17" s="24">
        <v>9</v>
      </c>
      <c r="AA17" s="13">
        <f>(1+'10. Whatif Control pannel'!$B$10)*Z17</f>
        <v>10.8</v>
      </c>
      <c r="AB17" s="3">
        <f t="shared" si="8"/>
        <v>7090.5672</v>
      </c>
      <c r="AC17" s="3">
        <f t="shared" si="13"/>
        <v>9529.7223168</v>
      </c>
      <c r="AD17" s="3">
        <f t="shared" si="9"/>
        <v>6808.59</v>
      </c>
      <c r="AE17" s="3">
        <f t="shared" si="10"/>
        <v>281.9772</v>
      </c>
      <c r="AF17" s="3">
        <f t="shared" si="14"/>
        <v>2721.1323168</v>
      </c>
      <c r="AG17">
        <f t="shared" si="11"/>
        <v>0.0397679328107913</v>
      </c>
    </row>
    <row r="18" spans="1:33">
      <c r="A18" t="s">
        <v>100</v>
      </c>
      <c r="B18" s="20">
        <v>45636</v>
      </c>
      <c r="C18" s="2">
        <f t="shared" si="0"/>
        <v>12</v>
      </c>
      <c r="D18" s="21">
        <f t="shared" si="12"/>
        <v>45636</v>
      </c>
      <c r="E18" s="19" t="str">
        <f t="shared" si="1"/>
        <v>Quarter 4</v>
      </c>
      <c r="F18" s="19">
        <v>45665</v>
      </c>
      <c r="G18" s="19">
        <f t="shared" si="2"/>
        <v>45665</v>
      </c>
      <c r="H18" s="22">
        <f t="shared" si="3"/>
        <v>29</v>
      </c>
      <c r="I18" t="str">
        <f t="shared" si="4"/>
        <v>Delayed </v>
      </c>
      <c r="J18" t="s">
        <v>78</v>
      </c>
      <c r="K18" t="s">
        <v>90</v>
      </c>
      <c r="L18" t="s">
        <v>91</v>
      </c>
      <c r="M18" t="s">
        <v>62</v>
      </c>
      <c r="N18" t="s">
        <v>20</v>
      </c>
      <c r="O18" t="s">
        <v>95</v>
      </c>
      <c r="P18" t="s">
        <v>30</v>
      </c>
      <c r="Q18" t="s">
        <v>101</v>
      </c>
      <c r="R18" s="3">
        <v>891.08</v>
      </c>
      <c r="S18" s="3">
        <v>1040.1</v>
      </c>
      <c r="T18" s="3">
        <f t="shared" si="5"/>
        <v>1040.1</v>
      </c>
      <c r="U18" s="3">
        <f>(1+'10. Whatif Control pannel'!$B$6)*T18</f>
        <v>1164.912</v>
      </c>
      <c r="V18" s="3" t="str">
        <f t="shared" si="6"/>
        <v>Medium</v>
      </c>
      <c r="W18" s="34">
        <v>0.109</v>
      </c>
      <c r="X18" s="24" t="str">
        <f t="shared" si="7"/>
        <v>Okay</v>
      </c>
      <c r="Y18" s="36">
        <f>IF(W18&lt;=0.25,W18,'10. Whatif Control pannel'!$B$2)</f>
        <v>0.109</v>
      </c>
      <c r="Z18" s="24">
        <v>28</v>
      </c>
      <c r="AA18" s="13">
        <f>(1+'10. Whatif Control pannel'!$B$10)*Z18</f>
        <v>33.6</v>
      </c>
      <c r="AB18" s="3">
        <f t="shared" si="8"/>
        <v>25948.4148</v>
      </c>
      <c r="AC18" s="3">
        <f t="shared" si="13"/>
        <v>34874.6694912</v>
      </c>
      <c r="AD18" s="3">
        <f t="shared" si="9"/>
        <v>24950.24</v>
      </c>
      <c r="AE18" s="3">
        <f t="shared" si="10"/>
        <v>998.174799999993</v>
      </c>
      <c r="AF18" s="3">
        <f t="shared" si="14"/>
        <v>9924.4294912</v>
      </c>
      <c r="AG18">
        <f t="shared" si="11"/>
        <v>0.0384676600745566</v>
      </c>
    </row>
    <row r="19" spans="1:33">
      <c r="A19" t="s">
        <v>102</v>
      </c>
      <c r="B19" s="20">
        <v>45908</v>
      </c>
      <c r="C19" s="2">
        <f t="shared" si="0"/>
        <v>9</v>
      </c>
      <c r="D19" s="21">
        <f t="shared" si="12"/>
        <v>45908</v>
      </c>
      <c r="E19" s="19" t="str">
        <f t="shared" si="1"/>
        <v>Quarter 3</v>
      </c>
      <c r="F19" s="19">
        <v>45916</v>
      </c>
      <c r="G19" s="19">
        <f t="shared" si="2"/>
        <v>45916</v>
      </c>
      <c r="H19" s="22">
        <f t="shared" si="3"/>
        <v>8</v>
      </c>
      <c r="I19" t="str">
        <f t="shared" si="4"/>
        <v>Delayed </v>
      </c>
      <c r="J19" t="s">
        <v>45</v>
      </c>
      <c r="K19" t="s">
        <v>46</v>
      </c>
      <c r="L19" t="s">
        <v>47</v>
      </c>
      <c r="M19" t="s">
        <v>19</v>
      </c>
      <c r="N19" t="s">
        <v>55</v>
      </c>
      <c r="O19" t="s">
        <v>21</v>
      </c>
      <c r="P19" t="s">
        <v>42</v>
      </c>
      <c r="Q19" t="s">
        <v>103</v>
      </c>
      <c r="R19" s="3">
        <v>1225.57</v>
      </c>
      <c r="S19" s="3">
        <v>2705.57</v>
      </c>
      <c r="T19" s="3">
        <f t="shared" si="5"/>
        <v>2705.57</v>
      </c>
      <c r="U19" s="3">
        <f>(1+'10. Whatif Control pannel'!$B$6)*T19</f>
        <v>3030.2384</v>
      </c>
      <c r="V19" s="3" t="str">
        <f t="shared" si="6"/>
        <v>High</v>
      </c>
      <c r="W19" s="34">
        <v>0.183</v>
      </c>
      <c r="X19" s="24" t="str">
        <f t="shared" si="7"/>
        <v>Okay</v>
      </c>
      <c r="Y19" s="36">
        <f>IF(W19&lt;=0.25,W19,'10. Whatif Control pannel'!$B$2)</f>
        <v>0.183</v>
      </c>
      <c r="Z19" s="24">
        <v>16</v>
      </c>
      <c r="AA19" s="13">
        <f>(1+'10. Whatif Control pannel'!$B$10)*Z19</f>
        <v>19.2</v>
      </c>
      <c r="AB19" s="3">
        <f t="shared" si="8"/>
        <v>35367.21104</v>
      </c>
      <c r="AC19" s="3">
        <f t="shared" si="13"/>
        <v>47533.53163776</v>
      </c>
      <c r="AD19" s="3">
        <f t="shared" si="9"/>
        <v>19609.12</v>
      </c>
      <c r="AE19" s="3">
        <f t="shared" si="10"/>
        <v>15758.09104</v>
      </c>
      <c r="AF19" s="3">
        <f t="shared" si="14"/>
        <v>27924.41163776</v>
      </c>
      <c r="AG19">
        <f t="shared" si="11"/>
        <v>0.445556507754534</v>
      </c>
    </row>
    <row r="20" spans="1:33">
      <c r="A20" t="s">
        <v>104</v>
      </c>
      <c r="B20" s="20">
        <v>45858</v>
      </c>
      <c r="C20" s="2">
        <f t="shared" si="0"/>
        <v>7</v>
      </c>
      <c r="D20" s="21">
        <f t="shared" si="12"/>
        <v>45858</v>
      </c>
      <c r="E20" s="19" t="str">
        <f t="shared" si="1"/>
        <v>Quarter 3</v>
      </c>
      <c r="F20" s="19">
        <v>45874</v>
      </c>
      <c r="G20" s="19">
        <f t="shared" si="2"/>
        <v>45874</v>
      </c>
      <c r="H20" s="22">
        <f t="shared" si="3"/>
        <v>16</v>
      </c>
      <c r="I20" t="str">
        <f t="shared" si="4"/>
        <v>Delayed </v>
      </c>
      <c r="J20" t="s">
        <v>52</v>
      </c>
      <c r="K20" t="s">
        <v>73</v>
      </c>
      <c r="L20" t="s">
        <v>87</v>
      </c>
      <c r="M20" t="s">
        <v>105</v>
      </c>
      <c r="N20" t="s">
        <v>40</v>
      </c>
      <c r="O20" t="s">
        <v>41</v>
      </c>
      <c r="P20" t="s">
        <v>81</v>
      </c>
      <c r="Q20" t="s">
        <v>106</v>
      </c>
      <c r="R20" s="3">
        <v>1068.17</v>
      </c>
      <c r="S20" s="3">
        <v>2375.37</v>
      </c>
      <c r="T20" s="3">
        <f t="shared" si="5"/>
        <v>2375.37</v>
      </c>
      <c r="U20" s="3">
        <f>(1+'10. Whatif Control pannel'!$B$6)*T20</f>
        <v>2660.4144</v>
      </c>
      <c r="V20" s="3" t="str">
        <f t="shared" si="6"/>
        <v>High</v>
      </c>
      <c r="W20" s="34">
        <v>0.109</v>
      </c>
      <c r="X20" s="24" t="str">
        <f t="shared" si="7"/>
        <v>Okay</v>
      </c>
      <c r="Y20" s="36">
        <f>IF(W20&lt;=0.25,W20,'10. Whatif Control pannel'!$B$2)</f>
        <v>0.109</v>
      </c>
      <c r="Z20" s="24">
        <v>18</v>
      </c>
      <c r="AA20" s="13">
        <f>(1+'10. Whatif Control pannel'!$B$10)*Z20</f>
        <v>21.6</v>
      </c>
      <c r="AB20" s="3">
        <f t="shared" si="8"/>
        <v>38096.18406</v>
      </c>
      <c r="AC20" s="3">
        <f t="shared" si="13"/>
        <v>51201.27137664</v>
      </c>
      <c r="AD20" s="3">
        <f t="shared" si="9"/>
        <v>19227.06</v>
      </c>
      <c r="AE20" s="3">
        <f t="shared" si="10"/>
        <v>18869.12406</v>
      </c>
      <c r="AF20" s="3">
        <f t="shared" si="14"/>
        <v>31974.21137664</v>
      </c>
      <c r="AG20">
        <f t="shared" si="11"/>
        <v>0.495302207441088</v>
      </c>
    </row>
    <row r="21" spans="1:33">
      <c r="A21" t="s">
        <v>107</v>
      </c>
      <c r="B21" s="20">
        <v>45798</v>
      </c>
      <c r="C21" s="2">
        <f t="shared" si="0"/>
        <v>5</v>
      </c>
      <c r="D21" s="21">
        <f t="shared" si="12"/>
        <v>45798</v>
      </c>
      <c r="E21" s="19" t="str">
        <f t="shared" si="1"/>
        <v>Quarter 2</v>
      </c>
      <c r="F21" s="19">
        <v>45796</v>
      </c>
      <c r="G21" s="19">
        <f t="shared" si="2"/>
        <v>45805</v>
      </c>
      <c r="H21" s="22">
        <f t="shared" si="3"/>
        <v>7</v>
      </c>
      <c r="I21" t="str">
        <f t="shared" si="4"/>
        <v>Ontime</v>
      </c>
      <c r="J21" t="s">
        <v>78</v>
      </c>
      <c r="K21" t="s">
        <v>108</v>
      </c>
      <c r="L21" t="s">
        <v>109</v>
      </c>
      <c r="M21" t="s">
        <v>105</v>
      </c>
      <c r="N21" t="s">
        <v>28</v>
      </c>
      <c r="O21" t="s">
        <v>110</v>
      </c>
      <c r="P21" t="s">
        <v>57</v>
      </c>
      <c r="Q21" t="s">
        <v>111</v>
      </c>
      <c r="R21" s="3">
        <v>1015.16</v>
      </c>
      <c r="S21" s="3">
        <v>2148.14</v>
      </c>
      <c r="T21" s="3">
        <f t="shared" si="5"/>
        <v>2148.14</v>
      </c>
      <c r="U21" s="3">
        <f>(1+'10. Whatif Control pannel'!$B$6)*T21</f>
        <v>2405.9168</v>
      </c>
      <c r="V21" s="3" t="str">
        <f t="shared" si="6"/>
        <v>High</v>
      </c>
      <c r="W21" s="34">
        <v>0.038</v>
      </c>
      <c r="X21" s="24" t="str">
        <f t="shared" si="7"/>
        <v>Okay</v>
      </c>
      <c r="Y21" s="36">
        <f>IF(W21&lt;=0.25,W21,'10. Whatif Control pannel'!$B$2)</f>
        <v>0.038</v>
      </c>
      <c r="Z21" s="24">
        <v>19</v>
      </c>
      <c r="AA21" s="13">
        <f>(1+'10. Whatif Control pannel'!$B$10)*Z21</f>
        <v>22.8</v>
      </c>
      <c r="AB21" s="3">
        <f t="shared" si="8"/>
        <v>39263.70292</v>
      </c>
      <c r="AC21" s="3">
        <f t="shared" si="13"/>
        <v>52770.41672448</v>
      </c>
      <c r="AD21" s="3">
        <f t="shared" si="9"/>
        <v>19288.04</v>
      </c>
      <c r="AE21" s="3">
        <f t="shared" si="10"/>
        <v>19975.66292</v>
      </c>
      <c r="AF21" s="3">
        <f t="shared" si="14"/>
        <v>33482.37672448</v>
      </c>
      <c r="AG21">
        <f t="shared" si="11"/>
        <v>0.508756470593222</v>
      </c>
    </row>
    <row r="22" spans="1:33">
      <c r="A22" t="s">
        <v>112</v>
      </c>
      <c r="B22" s="20">
        <v>45498</v>
      </c>
      <c r="C22" s="2">
        <f t="shared" si="0"/>
        <v>7</v>
      </c>
      <c r="D22" s="21">
        <f t="shared" si="12"/>
        <v>45498</v>
      </c>
      <c r="E22" s="19" t="str">
        <f t="shared" si="1"/>
        <v>Quarter 3</v>
      </c>
      <c r="F22" s="19">
        <v>45497</v>
      </c>
      <c r="G22" s="19">
        <f t="shared" si="2"/>
        <v>45505</v>
      </c>
      <c r="H22" s="22">
        <f t="shared" si="3"/>
        <v>7</v>
      </c>
      <c r="I22" t="str">
        <f t="shared" si="4"/>
        <v>Ontime</v>
      </c>
      <c r="J22" t="s">
        <v>16</v>
      </c>
      <c r="K22" t="s">
        <v>17</v>
      </c>
      <c r="L22" t="s">
        <v>113</v>
      </c>
      <c r="M22" t="s">
        <v>39</v>
      </c>
      <c r="N22" t="s">
        <v>98</v>
      </c>
      <c r="O22" t="s">
        <v>29</v>
      </c>
      <c r="P22" t="s">
        <v>57</v>
      </c>
      <c r="Q22" t="s">
        <v>114</v>
      </c>
      <c r="R22" s="3">
        <v>1494.4</v>
      </c>
      <c r="S22" s="3">
        <v>3661.07</v>
      </c>
      <c r="T22" s="3">
        <f t="shared" si="5"/>
        <v>3661.07</v>
      </c>
      <c r="U22" s="3">
        <f>(1+'10. Whatif Control pannel'!$B$6)*T22</f>
        <v>4100.3984</v>
      </c>
      <c r="V22" s="3" t="str">
        <f t="shared" si="6"/>
        <v>High</v>
      </c>
      <c r="W22" s="34">
        <v>0.072</v>
      </c>
      <c r="X22" s="24" t="str">
        <f t="shared" si="7"/>
        <v>Okay</v>
      </c>
      <c r="Y22" s="36">
        <f>IF(W22&lt;=0.25,W22,'10. Whatif Control pannel'!$B$2)</f>
        <v>0.072</v>
      </c>
      <c r="Z22" s="24">
        <v>7</v>
      </c>
      <c r="AA22" s="13">
        <f>(1+'10. Whatif Control pannel'!$B$10)*Z22</f>
        <v>8.4</v>
      </c>
      <c r="AB22" s="3">
        <f t="shared" si="8"/>
        <v>23782.31072</v>
      </c>
      <c r="AC22" s="3">
        <f t="shared" si="13"/>
        <v>31963.42560768</v>
      </c>
      <c r="AD22" s="3">
        <f t="shared" si="9"/>
        <v>10460.8</v>
      </c>
      <c r="AE22" s="3">
        <f t="shared" si="10"/>
        <v>13321.51072</v>
      </c>
      <c r="AF22" s="3">
        <f t="shared" si="14"/>
        <v>21502.62560768</v>
      </c>
      <c r="AG22">
        <f t="shared" si="11"/>
        <v>0.560143666308973</v>
      </c>
    </row>
    <row r="23" spans="1:33">
      <c r="A23" t="s">
        <v>115</v>
      </c>
      <c r="B23" s="20">
        <v>45057</v>
      </c>
      <c r="C23" s="2">
        <f t="shared" si="0"/>
        <v>5</v>
      </c>
      <c r="D23" s="21">
        <f t="shared" si="12"/>
        <v>45057</v>
      </c>
      <c r="E23" s="19" t="str">
        <f t="shared" si="1"/>
        <v>Quarter 2</v>
      </c>
      <c r="F23" s="19">
        <v>45074</v>
      </c>
      <c r="G23" s="19">
        <f t="shared" si="2"/>
        <v>45074</v>
      </c>
      <c r="H23" s="22">
        <f t="shared" si="3"/>
        <v>17</v>
      </c>
      <c r="I23" t="str">
        <f t="shared" si="4"/>
        <v>Delayed </v>
      </c>
      <c r="J23" t="s">
        <v>45</v>
      </c>
      <c r="K23" t="s">
        <v>116</v>
      </c>
      <c r="L23" t="s">
        <v>117</v>
      </c>
      <c r="M23" t="s">
        <v>105</v>
      </c>
      <c r="N23" t="s">
        <v>40</v>
      </c>
      <c r="O23" t="s">
        <v>63</v>
      </c>
      <c r="P23" t="s">
        <v>35</v>
      </c>
      <c r="Q23" t="s">
        <v>118</v>
      </c>
      <c r="R23" s="3">
        <v>1331.19</v>
      </c>
      <c r="S23" s="3">
        <v>2903.09</v>
      </c>
      <c r="T23" s="3">
        <f t="shared" si="5"/>
        <v>2903.09</v>
      </c>
      <c r="U23" s="3">
        <f>(1+'10. Whatif Control pannel'!$B$6)*T23</f>
        <v>3251.4608</v>
      </c>
      <c r="V23" s="3" t="str">
        <f t="shared" si="6"/>
        <v>High</v>
      </c>
      <c r="W23" s="34">
        <v>0.143</v>
      </c>
      <c r="X23" s="24" t="str">
        <f t="shared" si="7"/>
        <v>Okay</v>
      </c>
      <c r="Y23" s="36">
        <f>IF(W23&lt;=0.25,W23,'10. Whatif Control pannel'!$B$2)</f>
        <v>0.143</v>
      </c>
      <c r="Z23" s="24">
        <v>8</v>
      </c>
      <c r="AA23" s="13">
        <f>(1+'10. Whatif Control pannel'!$B$10)*Z23</f>
        <v>9.6</v>
      </c>
      <c r="AB23" s="3">
        <f t="shared" si="8"/>
        <v>19903.58504</v>
      </c>
      <c r="AC23" s="3">
        <f t="shared" si="13"/>
        <v>26750.41829376</v>
      </c>
      <c r="AD23" s="3">
        <f t="shared" si="9"/>
        <v>10649.52</v>
      </c>
      <c r="AE23" s="3">
        <f t="shared" si="10"/>
        <v>9254.06504</v>
      </c>
      <c r="AF23" s="3">
        <f t="shared" si="14"/>
        <v>16100.89829376</v>
      </c>
      <c r="AG23">
        <f t="shared" si="11"/>
        <v>0.464944632909208</v>
      </c>
    </row>
    <row r="24" spans="1:33">
      <c r="A24" t="s">
        <v>119</v>
      </c>
      <c r="B24" s="20">
        <v>45822</v>
      </c>
      <c r="C24" s="2">
        <f t="shared" si="0"/>
        <v>6</v>
      </c>
      <c r="D24" s="21">
        <f t="shared" si="12"/>
        <v>45822</v>
      </c>
      <c r="E24" s="19" t="str">
        <f t="shared" si="1"/>
        <v>Quarter 2</v>
      </c>
      <c r="F24" s="19">
        <v>45837</v>
      </c>
      <c r="G24" s="19">
        <f t="shared" si="2"/>
        <v>45837</v>
      </c>
      <c r="H24" s="22">
        <f t="shared" si="3"/>
        <v>15</v>
      </c>
      <c r="I24" t="str">
        <f t="shared" si="4"/>
        <v>Delayed </v>
      </c>
      <c r="J24" t="s">
        <v>16</v>
      </c>
      <c r="K24" t="s">
        <v>25</v>
      </c>
      <c r="L24" t="s">
        <v>26</v>
      </c>
      <c r="M24" t="s">
        <v>48</v>
      </c>
      <c r="N24" t="s">
        <v>40</v>
      </c>
      <c r="O24" t="s">
        <v>110</v>
      </c>
      <c r="P24" t="s">
        <v>81</v>
      </c>
      <c r="Q24" t="s">
        <v>120</v>
      </c>
      <c r="R24" s="3">
        <v>730.99</v>
      </c>
      <c r="S24" s="3">
        <v>1242.84</v>
      </c>
      <c r="T24" s="3">
        <f t="shared" si="5"/>
        <v>1242.84</v>
      </c>
      <c r="U24" s="3">
        <f>(1+'10. Whatif Control pannel'!$B$6)*T24</f>
        <v>1391.9808</v>
      </c>
      <c r="V24" s="3" t="str">
        <f t="shared" si="6"/>
        <v>Medium</v>
      </c>
      <c r="W24" s="34">
        <v>0.12</v>
      </c>
      <c r="X24" s="24" t="str">
        <f t="shared" si="7"/>
        <v>Okay</v>
      </c>
      <c r="Y24" s="36">
        <f>IF(W24&lt;=0.25,W24,'10. Whatif Control pannel'!$B$2)</f>
        <v>0.12</v>
      </c>
      <c r="Z24" s="24">
        <v>10</v>
      </c>
      <c r="AA24" s="13">
        <f>(1+'10. Whatif Control pannel'!$B$10)*Z24</f>
        <v>12</v>
      </c>
      <c r="AB24" s="3">
        <f t="shared" si="8"/>
        <v>10936.992</v>
      </c>
      <c r="AC24" s="3">
        <f t="shared" si="13"/>
        <v>14699.317248</v>
      </c>
      <c r="AD24" s="3">
        <f t="shared" si="9"/>
        <v>7309.9</v>
      </c>
      <c r="AE24" s="3">
        <f t="shared" si="10"/>
        <v>3627.092</v>
      </c>
      <c r="AF24" s="3">
        <f t="shared" si="14"/>
        <v>7389.417248</v>
      </c>
      <c r="AG24">
        <f t="shared" si="11"/>
        <v>0.331635243035745</v>
      </c>
    </row>
    <row r="25" spans="1:33">
      <c r="A25" t="s">
        <v>121</v>
      </c>
      <c r="B25" s="20">
        <v>45430</v>
      </c>
      <c r="C25" s="2">
        <f t="shared" si="0"/>
        <v>5</v>
      </c>
      <c r="D25" s="21">
        <f t="shared" si="12"/>
        <v>45430</v>
      </c>
      <c r="E25" s="19" t="str">
        <f t="shared" si="1"/>
        <v>Quarter 2</v>
      </c>
      <c r="F25" s="19">
        <v>45435</v>
      </c>
      <c r="G25" s="19">
        <f t="shared" si="2"/>
        <v>45435</v>
      </c>
      <c r="H25" s="22">
        <f t="shared" si="3"/>
        <v>5</v>
      </c>
      <c r="I25" t="str">
        <f t="shared" si="4"/>
        <v>Ontime</v>
      </c>
      <c r="J25" t="s">
        <v>52</v>
      </c>
      <c r="K25" t="s">
        <v>122</v>
      </c>
      <c r="L25" t="s">
        <v>123</v>
      </c>
      <c r="M25" t="s">
        <v>105</v>
      </c>
      <c r="N25" t="s">
        <v>20</v>
      </c>
      <c r="O25" t="s">
        <v>92</v>
      </c>
      <c r="P25" t="s">
        <v>57</v>
      </c>
      <c r="Q25" t="s">
        <v>124</v>
      </c>
      <c r="R25" s="3">
        <v>1274.59</v>
      </c>
      <c r="S25" s="3">
        <v>2553.69</v>
      </c>
      <c r="T25" s="3">
        <f t="shared" si="5"/>
        <v>2553.69</v>
      </c>
      <c r="U25" s="3">
        <f>(1+'10. Whatif Control pannel'!$B$6)*T25</f>
        <v>2860.1328</v>
      </c>
      <c r="V25" s="3" t="str">
        <f t="shared" si="6"/>
        <v>High</v>
      </c>
      <c r="W25" s="34">
        <v>0.01</v>
      </c>
      <c r="X25" s="24" t="str">
        <f t="shared" si="7"/>
        <v>Okay</v>
      </c>
      <c r="Y25" s="36">
        <f>IF(W25&lt;=0.25,W25,'10. Whatif Control pannel'!$B$2)</f>
        <v>0.01</v>
      </c>
      <c r="Z25" s="24">
        <v>8</v>
      </c>
      <c r="AA25" s="13">
        <f>(1+'10. Whatif Control pannel'!$B$10)*Z25</f>
        <v>9.6</v>
      </c>
      <c r="AB25" s="3">
        <f t="shared" si="8"/>
        <v>20225.2248</v>
      </c>
      <c r="AC25" s="3">
        <f t="shared" si="13"/>
        <v>27182.7021312</v>
      </c>
      <c r="AD25" s="3">
        <f t="shared" si="9"/>
        <v>10196.72</v>
      </c>
      <c r="AE25" s="3">
        <f t="shared" si="10"/>
        <v>10028.5048</v>
      </c>
      <c r="AF25" s="3">
        <f t="shared" si="14"/>
        <v>16985.9821312</v>
      </c>
      <c r="AG25">
        <f t="shared" si="11"/>
        <v>0.495841450424818</v>
      </c>
    </row>
    <row r="26" spans="1:33">
      <c r="A26" t="s">
        <v>125</v>
      </c>
      <c r="B26" s="20">
        <v>44964</v>
      </c>
      <c r="C26" s="2">
        <f t="shared" si="0"/>
        <v>2</v>
      </c>
      <c r="D26" s="21">
        <f t="shared" si="12"/>
        <v>44964</v>
      </c>
      <c r="E26" s="19" t="str">
        <f t="shared" si="1"/>
        <v>Quarter 1</v>
      </c>
      <c r="F26" s="19">
        <v>44969</v>
      </c>
      <c r="G26" s="19">
        <f t="shared" si="2"/>
        <v>44969</v>
      </c>
      <c r="H26" s="22">
        <f t="shared" si="3"/>
        <v>5</v>
      </c>
      <c r="I26" t="str">
        <f t="shared" si="4"/>
        <v>Ontime</v>
      </c>
      <c r="J26" t="s">
        <v>52</v>
      </c>
      <c r="K26" t="s">
        <v>73</v>
      </c>
      <c r="L26" t="s">
        <v>74</v>
      </c>
      <c r="M26" t="s">
        <v>27</v>
      </c>
      <c r="N26" t="s">
        <v>28</v>
      </c>
      <c r="O26" t="s">
        <v>126</v>
      </c>
      <c r="P26" t="s">
        <v>22</v>
      </c>
      <c r="Q26" t="s">
        <v>127</v>
      </c>
      <c r="R26" s="3">
        <v>948.55</v>
      </c>
      <c r="S26" s="3">
        <v>2089.16</v>
      </c>
      <c r="T26" s="3">
        <f t="shared" si="5"/>
        <v>2089.16</v>
      </c>
      <c r="U26" s="3">
        <f>(1+'10. Whatif Control pannel'!$B$6)*T26</f>
        <v>2339.8592</v>
      </c>
      <c r="V26" s="3" t="str">
        <f t="shared" si="6"/>
        <v>High</v>
      </c>
      <c r="W26" s="34">
        <v>0.007</v>
      </c>
      <c r="X26" s="24" t="str">
        <f t="shared" si="7"/>
        <v>Okay</v>
      </c>
      <c r="Y26" s="36">
        <f>IF(W26&lt;=0.25,W26,'10. Whatif Control pannel'!$B$2)</f>
        <v>0.007</v>
      </c>
      <c r="Z26" s="24">
        <v>12</v>
      </c>
      <c r="AA26" s="13">
        <f>(1+'10. Whatif Control pannel'!$B$10)*Z26</f>
        <v>14.4</v>
      </c>
      <c r="AB26" s="3">
        <f t="shared" si="8"/>
        <v>24894.43056</v>
      </c>
      <c r="AC26" s="3">
        <f t="shared" si="13"/>
        <v>33458.11467264</v>
      </c>
      <c r="AD26" s="3">
        <f t="shared" si="9"/>
        <v>11382.6</v>
      </c>
      <c r="AE26" s="3">
        <f t="shared" si="10"/>
        <v>13511.83056</v>
      </c>
      <c r="AF26" s="3">
        <f t="shared" si="14"/>
        <v>22075.51467264</v>
      </c>
      <c r="AG26">
        <f t="shared" si="11"/>
        <v>0.542765199124924</v>
      </c>
    </row>
    <row r="27" spans="1:33">
      <c r="A27" t="s">
        <v>128</v>
      </c>
      <c r="B27" s="20">
        <v>45473</v>
      </c>
      <c r="C27" s="2">
        <f t="shared" si="0"/>
        <v>6</v>
      </c>
      <c r="D27" s="21">
        <f t="shared" si="12"/>
        <v>45473</v>
      </c>
      <c r="E27" s="19" t="str">
        <f t="shared" si="1"/>
        <v>Quarter 2</v>
      </c>
      <c r="F27" s="19">
        <v>45487</v>
      </c>
      <c r="G27" s="19">
        <f t="shared" si="2"/>
        <v>45487</v>
      </c>
      <c r="H27" s="22">
        <f t="shared" si="3"/>
        <v>14</v>
      </c>
      <c r="I27" t="str">
        <f t="shared" si="4"/>
        <v>Delayed </v>
      </c>
      <c r="J27" t="s">
        <v>52</v>
      </c>
      <c r="K27" t="s">
        <v>73</v>
      </c>
      <c r="L27" t="s">
        <v>87</v>
      </c>
      <c r="M27" t="s">
        <v>27</v>
      </c>
      <c r="N27" t="s">
        <v>20</v>
      </c>
      <c r="O27" t="s">
        <v>21</v>
      </c>
      <c r="P27" t="s">
        <v>81</v>
      </c>
      <c r="Q27" t="s">
        <v>129</v>
      </c>
      <c r="R27" s="3">
        <v>1491.85</v>
      </c>
      <c r="S27" s="3">
        <v>2583.02</v>
      </c>
      <c r="T27" s="3">
        <f t="shared" si="5"/>
        <v>2583.02</v>
      </c>
      <c r="U27" s="3">
        <f>(1+'10. Whatif Control pannel'!$B$6)*T27</f>
        <v>2892.9824</v>
      </c>
      <c r="V27" s="3" t="str">
        <f t="shared" si="6"/>
        <v>High</v>
      </c>
      <c r="W27" s="34">
        <v>0.168</v>
      </c>
      <c r="X27" s="24" t="str">
        <f t="shared" si="7"/>
        <v>Okay</v>
      </c>
      <c r="Y27" s="36">
        <f>IF(W27&lt;=0.25,W27,'10. Whatif Control pannel'!$B$2)</f>
        <v>0.168</v>
      </c>
      <c r="Z27" s="24">
        <v>4</v>
      </c>
      <c r="AA27" s="13">
        <f>(1+'10. Whatif Control pannel'!$B$10)*Z27</f>
        <v>4.8</v>
      </c>
      <c r="AB27" s="3">
        <f t="shared" si="8"/>
        <v>8596.29056</v>
      </c>
      <c r="AC27" s="3">
        <f t="shared" si="13"/>
        <v>11553.41451264</v>
      </c>
      <c r="AD27" s="3">
        <f t="shared" si="9"/>
        <v>5967.4</v>
      </c>
      <c r="AE27" s="3">
        <f t="shared" si="10"/>
        <v>2628.89056</v>
      </c>
      <c r="AF27" s="3">
        <f t="shared" si="14"/>
        <v>5586.01451264</v>
      </c>
      <c r="AG27">
        <f t="shared" si="11"/>
        <v>0.305816856893213</v>
      </c>
    </row>
    <row r="28" spans="1:33">
      <c r="A28" t="s">
        <v>130</v>
      </c>
      <c r="B28" s="20">
        <v>45626</v>
      </c>
      <c r="C28" s="2">
        <f t="shared" si="0"/>
        <v>11</v>
      </c>
      <c r="D28" s="21">
        <f t="shared" si="12"/>
        <v>45626</v>
      </c>
      <c r="E28" s="19" t="str">
        <f t="shared" si="1"/>
        <v>Quarter 4</v>
      </c>
      <c r="F28" s="19">
        <v>45656</v>
      </c>
      <c r="G28" s="19">
        <f t="shared" si="2"/>
        <v>45656</v>
      </c>
      <c r="H28" s="22">
        <f t="shared" si="3"/>
        <v>30</v>
      </c>
      <c r="I28" t="str">
        <f t="shared" si="4"/>
        <v>Delayed </v>
      </c>
      <c r="J28" t="s">
        <v>78</v>
      </c>
      <c r="K28" t="s">
        <v>90</v>
      </c>
      <c r="L28" t="s">
        <v>91</v>
      </c>
      <c r="M28" t="s">
        <v>48</v>
      </c>
      <c r="N28" t="s">
        <v>40</v>
      </c>
      <c r="O28" t="s">
        <v>84</v>
      </c>
      <c r="P28" t="s">
        <v>30</v>
      </c>
      <c r="Q28" t="s">
        <v>131</v>
      </c>
      <c r="R28" s="3">
        <v>117.64</v>
      </c>
      <c r="S28" s="3">
        <v>175.67</v>
      </c>
      <c r="T28" s="3">
        <f t="shared" si="5"/>
        <v>175.67</v>
      </c>
      <c r="U28" s="3">
        <f>(1+'10. Whatif Control pannel'!$B$6)*T28</f>
        <v>196.7504</v>
      </c>
      <c r="V28" s="3" t="str">
        <f t="shared" si="6"/>
        <v>Low</v>
      </c>
      <c r="W28" s="34">
        <v>0</v>
      </c>
      <c r="X28" s="24" t="str">
        <f t="shared" si="7"/>
        <v>Okay</v>
      </c>
      <c r="Y28" s="36">
        <f>IF(W28&lt;=0.25,W28,'10. Whatif Control pannel'!$B$2)</f>
        <v>0</v>
      </c>
      <c r="Z28" s="24">
        <v>10</v>
      </c>
      <c r="AA28" s="13">
        <f>(1+'10. Whatif Control pannel'!$B$10)*Z28</f>
        <v>12</v>
      </c>
      <c r="AB28" s="3">
        <f t="shared" si="8"/>
        <v>1756.7</v>
      </c>
      <c r="AC28" s="3">
        <f t="shared" si="13"/>
        <v>2361.0048</v>
      </c>
      <c r="AD28" s="3">
        <f t="shared" si="9"/>
        <v>1176.4</v>
      </c>
      <c r="AE28" s="3">
        <f t="shared" si="10"/>
        <v>580.3</v>
      </c>
      <c r="AF28" s="3">
        <f t="shared" si="14"/>
        <v>1184.6048</v>
      </c>
      <c r="AG28">
        <f t="shared" si="11"/>
        <v>0.33033528775545</v>
      </c>
    </row>
    <row r="29" spans="1:33">
      <c r="A29" t="s">
        <v>132</v>
      </c>
      <c r="B29" s="20">
        <v>45492</v>
      </c>
      <c r="C29" s="2">
        <f t="shared" si="0"/>
        <v>7</v>
      </c>
      <c r="D29" s="21">
        <f t="shared" si="12"/>
        <v>45492</v>
      </c>
      <c r="E29" s="19" t="str">
        <f t="shared" si="1"/>
        <v>Quarter 3</v>
      </c>
      <c r="F29" s="19">
        <v>45492</v>
      </c>
      <c r="G29" s="19">
        <f t="shared" si="2"/>
        <v>45492</v>
      </c>
      <c r="H29" s="22">
        <f t="shared" si="3"/>
        <v>0</v>
      </c>
      <c r="I29" t="str">
        <f t="shared" si="4"/>
        <v>Ontime</v>
      </c>
      <c r="J29" t="s">
        <v>16</v>
      </c>
      <c r="K29" t="s">
        <v>17</v>
      </c>
      <c r="L29" t="s">
        <v>18</v>
      </c>
      <c r="M29" t="s">
        <v>62</v>
      </c>
      <c r="N29" t="s">
        <v>20</v>
      </c>
      <c r="O29" t="s">
        <v>75</v>
      </c>
      <c r="P29" t="s">
        <v>42</v>
      </c>
      <c r="Q29" t="s">
        <v>133</v>
      </c>
      <c r="R29" s="3">
        <v>857.24</v>
      </c>
      <c r="S29" s="3">
        <v>758.23</v>
      </c>
      <c r="T29" s="3">
        <f t="shared" si="5"/>
        <v>758.23</v>
      </c>
      <c r="U29" s="3">
        <f>(1+'10. Whatif Control pannel'!$B$6)*T29</f>
        <v>849.2176</v>
      </c>
      <c r="V29" s="3" t="str">
        <f t="shared" si="6"/>
        <v>Low</v>
      </c>
      <c r="W29" s="34">
        <v>0.125</v>
      </c>
      <c r="X29" s="24" t="str">
        <f t="shared" si="7"/>
        <v>Okay</v>
      </c>
      <c r="Y29" s="36">
        <f>IF(W29&lt;=0.25,W29,'10. Whatif Control pannel'!$B$2)</f>
        <v>0.125</v>
      </c>
      <c r="Z29" s="24">
        <v>6</v>
      </c>
      <c r="AA29" s="13">
        <f>(1+'10. Whatif Control pannel'!$B$10)*Z29</f>
        <v>7.2</v>
      </c>
      <c r="AB29" s="3">
        <f t="shared" si="8"/>
        <v>3980.7075</v>
      </c>
      <c r="AC29" s="3">
        <f t="shared" si="13"/>
        <v>5350.07088</v>
      </c>
      <c r="AD29" s="3">
        <f t="shared" si="9"/>
        <v>5143.44</v>
      </c>
      <c r="AE29" s="3">
        <f t="shared" si="10"/>
        <v>-1162.7325</v>
      </c>
      <c r="AF29" s="3">
        <f t="shared" si="14"/>
        <v>206.63088</v>
      </c>
      <c r="AG29">
        <f t="shared" si="11"/>
        <v>-0.292091920845729</v>
      </c>
    </row>
    <row r="30" spans="1:33">
      <c r="A30" t="s">
        <v>134</v>
      </c>
      <c r="B30" s="20">
        <v>45030</v>
      </c>
      <c r="C30" s="2">
        <f t="shared" si="0"/>
        <v>4</v>
      </c>
      <c r="D30" s="21">
        <f t="shared" si="12"/>
        <v>45030</v>
      </c>
      <c r="E30" s="19" t="str">
        <f t="shared" si="1"/>
        <v>Quarter 2</v>
      </c>
      <c r="F30" s="19">
        <v>45060</v>
      </c>
      <c r="G30" s="19">
        <f t="shared" si="2"/>
        <v>45060</v>
      </c>
      <c r="H30" s="22">
        <f t="shared" si="3"/>
        <v>30</v>
      </c>
      <c r="I30" t="str">
        <f t="shared" si="4"/>
        <v>Delayed </v>
      </c>
      <c r="J30" t="s">
        <v>16</v>
      </c>
      <c r="K30" t="s">
        <v>17</v>
      </c>
      <c r="L30" t="s">
        <v>135</v>
      </c>
      <c r="M30" t="s">
        <v>48</v>
      </c>
      <c r="N30" t="s">
        <v>40</v>
      </c>
      <c r="O30" t="s">
        <v>110</v>
      </c>
      <c r="P30" t="s">
        <v>42</v>
      </c>
      <c r="Q30" t="s">
        <v>136</v>
      </c>
      <c r="R30" s="3">
        <v>209.25</v>
      </c>
      <c r="S30" s="3">
        <v>434.8</v>
      </c>
      <c r="T30" s="3">
        <f t="shared" si="5"/>
        <v>434.8</v>
      </c>
      <c r="U30" s="3">
        <f>(1+'10. Whatif Control pannel'!$B$6)*T30</f>
        <v>486.976</v>
      </c>
      <c r="V30" s="3" t="str">
        <f t="shared" si="6"/>
        <v>Low</v>
      </c>
      <c r="W30" s="34">
        <v>0</v>
      </c>
      <c r="X30" s="24" t="str">
        <f t="shared" si="7"/>
        <v>Okay</v>
      </c>
      <c r="Y30" s="36">
        <f>IF(W30&lt;=0.25,W30,'10. Whatif Control pannel'!$B$2)</f>
        <v>0</v>
      </c>
      <c r="Z30" s="24">
        <v>9</v>
      </c>
      <c r="AA30" s="13">
        <f>(1+'10. Whatif Control pannel'!$B$10)*Z30</f>
        <v>10.8</v>
      </c>
      <c r="AB30" s="3">
        <f t="shared" si="8"/>
        <v>3913.2</v>
      </c>
      <c r="AC30" s="3">
        <f t="shared" si="13"/>
        <v>5259.3408</v>
      </c>
      <c r="AD30" s="3">
        <f t="shared" si="9"/>
        <v>1883.25</v>
      </c>
      <c r="AE30" s="3">
        <f t="shared" si="10"/>
        <v>2029.95</v>
      </c>
      <c r="AF30" s="3">
        <f t="shared" si="14"/>
        <v>3376.0908</v>
      </c>
      <c r="AG30">
        <f t="shared" si="11"/>
        <v>0.518744250229991</v>
      </c>
    </row>
    <row r="31" spans="1:33">
      <c r="A31" t="s">
        <v>137</v>
      </c>
      <c r="B31" s="20">
        <v>45754</v>
      </c>
      <c r="C31" s="2">
        <f t="shared" si="0"/>
        <v>4</v>
      </c>
      <c r="D31" s="21">
        <f t="shared" si="12"/>
        <v>45754</v>
      </c>
      <c r="E31" s="19" t="str">
        <f t="shared" si="1"/>
        <v>Quarter 2</v>
      </c>
      <c r="F31" s="19">
        <v>45758</v>
      </c>
      <c r="G31" s="19">
        <f t="shared" si="2"/>
        <v>45758</v>
      </c>
      <c r="H31" s="22">
        <f t="shared" si="3"/>
        <v>4</v>
      </c>
      <c r="I31" t="str">
        <f t="shared" si="4"/>
        <v>Ontime</v>
      </c>
      <c r="J31" t="s">
        <v>78</v>
      </c>
      <c r="K31" t="s">
        <v>90</v>
      </c>
      <c r="L31" t="s">
        <v>138</v>
      </c>
      <c r="M31" t="s">
        <v>27</v>
      </c>
      <c r="N31" t="s">
        <v>20</v>
      </c>
      <c r="O31" t="s">
        <v>63</v>
      </c>
      <c r="P31" t="s">
        <v>35</v>
      </c>
      <c r="Q31" t="s">
        <v>139</v>
      </c>
      <c r="R31" s="3">
        <v>754.77</v>
      </c>
      <c r="S31" s="3">
        <v>1666.18</v>
      </c>
      <c r="T31" s="3">
        <f t="shared" si="5"/>
        <v>1666.18</v>
      </c>
      <c r="U31" s="3">
        <f>(1+'10. Whatif Control pannel'!$B$6)*T31</f>
        <v>1866.1216</v>
      </c>
      <c r="V31" s="3" t="str">
        <f t="shared" si="6"/>
        <v>High</v>
      </c>
      <c r="W31" s="34">
        <v>0.139</v>
      </c>
      <c r="X31" s="24" t="str">
        <f t="shared" si="7"/>
        <v>Okay</v>
      </c>
      <c r="Y31" s="36">
        <f>IF(W31&lt;=0.25,W31,'10. Whatif Control pannel'!$B$2)</f>
        <v>0.139</v>
      </c>
      <c r="Z31" s="24">
        <v>14</v>
      </c>
      <c r="AA31" s="13">
        <f>(1+'10. Whatif Control pannel'!$B$10)*Z31</f>
        <v>16.8</v>
      </c>
      <c r="AB31" s="3">
        <f t="shared" si="8"/>
        <v>20084.13372</v>
      </c>
      <c r="AC31" s="3">
        <f t="shared" si="13"/>
        <v>26993.07571968</v>
      </c>
      <c r="AD31" s="3">
        <f t="shared" si="9"/>
        <v>10566.78</v>
      </c>
      <c r="AE31" s="3">
        <f t="shared" si="10"/>
        <v>9517.35372</v>
      </c>
      <c r="AF31" s="3">
        <f t="shared" si="14"/>
        <v>16426.29571968</v>
      </c>
      <c r="AG31">
        <f t="shared" si="11"/>
        <v>0.473874245844247</v>
      </c>
    </row>
    <row r="32" spans="1:33">
      <c r="A32" t="s">
        <v>140</v>
      </c>
      <c r="B32" s="20">
        <v>45653</v>
      </c>
      <c r="C32" s="2">
        <f t="shared" si="0"/>
        <v>12</v>
      </c>
      <c r="D32" s="21">
        <f t="shared" si="12"/>
        <v>45653</v>
      </c>
      <c r="E32" s="19" t="str">
        <f t="shared" si="1"/>
        <v>Quarter 4</v>
      </c>
      <c r="F32" s="19">
        <v>45672</v>
      </c>
      <c r="G32" s="19">
        <f t="shared" si="2"/>
        <v>45672</v>
      </c>
      <c r="H32" s="22">
        <f t="shared" si="3"/>
        <v>19</v>
      </c>
      <c r="I32" t="str">
        <f t="shared" si="4"/>
        <v>Delayed </v>
      </c>
      <c r="J32" t="s">
        <v>45</v>
      </c>
      <c r="K32" t="s">
        <v>60</v>
      </c>
      <c r="L32" t="s">
        <v>141</v>
      </c>
      <c r="M32" t="s">
        <v>39</v>
      </c>
      <c r="N32" t="s">
        <v>55</v>
      </c>
      <c r="O32" t="s">
        <v>41</v>
      </c>
      <c r="P32" t="s">
        <v>22</v>
      </c>
      <c r="Q32" t="s">
        <v>142</v>
      </c>
      <c r="R32" s="3">
        <v>495.59</v>
      </c>
      <c r="S32" s="3">
        <v>631.78</v>
      </c>
      <c r="T32" s="3">
        <f t="shared" si="5"/>
        <v>631.78</v>
      </c>
      <c r="U32" s="3">
        <f>(1+'10. Whatif Control pannel'!$B$6)*T32</f>
        <v>707.5936</v>
      </c>
      <c r="V32" s="3" t="str">
        <f t="shared" si="6"/>
        <v>Low</v>
      </c>
      <c r="W32" s="34">
        <v>0.087</v>
      </c>
      <c r="X32" s="24" t="str">
        <f t="shared" si="7"/>
        <v>Okay</v>
      </c>
      <c r="Y32" s="36">
        <f>IF(W32&lt;=0.25,W32,'10. Whatif Control pannel'!$B$2)</f>
        <v>0.087</v>
      </c>
      <c r="Z32" s="24">
        <v>17</v>
      </c>
      <c r="AA32" s="13">
        <f>(1+'10. Whatif Control pannel'!$B$10)*Z32</f>
        <v>20.4</v>
      </c>
      <c r="AB32" s="3">
        <f t="shared" si="8"/>
        <v>9805.85738</v>
      </c>
      <c r="AC32" s="3">
        <f t="shared" si="13"/>
        <v>13179.07231872</v>
      </c>
      <c r="AD32" s="3">
        <f t="shared" si="9"/>
        <v>8425.03</v>
      </c>
      <c r="AE32" s="3">
        <f t="shared" si="10"/>
        <v>1380.82738</v>
      </c>
      <c r="AF32" s="3">
        <f t="shared" si="14"/>
        <v>4754.04231872</v>
      </c>
      <c r="AG32">
        <f t="shared" si="11"/>
        <v>0.140816588136019</v>
      </c>
    </row>
    <row r="33" spans="1:33">
      <c r="A33" t="s">
        <v>143</v>
      </c>
      <c r="B33" s="20">
        <v>44980</v>
      </c>
      <c r="C33" s="2">
        <f t="shared" si="0"/>
        <v>2</v>
      </c>
      <c r="D33" s="21">
        <f t="shared" si="12"/>
        <v>44980</v>
      </c>
      <c r="E33" s="19" t="str">
        <f t="shared" si="1"/>
        <v>Quarter 1</v>
      </c>
      <c r="F33" s="19">
        <v>45010</v>
      </c>
      <c r="G33" s="19">
        <f t="shared" si="2"/>
        <v>45010</v>
      </c>
      <c r="H33" s="22">
        <f t="shared" si="3"/>
        <v>30</v>
      </c>
      <c r="I33" t="str">
        <f t="shared" si="4"/>
        <v>Delayed </v>
      </c>
      <c r="J33" t="s">
        <v>52</v>
      </c>
      <c r="K33" t="s">
        <v>53</v>
      </c>
      <c r="L33" t="s">
        <v>144</v>
      </c>
      <c r="M33" t="s">
        <v>105</v>
      </c>
      <c r="N33" t="s">
        <v>28</v>
      </c>
      <c r="O33" t="s">
        <v>145</v>
      </c>
      <c r="P33" t="s">
        <v>42</v>
      </c>
      <c r="Q33" t="s">
        <v>146</v>
      </c>
      <c r="R33" s="3">
        <v>1242.66</v>
      </c>
      <c r="S33" s="3">
        <v>1794.07</v>
      </c>
      <c r="T33" s="3">
        <f t="shared" si="5"/>
        <v>1794.07</v>
      </c>
      <c r="U33" s="3">
        <f>(1+'10. Whatif Control pannel'!$B$6)*T33</f>
        <v>2009.3584</v>
      </c>
      <c r="V33" s="3" t="str">
        <f t="shared" si="6"/>
        <v>High</v>
      </c>
      <c r="W33" s="34">
        <v>0.089</v>
      </c>
      <c r="X33" s="24" t="str">
        <f t="shared" si="7"/>
        <v>Okay</v>
      </c>
      <c r="Y33" s="36">
        <f>IF(W33&lt;=0.25,W33,'10. Whatif Control pannel'!$B$2)</f>
        <v>0.089</v>
      </c>
      <c r="Z33" s="24">
        <v>16</v>
      </c>
      <c r="AA33" s="13">
        <f>(1+'10. Whatif Control pannel'!$B$10)*Z33</f>
        <v>19.2</v>
      </c>
      <c r="AB33" s="3">
        <f t="shared" si="8"/>
        <v>26150.36432</v>
      </c>
      <c r="AC33" s="3">
        <f t="shared" si="13"/>
        <v>35146.08964608</v>
      </c>
      <c r="AD33" s="3">
        <f t="shared" si="9"/>
        <v>19882.56</v>
      </c>
      <c r="AE33" s="3">
        <f t="shared" si="10"/>
        <v>6267.80432</v>
      </c>
      <c r="AF33" s="3">
        <f t="shared" si="14"/>
        <v>15263.52964608</v>
      </c>
      <c r="AG33">
        <f t="shared" si="11"/>
        <v>0.239683250424406</v>
      </c>
    </row>
    <row r="34" spans="1:33">
      <c r="A34" t="s">
        <v>147</v>
      </c>
      <c r="B34" s="20">
        <v>45862</v>
      </c>
      <c r="C34" s="2">
        <f t="shared" si="0"/>
        <v>7</v>
      </c>
      <c r="D34" s="21">
        <f t="shared" si="12"/>
        <v>45862</v>
      </c>
      <c r="E34" s="19" t="str">
        <f t="shared" si="1"/>
        <v>Quarter 3</v>
      </c>
      <c r="F34" s="19">
        <v>45875</v>
      </c>
      <c r="G34" s="19">
        <f t="shared" si="2"/>
        <v>45875</v>
      </c>
      <c r="H34" s="22">
        <f t="shared" si="3"/>
        <v>13</v>
      </c>
      <c r="I34" t="str">
        <f t="shared" si="4"/>
        <v>Delayed </v>
      </c>
      <c r="J34" t="s">
        <v>16</v>
      </c>
      <c r="K34" t="s">
        <v>148</v>
      </c>
      <c r="L34" t="s">
        <v>149</v>
      </c>
      <c r="M34" t="s">
        <v>27</v>
      </c>
      <c r="N34" t="s">
        <v>40</v>
      </c>
      <c r="O34" t="s">
        <v>145</v>
      </c>
      <c r="P34" t="s">
        <v>35</v>
      </c>
      <c r="Q34" t="s">
        <v>150</v>
      </c>
      <c r="R34" s="3">
        <v>1463.9</v>
      </c>
      <c r="S34" s="3">
        <v>2633.02</v>
      </c>
      <c r="T34" s="3">
        <f t="shared" si="5"/>
        <v>2633.02</v>
      </c>
      <c r="U34" s="3">
        <f>(1+'10. Whatif Control pannel'!$B$6)*T34</f>
        <v>2948.9824</v>
      </c>
      <c r="V34" s="3" t="str">
        <f t="shared" si="6"/>
        <v>High</v>
      </c>
      <c r="W34" s="34">
        <v>0.084</v>
      </c>
      <c r="X34" s="24" t="str">
        <f t="shared" si="7"/>
        <v>Okay</v>
      </c>
      <c r="Y34" s="36">
        <f>IF(W34&lt;=0.25,W34,'10. Whatif Control pannel'!$B$2)</f>
        <v>0.084</v>
      </c>
      <c r="Z34" s="24">
        <v>4</v>
      </c>
      <c r="AA34" s="13">
        <f>(1+'10. Whatif Control pannel'!$B$10)*Z34</f>
        <v>4.8</v>
      </c>
      <c r="AB34" s="3">
        <f t="shared" si="8"/>
        <v>9647.38528</v>
      </c>
      <c r="AC34" s="3">
        <f t="shared" si="13"/>
        <v>12966.08581632</v>
      </c>
      <c r="AD34" s="3">
        <f t="shared" si="9"/>
        <v>5855.6</v>
      </c>
      <c r="AE34" s="3">
        <f t="shared" si="10"/>
        <v>3791.78528</v>
      </c>
      <c r="AF34" s="3">
        <f t="shared" si="14"/>
        <v>7110.48581632</v>
      </c>
      <c r="AG34">
        <f t="shared" si="11"/>
        <v>0.393037612777915</v>
      </c>
    </row>
    <row r="35" spans="1:33">
      <c r="A35" t="s">
        <v>151</v>
      </c>
      <c r="B35" s="20">
        <v>45400</v>
      </c>
      <c r="C35" s="2">
        <f t="shared" si="0"/>
        <v>4</v>
      </c>
      <c r="D35" s="21">
        <f t="shared" si="12"/>
        <v>45400</v>
      </c>
      <c r="E35" s="19" t="str">
        <f t="shared" si="1"/>
        <v>Quarter 2</v>
      </c>
      <c r="F35" s="19">
        <v>45420</v>
      </c>
      <c r="G35" s="19">
        <f t="shared" si="2"/>
        <v>45420</v>
      </c>
      <c r="H35" s="22">
        <f t="shared" si="3"/>
        <v>20</v>
      </c>
      <c r="I35" t="str">
        <f t="shared" si="4"/>
        <v>Delayed </v>
      </c>
      <c r="J35" t="s">
        <v>78</v>
      </c>
      <c r="K35" t="s">
        <v>108</v>
      </c>
      <c r="L35" t="s">
        <v>152</v>
      </c>
      <c r="M35" t="s">
        <v>39</v>
      </c>
      <c r="N35" t="s">
        <v>1441</v>
      </c>
      <c r="O35" t="s">
        <v>145</v>
      </c>
      <c r="P35" t="s">
        <v>57</v>
      </c>
      <c r="Q35" t="s">
        <v>153</v>
      </c>
      <c r="R35" s="3">
        <v>645.33</v>
      </c>
      <c r="S35" s="3">
        <v>1321.85</v>
      </c>
      <c r="T35" s="3">
        <f t="shared" si="5"/>
        <v>1321.85</v>
      </c>
      <c r="U35" s="3">
        <f>(1+'10. Whatif Control pannel'!$B$6)*T35</f>
        <v>1480.472</v>
      </c>
      <c r="V35" s="3" t="str">
        <f t="shared" si="6"/>
        <v>Medium</v>
      </c>
      <c r="W35" s="34">
        <v>0</v>
      </c>
      <c r="X35" s="24" t="str">
        <f t="shared" si="7"/>
        <v>Okay</v>
      </c>
      <c r="Y35" s="36">
        <f>IF(W35&lt;=0.25,W35,'10. Whatif Control pannel'!$B$2)</f>
        <v>0</v>
      </c>
      <c r="Z35" s="24">
        <v>10</v>
      </c>
      <c r="AA35" s="13">
        <f>(1+'10. Whatif Control pannel'!$B$10)*Z35</f>
        <v>12</v>
      </c>
      <c r="AB35" s="3">
        <f t="shared" si="8"/>
        <v>13218.5</v>
      </c>
      <c r="AC35" s="3">
        <f t="shared" si="13"/>
        <v>17765.664</v>
      </c>
      <c r="AD35" s="3">
        <f t="shared" si="9"/>
        <v>6453.3</v>
      </c>
      <c r="AE35" s="3">
        <f t="shared" si="10"/>
        <v>6765.2</v>
      </c>
      <c r="AF35" s="3">
        <f t="shared" si="14"/>
        <v>11312.364</v>
      </c>
      <c r="AG35">
        <f t="shared" si="11"/>
        <v>0.511797859061164</v>
      </c>
    </row>
    <row r="36" spans="1:33">
      <c r="A36" t="s">
        <v>154</v>
      </c>
      <c r="B36" s="20">
        <v>45527</v>
      </c>
      <c r="C36" s="2">
        <f t="shared" si="0"/>
        <v>8</v>
      </c>
      <c r="D36" s="21">
        <f t="shared" si="12"/>
        <v>45527</v>
      </c>
      <c r="E36" s="19" t="str">
        <f t="shared" si="1"/>
        <v>Quarter 3</v>
      </c>
      <c r="F36" s="19">
        <v>45525</v>
      </c>
      <c r="G36" s="19">
        <f t="shared" si="2"/>
        <v>45534</v>
      </c>
      <c r="H36" s="22">
        <f t="shared" si="3"/>
        <v>7</v>
      </c>
      <c r="I36" t="str">
        <f t="shared" si="4"/>
        <v>Ontime</v>
      </c>
      <c r="J36" t="s">
        <v>16</v>
      </c>
      <c r="K36" t="s">
        <v>148</v>
      </c>
      <c r="L36" t="s">
        <v>149</v>
      </c>
      <c r="M36" t="s">
        <v>27</v>
      </c>
      <c r="N36" t="s">
        <v>20</v>
      </c>
      <c r="O36" t="s">
        <v>63</v>
      </c>
      <c r="P36" t="s">
        <v>22</v>
      </c>
      <c r="Q36" t="s">
        <v>155</v>
      </c>
      <c r="R36" s="3">
        <v>1432.52</v>
      </c>
      <c r="S36" s="3">
        <v>3036.87</v>
      </c>
      <c r="T36" s="3">
        <f t="shared" si="5"/>
        <v>3036.87</v>
      </c>
      <c r="U36" s="3">
        <f>(1+'10. Whatif Control pannel'!$B$6)*T36</f>
        <v>3401.2944</v>
      </c>
      <c r="V36" s="3" t="str">
        <f t="shared" si="6"/>
        <v>High</v>
      </c>
      <c r="W36" s="34">
        <v>0</v>
      </c>
      <c r="X36" s="24" t="str">
        <f t="shared" si="7"/>
        <v>Okay</v>
      </c>
      <c r="Y36" s="36">
        <f>IF(W36&lt;=0.25,W36,'10. Whatif Control pannel'!$B$2)</f>
        <v>0</v>
      </c>
      <c r="Z36" s="24">
        <v>9</v>
      </c>
      <c r="AA36" s="13">
        <f>(1+'10. Whatif Control pannel'!$B$10)*Z36</f>
        <v>10.8</v>
      </c>
      <c r="AB36" s="3">
        <f t="shared" si="8"/>
        <v>27331.83</v>
      </c>
      <c r="AC36" s="3">
        <f t="shared" si="13"/>
        <v>36733.97952</v>
      </c>
      <c r="AD36" s="3">
        <f t="shared" si="9"/>
        <v>12892.68</v>
      </c>
      <c r="AE36" s="3">
        <f t="shared" si="10"/>
        <v>14439.15</v>
      </c>
      <c r="AF36" s="3">
        <f t="shared" si="14"/>
        <v>23841.29952</v>
      </c>
      <c r="AG36">
        <f t="shared" si="11"/>
        <v>0.528290641351128</v>
      </c>
    </row>
    <row r="37" spans="1:33">
      <c r="A37" t="s">
        <v>156</v>
      </c>
      <c r="B37" s="20">
        <v>45012</v>
      </c>
      <c r="C37" s="2">
        <f t="shared" si="0"/>
        <v>3</v>
      </c>
      <c r="D37" s="21">
        <f t="shared" si="12"/>
        <v>45012</v>
      </c>
      <c r="E37" s="19" t="str">
        <f t="shared" si="1"/>
        <v>Quarter 1</v>
      </c>
      <c r="F37" s="19">
        <v>45038</v>
      </c>
      <c r="G37" s="19">
        <f t="shared" si="2"/>
        <v>45038</v>
      </c>
      <c r="H37" s="22">
        <f t="shared" si="3"/>
        <v>26</v>
      </c>
      <c r="I37" t="str">
        <f t="shared" si="4"/>
        <v>Delayed </v>
      </c>
      <c r="J37" t="s">
        <v>45</v>
      </c>
      <c r="K37" t="s">
        <v>60</v>
      </c>
      <c r="L37" t="s">
        <v>141</v>
      </c>
      <c r="M37" t="s">
        <v>39</v>
      </c>
      <c r="N37" t="s">
        <v>40</v>
      </c>
      <c r="O37" t="s">
        <v>29</v>
      </c>
      <c r="P37" t="s">
        <v>30</v>
      </c>
      <c r="Q37" t="s">
        <v>157</v>
      </c>
      <c r="R37" s="3">
        <v>178.53</v>
      </c>
      <c r="S37" s="3">
        <v>199.37</v>
      </c>
      <c r="T37" s="3">
        <f t="shared" si="5"/>
        <v>199.37</v>
      </c>
      <c r="U37" s="3">
        <f>(1+'10. Whatif Control pannel'!$B$6)*T37</f>
        <v>223.2944</v>
      </c>
      <c r="V37" s="3" t="str">
        <f t="shared" si="6"/>
        <v>Low</v>
      </c>
      <c r="W37" s="34">
        <v>0.101</v>
      </c>
      <c r="X37" s="24" t="str">
        <f t="shared" si="7"/>
        <v>Okay</v>
      </c>
      <c r="Y37" s="36">
        <f>IF(W37&lt;=0.25,W37,'10. Whatif Control pannel'!$B$2)</f>
        <v>0.101</v>
      </c>
      <c r="Z37" s="24">
        <v>37</v>
      </c>
      <c r="AA37" s="13">
        <f>(1+'10. Whatif Control pannel'!$B$10)*Z37</f>
        <v>44.4</v>
      </c>
      <c r="AB37" s="3">
        <f t="shared" si="8"/>
        <v>6631.64431</v>
      </c>
      <c r="AC37" s="3">
        <f t="shared" si="13"/>
        <v>8912.92995264</v>
      </c>
      <c r="AD37" s="3">
        <f t="shared" si="9"/>
        <v>6605.61</v>
      </c>
      <c r="AE37" s="3">
        <f t="shared" si="10"/>
        <v>26.0343100000009</v>
      </c>
      <c r="AF37" s="3">
        <f t="shared" si="14"/>
        <v>2307.31995264</v>
      </c>
      <c r="AG37">
        <f t="shared" si="11"/>
        <v>0.00392576995734575</v>
      </c>
    </row>
    <row r="38" spans="1:33">
      <c r="A38" t="s">
        <v>158</v>
      </c>
      <c r="B38" s="20">
        <v>45358</v>
      </c>
      <c r="C38" s="2">
        <f t="shared" si="0"/>
        <v>3</v>
      </c>
      <c r="D38" s="21">
        <f t="shared" si="12"/>
        <v>45358</v>
      </c>
      <c r="E38" s="19" t="str">
        <f t="shared" si="1"/>
        <v>Quarter 1</v>
      </c>
      <c r="F38" s="19">
        <v>45376</v>
      </c>
      <c r="G38" s="19">
        <f t="shared" si="2"/>
        <v>45376</v>
      </c>
      <c r="H38" s="22">
        <f t="shared" si="3"/>
        <v>18</v>
      </c>
      <c r="I38" t="str">
        <f t="shared" si="4"/>
        <v>Delayed </v>
      </c>
      <c r="J38" t="s">
        <v>78</v>
      </c>
      <c r="K38" t="s">
        <v>79</v>
      </c>
      <c r="L38" t="s">
        <v>159</v>
      </c>
      <c r="M38" t="s">
        <v>19</v>
      </c>
      <c r="N38" t="s">
        <v>28</v>
      </c>
      <c r="O38" t="s">
        <v>56</v>
      </c>
      <c r="P38" t="s">
        <v>22</v>
      </c>
      <c r="Q38" t="s">
        <v>160</v>
      </c>
      <c r="R38" s="3">
        <v>712.84</v>
      </c>
      <c r="S38" s="3">
        <v>927.51</v>
      </c>
      <c r="T38" s="3">
        <f t="shared" si="5"/>
        <v>927.51</v>
      </c>
      <c r="U38" s="3">
        <f>(1+'10. Whatif Control pannel'!$B$6)*T38</f>
        <v>1038.8112</v>
      </c>
      <c r="V38" s="3" t="str">
        <f t="shared" si="6"/>
        <v>Medium</v>
      </c>
      <c r="W38" s="34">
        <v>0.243</v>
      </c>
      <c r="X38" s="24" t="str">
        <f t="shared" si="7"/>
        <v>High Discount</v>
      </c>
      <c r="Y38" s="36">
        <f>IF(W38&lt;=0.25,W38,'10. Whatif Control pannel'!$B$2)</f>
        <v>0.243</v>
      </c>
      <c r="Z38" s="24">
        <v>27</v>
      </c>
      <c r="AA38" s="13">
        <f>(1+'10. Whatif Control pannel'!$B$10)*Z38</f>
        <v>32.4</v>
      </c>
      <c r="AB38" s="3">
        <f t="shared" si="8"/>
        <v>18957.37689</v>
      </c>
      <c r="AC38" s="3">
        <f t="shared" si="13"/>
        <v>25478.71454016</v>
      </c>
      <c r="AD38" s="3">
        <f t="shared" si="9"/>
        <v>19246.68</v>
      </c>
      <c r="AE38" s="3">
        <f t="shared" si="10"/>
        <v>-289.303110000001</v>
      </c>
      <c r="AF38" s="3">
        <f t="shared" si="14"/>
        <v>6232.03454016</v>
      </c>
      <c r="AG38">
        <f t="shared" si="11"/>
        <v>-0.0152607141630764</v>
      </c>
    </row>
    <row r="39" spans="1:33">
      <c r="A39" t="s">
        <v>161</v>
      </c>
      <c r="B39" s="20">
        <v>45832</v>
      </c>
      <c r="C39" s="2">
        <f t="shared" si="0"/>
        <v>6</v>
      </c>
      <c r="D39" s="21">
        <f t="shared" si="12"/>
        <v>45832</v>
      </c>
      <c r="E39" s="19" t="str">
        <f t="shared" si="1"/>
        <v>Quarter 2</v>
      </c>
      <c r="F39" s="19">
        <v>45848</v>
      </c>
      <c r="G39" s="19">
        <f t="shared" si="2"/>
        <v>45848</v>
      </c>
      <c r="H39" s="22">
        <f t="shared" si="3"/>
        <v>16</v>
      </c>
      <c r="I39" t="str">
        <f t="shared" si="4"/>
        <v>Delayed </v>
      </c>
      <c r="J39" t="s">
        <v>45</v>
      </c>
      <c r="K39" t="s">
        <v>116</v>
      </c>
      <c r="L39" t="s">
        <v>162</v>
      </c>
      <c r="M39" t="s">
        <v>105</v>
      </c>
      <c r="N39" t="s">
        <v>98</v>
      </c>
      <c r="O39" t="s">
        <v>126</v>
      </c>
      <c r="P39" t="s">
        <v>22</v>
      </c>
      <c r="Q39" t="s">
        <v>163</v>
      </c>
      <c r="R39" s="3">
        <v>757.19</v>
      </c>
      <c r="S39" s="3">
        <v>1735.41</v>
      </c>
      <c r="T39" s="3">
        <f t="shared" si="5"/>
        <v>1735.41</v>
      </c>
      <c r="U39" s="3">
        <f>(1+'10. Whatif Control pannel'!$B$6)*T39</f>
        <v>1943.6592</v>
      </c>
      <c r="V39" s="3" t="str">
        <f t="shared" si="6"/>
        <v>High</v>
      </c>
      <c r="W39" s="34">
        <v>0.136</v>
      </c>
      <c r="X39" s="24" t="str">
        <f t="shared" si="7"/>
        <v>Okay</v>
      </c>
      <c r="Y39" s="36">
        <f>IF(W39&lt;=0.25,W39,'10. Whatif Control pannel'!$B$2)</f>
        <v>0.136</v>
      </c>
      <c r="Z39" s="24">
        <v>8</v>
      </c>
      <c r="AA39" s="13">
        <f>(1+'10. Whatif Control pannel'!$B$10)*Z39</f>
        <v>9.6</v>
      </c>
      <c r="AB39" s="3">
        <f t="shared" si="8"/>
        <v>11995.15392</v>
      </c>
      <c r="AC39" s="3">
        <f t="shared" si="13"/>
        <v>16121.48686848</v>
      </c>
      <c r="AD39" s="3">
        <f t="shared" si="9"/>
        <v>6057.52</v>
      </c>
      <c r="AE39" s="3">
        <f t="shared" si="10"/>
        <v>5937.63392</v>
      </c>
      <c r="AF39" s="3">
        <f t="shared" si="14"/>
        <v>10063.96686848</v>
      </c>
      <c r="AG39">
        <f t="shared" si="11"/>
        <v>0.495002728568572</v>
      </c>
    </row>
    <row r="40" spans="1:33">
      <c r="A40" t="s">
        <v>164</v>
      </c>
      <c r="B40" s="20">
        <v>45401</v>
      </c>
      <c r="C40" s="2">
        <f t="shared" si="0"/>
        <v>4</v>
      </c>
      <c r="D40" s="21">
        <f t="shared" si="12"/>
        <v>45401</v>
      </c>
      <c r="E40" s="19" t="str">
        <f t="shared" si="1"/>
        <v>Quarter 2</v>
      </c>
      <c r="F40" s="19">
        <v>45418</v>
      </c>
      <c r="G40" s="19">
        <f t="shared" si="2"/>
        <v>45418</v>
      </c>
      <c r="H40" s="22">
        <f t="shared" si="3"/>
        <v>17</v>
      </c>
      <c r="I40" t="str">
        <f t="shared" si="4"/>
        <v>Delayed </v>
      </c>
      <c r="J40" t="s">
        <v>16</v>
      </c>
      <c r="K40" t="s">
        <v>25</v>
      </c>
      <c r="L40" t="s">
        <v>26</v>
      </c>
      <c r="M40" t="s">
        <v>39</v>
      </c>
      <c r="N40" t="s">
        <v>28</v>
      </c>
      <c r="O40" t="s">
        <v>75</v>
      </c>
      <c r="P40" t="s">
        <v>30</v>
      </c>
      <c r="Q40" t="s">
        <v>165</v>
      </c>
      <c r="R40" s="3">
        <v>865.33</v>
      </c>
      <c r="S40" s="3">
        <v>1395.64</v>
      </c>
      <c r="T40" s="3">
        <f t="shared" si="5"/>
        <v>1395.64</v>
      </c>
      <c r="U40" s="3">
        <f>(1+'10. Whatif Control pannel'!$B$6)*T40</f>
        <v>1563.1168</v>
      </c>
      <c r="V40" s="3" t="str">
        <f t="shared" si="6"/>
        <v>Medium</v>
      </c>
      <c r="W40" s="34">
        <v>0.175</v>
      </c>
      <c r="X40" s="24" t="str">
        <f t="shared" si="7"/>
        <v>Okay</v>
      </c>
      <c r="Y40" s="36">
        <f>IF(W40&lt;=0.25,W40,'10. Whatif Control pannel'!$B$2)</f>
        <v>0.175</v>
      </c>
      <c r="Z40" s="24">
        <v>13</v>
      </c>
      <c r="AA40" s="13">
        <f>(1+'10. Whatif Control pannel'!$B$10)*Z40</f>
        <v>15.6</v>
      </c>
      <c r="AB40" s="3">
        <f t="shared" si="8"/>
        <v>14968.239</v>
      </c>
      <c r="AC40" s="3">
        <f t="shared" si="13"/>
        <v>20117.313216</v>
      </c>
      <c r="AD40" s="3">
        <f t="shared" si="9"/>
        <v>11249.29</v>
      </c>
      <c r="AE40" s="3">
        <f t="shared" si="10"/>
        <v>3718.949</v>
      </c>
      <c r="AF40" s="3">
        <f t="shared" si="14"/>
        <v>8868.023216</v>
      </c>
      <c r="AG40">
        <f t="shared" si="11"/>
        <v>0.248456014097583</v>
      </c>
    </row>
    <row r="41" spans="1:33">
      <c r="A41" t="s">
        <v>166</v>
      </c>
      <c r="B41" s="20">
        <v>45094</v>
      </c>
      <c r="C41" s="2">
        <f t="shared" si="0"/>
        <v>6</v>
      </c>
      <c r="D41" s="21">
        <f t="shared" si="12"/>
        <v>45094</v>
      </c>
      <c r="E41" s="19" t="str">
        <f t="shared" si="1"/>
        <v>Quarter 2</v>
      </c>
      <c r="F41" s="19">
        <v>45101</v>
      </c>
      <c r="G41" s="19">
        <f t="shared" si="2"/>
        <v>45101</v>
      </c>
      <c r="H41" s="22">
        <f t="shared" si="3"/>
        <v>7</v>
      </c>
      <c r="I41" t="str">
        <f t="shared" si="4"/>
        <v>Ontime</v>
      </c>
      <c r="J41" t="s">
        <v>52</v>
      </c>
      <c r="K41" t="s">
        <v>122</v>
      </c>
      <c r="L41" t="s">
        <v>167</v>
      </c>
      <c r="M41" t="s">
        <v>19</v>
      </c>
      <c r="N41" t="s">
        <v>20</v>
      </c>
      <c r="O41" t="s">
        <v>34</v>
      </c>
      <c r="P41" t="s">
        <v>30</v>
      </c>
      <c r="Q41" t="s">
        <v>168</v>
      </c>
      <c r="R41" s="3">
        <v>313.99</v>
      </c>
      <c r="S41" s="3">
        <v>454.42</v>
      </c>
      <c r="T41" s="3">
        <f t="shared" si="5"/>
        <v>454.42</v>
      </c>
      <c r="U41" s="3">
        <f>(1+'10. Whatif Control pannel'!$B$6)*T41</f>
        <v>508.9504</v>
      </c>
      <c r="V41" s="3" t="str">
        <f t="shared" si="6"/>
        <v>Low</v>
      </c>
      <c r="W41" s="34">
        <v>0.129</v>
      </c>
      <c r="X41" s="24" t="str">
        <f t="shared" si="7"/>
        <v>Okay</v>
      </c>
      <c r="Y41" s="36">
        <f>IF(W41&lt;=0.25,W41,'10. Whatif Control pannel'!$B$2)</f>
        <v>0.129</v>
      </c>
      <c r="Z41" s="24">
        <v>9</v>
      </c>
      <c r="AA41" s="13">
        <f>(1+'10. Whatif Control pannel'!$B$10)*Z41</f>
        <v>10.8</v>
      </c>
      <c r="AB41" s="3">
        <f t="shared" si="8"/>
        <v>3562.19838</v>
      </c>
      <c r="AC41" s="3">
        <f t="shared" si="13"/>
        <v>4787.59462272</v>
      </c>
      <c r="AD41" s="3">
        <f t="shared" si="9"/>
        <v>2825.91</v>
      </c>
      <c r="AE41" s="3">
        <f t="shared" si="10"/>
        <v>736.28838</v>
      </c>
      <c r="AF41" s="3">
        <f t="shared" si="14"/>
        <v>1961.68462272</v>
      </c>
      <c r="AG41">
        <f t="shared" si="11"/>
        <v>0.206694939881479</v>
      </c>
    </row>
    <row r="42" spans="1:33">
      <c r="A42" t="s">
        <v>169</v>
      </c>
      <c r="B42" s="20">
        <v>45531</v>
      </c>
      <c r="C42" s="2">
        <f t="shared" si="0"/>
        <v>8</v>
      </c>
      <c r="D42" s="21">
        <f t="shared" si="12"/>
        <v>45531</v>
      </c>
      <c r="E42" s="19" t="str">
        <f t="shared" si="1"/>
        <v>Quarter 3</v>
      </c>
      <c r="F42" s="19">
        <v>45554</v>
      </c>
      <c r="G42" s="19">
        <f t="shared" si="2"/>
        <v>45554</v>
      </c>
      <c r="H42" s="22">
        <f t="shared" si="3"/>
        <v>23</v>
      </c>
      <c r="I42" t="str">
        <f t="shared" si="4"/>
        <v>Delayed </v>
      </c>
      <c r="J42" t="s">
        <v>78</v>
      </c>
      <c r="K42" t="s">
        <v>79</v>
      </c>
      <c r="L42" t="s">
        <v>80</v>
      </c>
      <c r="M42" t="s">
        <v>62</v>
      </c>
      <c r="N42" t="s">
        <v>98</v>
      </c>
      <c r="O42" t="s">
        <v>145</v>
      </c>
      <c r="P42" t="s">
        <v>64</v>
      </c>
      <c r="Q42" t="s">
        <v>170</v>
      </c>
      <c r="R42" s="3">
        <v>1024.01</v>
      </c>
      <c r="S42" s="3">
        <v>1580.97</v>
      </c>
      <c r="T42" s="3">
        <f t="shared" si="5"/>
        <v>1580.97</v>
      </c>
      <c r="U42" s="3">
        <f>(1+'10. Whatif Control pannel'!$B$6)*T42</f>
        <v>1770.6864</v>
      </c>
      <c r="V42" s="3" t="str">
        <f t="shared" si="6"/>
        <v>Medium</v>
      </c>
      <c r="W42" s="34">
        <v>0.037</v>
      </c>
      <c r="X42" s="24" t="str">
        <f t="shared" si="7"/>
        <v>Okay</v>
      </c>
      <c r="Y42" s="36">
        <f>IF(W42&lt;=0.25,W42,'10. Whatif Control pannel'!$B$2)</f>
        <v>0.037</v>
      </c>
      <c r="Z42" s="24">
        <v>27</v>
      </c>
      <c r="AA42" s="13">
        <f>(1+'10. Whatif Control pannel'!$B$10)*Z42</f>
        <v>32.4</v>
      </c>
      <c r="AB42" s="3">
        <f t="shared" si="8"/>
        <v>41106.80097</v>
      </c>
      <c r="AC42" s="3">
        <f t="shared" si="13"/>
        <v>55247.54050368</v>
      </c>
      <c r="AD42" s="3">
        <f t="shared" si="9"/>
        <v>27648.27</v>
      </c>
      <c r="AE42" s="3">
        <f t="shared" si="10"/>
        <v>13458.53097</v>
      </c>
      <c r="AF42" s="3">
        <f t="shared" si="14"/>
        <v>27599.27050368</v>
      </c>
      <c r="AG42">
        <f t="shared" si="11"/>
        <v>0.327403997694253</v>
      </c>
    </row>
    <row r="43" spans="1:33">
      <c r="A43" t="s">
        <v>171</v>
      </c>
      <c r="B43" s="20">
        <v>45302</v>
      </c>
      <c r="C43" s="2">
        <f t="shared" si="0"/>
        <v>1</v>
      </c>
      <c r="D43" s="21">
        <f t="shared" si="12"/>
        <v>45302</v>
      </c>
      <c r="E43" s="19" t="str">
        <f t="shared" si="1"/>
        <v>Quarter 1</v>
      </c>
      <c r="F43" s="19">
        <v>45324</v>
      </c>
      <c r="G43" s="19">
        <f t="shared" si="2"/>
        <v>45324</v>
      </c>
      <c r="H43" s="22">
        <f t="shared" si="3"/>
        <v>22</v>
      </c>
      <c r="I43" t="str">
        <f t="shared" si="4"/>
        <v>Delayed </v>
      </c>
      <c r="J43" t="s">
        <v>16</v>
      </c>
      <c r="K43" t="s">
        <v>148</v>
      </c>
      <c r="L43" t="s">
        <v>172</v>
      </c>
      <c r="M43" t="s">
        <v>48</v>
      </c>
      <c r="N43" t="s">
        <v>28</v>
      </c>
      <c r="O43" t="s">
        <v>95</v>
      </c>
      <c r="P43" t="s">
        <v>35</v>
      </c>
      <c r="Q43" t="s">
        <v>173</v>
      </c>
      <c r="R43" s="3">
        <v>1206.2</v>
      </c>
      <c r="S43" s="3">
        <v>1759.79</v>
      </c>
      <c r="T43" s="3">
        <f t="shared" si="5"/>
        <v>1759.79</v>
      </c>
      <c r="U43" s="3">
        <f>(1+'10. Whatif Control pannel'!$B$6)*T43</f>
        <v>1970.9648</v>
      </c>
      <c r="V43" s="3" t="str">
        <f t="shared" si="6"/>
        <v>High</v>
      </c>
      <c r="W43" s="34">
        <v>0</v>
      </c>
      <c r="X43" s="24" t="str">
        <f t="shared" si="7"/>
        <v>Okay</v>
      </c>
      <c r="Y43" s="36">
        <f>IF(W43&lt;=0.25,W43,'10. Whatif Control pannel'!$B$2)</f>
        <v>0</v>
      </c>
      <c r="Z43" s="24">
        <v>6</v>
      </c>
      <c r="AA43" s="13">
        <f>(1+'10. Whatif Control pannel'!$B$10)*Z43</f>
        <v>7.2</v>
      </c>
      <c r="AB43" s="3">
        <f t="shared" si="8"/>
        <v>10558.74</v>
      </c>
      <c r="AC43" s="3">
        <f t="shared" si="13"/>
        <v>14190.94656</v>
      </c>
      <c r="AD43" s="3">
        <f t="shared" si="9"/>
        <v>7237.2</v>
      </c>
      <c r="AE43" s="3">
        <f t="shared" si="10"/>
        <v>3321.54</v>
      </c>
      <c r="AF43" s="3">
        <f t="shared" si="14"/>
        <v>6953.74656</v>
      </c>
      <c r="AG43">
        <f t="shared" si="11"/>
        <v>0.314577307519647</v>
      </c>
    </row>
    <row r="44" spans="1:33">
      <c r="A44" t="s">
        <v>174</v>
      </c>
      <c r="B44" s="20">
        <v>45590</v>
      </c>
      <c r="C44" s="2">
        <f t="shared" si="0"/>
        <v>10</v>
      </c>
      <c r="D44" s="21">
        <f t="shared" si="12"/>
        <v>45590</v>
      </c>
      <c r="E44" s="19" t="str">
        <f t="shared" si="1"/>
        <v>Quarter 4</v>
      </c>
      <c r="F44" s="19">
        <v>45610</v>
      </c>
      <c r="G44" s="19">
        <f t="shared" si="2"/>
        <v>45610</v>
      </c>
      <c r="H44" s="22">
        <f t="shared" si="3"/>
        <v>20</v>
      </c>
      <c r="I44" t="str">
        <f t="shared" si="4"/>
        <v>Delayed </v>
      </c>
      <c r="J44" t="s">
        <v>16</v>
      </c>
      <c r="K44" t="s">
        <v>17</v>
      </c>
      <c r="L44" t="s">
        <v>113</v>
      </c>
      <c r="M44" t="s">
        <v>19</v>
      </c>
      <c r="N44" t="s">
        <v>98</v>
      </c>
      <c r="O44" t="s">
        <v>92</v>
      </c>
      <c r="P44" t="s">
        <v>30</v>
      </c>
      <c r="Q44" t="s">
        <v>175</v>
      </c>
      <c r="R44" s="3">
        <v>1396.48</v>
      </c>
      <c r="S44" s="3">
        <v>3204.5</v>
      </c>
      <c r="T44" s="3">
        <f t="shared" si="5"/>
        <v>3204.5</v>
      </c>
      <c r="U44" s="3">
        <f>(1+'10. Whatif Control pannel'!$B$6)*T44</f>
        <v>3589.04</v>
      </c>
      <c r="V44" s="3" t="str">
        <f t="shared" si="6"/>
        <v>High</v>
      </c>
      <c r="W44" s="34">
        <v>0.318</v>
      </c>
      <c r="X44" s="24" t="str">
        <f t="shared" si="7"/>
        <v>High Discount</v>
      </c>
      <c r="Y44" s="36">
        <f>IF(W44&lt;=0.25,W44,'10. Whatif Control pannel'!$B$2)</f>
        <v>0.23</v>
      </c>
      <c r="Z44" s="24">
        <v>14</v>
      </c>
      <c r="AA44" s="13">
        <f>(1+'10. Whatif Control pannel'!$B$10)*Z44</f>
        <v>16.8</v>
      </c>
      <c r="AB44" s="3">
        <f t="shared" si="8"/>
        <v>30596.566</v>
      </c>
      <c r="AC44" s="3">
        <f t="shared" si="13"/>
        <v>46427.82144</v>
      </c>
      <c r="AD44" s="3">
        <f t="shared" si="9"/>
        <v>19550.72</v>
      </c>
      <c r="AE44" s="3">
        <f t="shared" si="10"/>
        <v>11045.846</v>
      </c>
      <c r="AF44" s="3">
        <f t="shared" si="14"/>
        <v>26877.10144</v>
      </c>
      <c r="AG44">
        <f t="shared" si="11"/>
        <v>0.361015873480704</v>
      </c>
    </row>
    <row r="45" spans="1:33">
      <c r="A45" t="s">
        <v>176</v>
      </c>
      <c r="B45" s="20">
        <v>45806</v>
      </c>
      <c r="C45" s="2">
        <f t="shared" si="0"/>
        <v>5</v>
      </c>
      <c r="D45" s="21">
        <f t="shared" si="12"/>
        <v>45806</v>
      </c>
      <c r="E45" s="19" t="str">
        <f t="shared" si="1"/>
        <v>Quarter 2</v>
      </c>
      <c r="F45" s="19">
        <v>45828</v>
      </c>
      <c r="G45" s="19">
        <f t="shared" si="2"/>
        <v>45828</v>
      </c>
      <c r="H45" s="22">
        <f t="shared" si="3"/>
        <v>22</v>
      </c>
      <c r="I45" t="str">
        <f t="shared" si="4"/>
        <v>Delayed </v>
      </c>
      <c r="J45" t="s">
        <v>78</v>
      </c>
      <c r="K45" t="s">
        <v>79</v>
      </c>
      <c r="L45" t="s">
        <v>80</v>
      </c>
      <c r="M45" t="s">
        <v>19</v>
      </c>
      <c r="N45" t="s">
        <v>98</v>
      </c>
      <c r="O45" t="s">
        <v>75</v>
      </c>
      <c r="P45" t="s">
        <v>30</v>
      </c>
      <c r="Q45" t="s">
        <v>177</v>
      </c>
      <c r="R45" s="3">
        <v>483.47</v>
      </c>
      <c r="S45" s="3">
        <v>1135.43</v>
      </c>
      <c r="T45" s="3">
        <f t="shared" si="5"/>
        <v>1135.43</v>
      </c>
      <c r="U45" s="3">
        <f>(1+'10. Whatif Control pannel'!$B$6)*T45</f>
        <v>1271.6816</v>
      </c>
      <c r="V45" s="3" t="str">
        <f t="shared" si="6"/>
        <v>Medium</v>
      </c>
      <c r="W45" s="34">
        <v>0.146</v>
      </c>
      <c r="X45" s="24" t="str">
        <f t="shared" si="7"/>
        <v>Okay</v>
      </c>
      <c r="Y45" s="36">
        <f>IF(W45&lt;=0.25,W45,'10. Whatif Control pannel'!$B$2)</f>
        <v>0.146</v>
      </c>
      <c r="Z45" s="24">
        <v>11</v>
      </c>
      <c r="AA45" s="13">
        <f>(1+'10. Whatif Control pannel'!$B$10)*Z45</f>
        <v>13.2</v>
      </c>
      <c r="AB45" s="3">
        <f t="shared" si="8"/>
        <v>10666.22942</v>
      </c>
      <c r="AC45" s="3">
        <f t="shared" si="13"/>
        <v>14335.41234048</v>
      </c>
      <c r="AD45" s="3">
        <f t="shared" si="9"/>
        <v>5318.17</v>
      </c>
      <c r="AE45" s="3">
        <f t="shared" si="10"/>
        <v>5348.05942</v>
      </c>
      <c r="AF45" s="3">
        <f t="shared" si="14"/>
        <v>9017.24234048</v>
      </c>
      <c r="AG45">
        <f t="shared" si="11"/>
        <v>0.5014011239972</v>
      </c>
    </row>
    <row r="46" spans="1:33">
      <c r="A46" t="s">
        <v>178</v>
      </c>
      <c r="B46" s="20">
        <v>45432</v>
      </c>
      <c r="C46" s="2">
        <f t="shared" si="0"/>
        <v>5</v>
      </c>
      <c r="D46" s="21">
        <f t="shared" si="12"/>
        <v>45432</v>
      </c>
      <c r="E46" s="19" t="str">
        <f t="shared" si="1"/>
        <v>Quarter 2</v>
      </c>
      <c r="F46" s="19">
        <v>45445</v>
      </c>
      <c r="G46" s="19">
        <f t="shared" si="2"/>
        <v>45445</v>
      </c>
      <c r="H46" s="22">
        <f t="shared" si="3"/>
        <v>13</v>
      </c>
      <c r="I46" t="str">
        <f t="shared" si="4"/>
        <v>Delayed </v>
      </c>
      <c r="J46" t="s">
        <v>52</v>
      </c>
      <c r="K46" t="s">
        <v>53</v>
      </c>
      <c r="L46" t="s">
        <v>179</v>
      </c>
      <c r="M46" t="s">
        <v>105</v>
      </c>
      <c r="N46" t="s">
        <v>40</v>
      </c>
      <c r="O46" t="s">
        <v>95</v>
      </c>
      <c r="P46" t="s">
        <v>22</v>
      </c>
      <c r="Q46" t="s">
        <v>180</v>
      </c>
      <c r="R46" s="3">
        <v>675.43</v>
      </c>
      <c r="S46" s="3">
        <v>996.36</v>
      </c>
      <c r="T46" s="3">
        <f t="shared" si="5"/>
        <v>996.36</v>
      </c>
      <c r="U46" s="3">
        <f>(1+'10. Whatif Control pannel'!$B$6)*T46</f>
        <v>1115.9232</v>
      </c>
      <c r="V46" s="3" t="str">
        <f t="shared" si="6"/>
        <v>Medium</v>
      </c>
      <c r="W46" s="34">
        <v>0.182</v>
      </c>
      <c r="X46" s="24" t="str">
        <f t="shared" si="7"/>
        <v>Okay</v>
      </c>
      <c r="Y46" s="36">
        <f>IF(W46&lt;=0.25,W46,'10. Whatif Control pannel'!$B$2)</f>
        <v>0.182</v>
      </c>
      <c r="Z46" s="24">
        <v>22</v>
      </c>
      <c r="AA46" s="13">
        <f>(1+'10. Whatif Control pannel'!$B$10)*Z46</f>
        <v>26.4</v>
      </c>
      <c r="AB46" s="3">
        <f t="shared" si="8"/>
        <v>17930.49456</v>
      </c>
      <c r="AC46" s="3">
        <f t="shared" si="13"/>
        <v>24098.58468864</v>
      </c>
      <c r="AD46" s="3">
        <f t="shared" si="9"/>
        <v>14859.46</v>
      </c>
      <c r="AE46" s="3">
        <f t="shared" si="10"/>
        <v>3071.03456</v>
      </c>
      <c r="AF46" s="3">
        <f t="shared" si="14"/>
        <v>9239.12468864</v>
      </c>
      <c r="AG46">
        <f t="shared" si="11"/>
        <v>0.171274392333326</v>
      </c>
    </row>
    <row r="47" spans="1:33">
      <c r="A47" t="s">
        <v>181</v>
      </c>
      <c r="B47" s="20">
        <v>45035</v>
      </c>
      <c r="C47" s="2">
        <f t="shared" si="0"/>
        <v>4</v>
      </c>
      <c r="D47" s="21">
        <f t="shared" si="12"/>
        <v>45035</v>
      </c>
      <c r="E47" s="19" t="str">
        <f t="shared" si="1"/>
        <v>Quarter 2</v>
      </c>
      <c r="F47" s="19">
        <v>45046</v>
      </c>
      <c r="G47" s="19">
        <f t="shared" si="2"/>
        <v>45046</v>
      </c>
      <c r="H47" s="22">
        <f t="shared" si="3"/>
        <v>11</v>
      </c>
      <c r="I47" t="str">
        <f t="shared" si="4"/>
        <v>Delayed </v>
      </c>
      <c r="J47" t="s">
        <v>45</v>
      </c>
      <c r="K47" t="s">
        <v>60</v>
      </c>
      <c r="L47" t="s">
        <v>141</v>
      </c>
      <c r="M47" t="s">
        <v>62</v>
      </c>
      <c r="N47" t="s">
        <v>20</v>
      </c>
      <c r="O47" t="s">
        <v>75</v>
      </c>
      <c r="P47" t="s">
        <v>35</v>
      </c>
      <c r="Q47" t="s">
        <v>182</v>
      </c>
      <c r="R47" s="3">
        <v>826.55</v>
      </c>
      <c r="S47" s="3">
        <v>1397.05</v>
      </c>
      <c r="T47" s="3">
        <f t="shared" si="5"/>
        <v>1397.05</v>
      </c>
      <c r="U47" s="3">
        <f>(1+'10. Whatif Control pannel'!$B$6)*T47</f>
        <v>1564.696</v>
      </c>
      <c r="V47" s="3" t="str">
        <f t="shared" si="6"/>
        <v>Medium</v>
      </c>
      <c r="W47" s="34">
        <v>0.169</v>
      </c>
      <c r="X47" s="24" t="str">
        <f t="shared" si="7"/>
        <v>Okay</v>
      </c>
      <c r="Y47" s="36">
        <f>IF(W47&lt;=0.25,W47,'10. Whatif Control pannel'!$B$2)</f>
        <v>0.169</v>
      </c>
      <c r="Z47" s="24">
        <v>28</v>
      </c>
      <c r="AA47" s="13">
        <f>(1+'10. Whatif Control pannel'!$B$10)*Z47</f>
        <v>33.6</v>
      </c>
      <c r="AB47" s="3">
        <f t="shared" si="8"/>
        <v>32506.5594</v>
      </c>
      <c r="AC47" s="3">
        <f t="shared" si="13"/>
        <v>43688.8158336</v>
      </c>
      <c r="AD47" s="3">
        <f t="shared" si="9"/>
        <v>23143.4</v>
      </c>
      <c r="AE47" s="3">
        <f t="shared" si="10"/>
        <v>9363.1594</v>
      </c>
      <c r="AF47" s="3">
        <f t="shared" si="14"/>
        <v>20545.4158336</v>
      </c>
      <c r="AG47">
        <f t="shared" si="11"/>
        <v>0.288039078045276</v>
      </c>
    </row>
    <row r="48" spans="1:33">
      <c r="A48" t="s">
        <v>183</v>
      </c>
      <c r="B48" s="20">
        <v>45100</v>
      </c>
      <c r="C48" s="2">
        <f t="shared" si="0"/>
        <v>6</v>
      </c>
      <c r="D48" s="21">
        <f t="shared" si="12"/>
        <v>45100</v>
      </c>
      <c r="E48" s="19" t="str">
        <f t="shared" si="1"/>
        <v>Quarter 2</v>
      </c>
      <c r="F48" s="19">
        <v>45110</v>
      </c>
      <c r="G48" s="19">
        <f t="shared" si="2"/>
        <v>45110</v>
      </c>
      <c r="H48" s="22">
        <f t="shared" si="3"/>
        <v>10</v>
      </c>
      <c r="I48" t="str">
        <f t="shared" si="4"/>
        <v>Delayed </v>
      </c>
      <c r="J48" t="s">
        <v>16</v>
      </c>
      <c r="K48" t="s">
        <v>25</v>
      </c>
      <c r="L48" t="s">
        <v>67</v>
      </c>
      <c r="M48" t="s">
        <v>48</v>
      </c>
      <c r="N48" t="s">
        <v>28</v>
      </c>
      <c r="O48" t="s">
        <v>29</v>
      </c>
      <c r="P48" t="s">
        <v>30</v>
      </c>
      <c r="Q48" t="s">
        <v>184</v>
      </c>
      <c r="R48" s="3">
        <v>337.75</v>
      </c>
      <c r="S48" s="3">
        <v>548.89</v>
      </c>
      <c r="T48" s="3">
        <f t="shared" si="5"/>
        <v>548.89</v>
      </c>
      <c r="U48" s="3">
        <f>(1+'10. Whatif Control pannel'!$B$6)*T48</f>
        <v>614.7568</v>
      </c>
      <c r="V48" s="3" t="str">
        <f t="shared" si="6"/>
        <v>Low</v>
      </c>
      <c r="W48" s="34">
        <v>0</v>
      </c>
      <c r="X48" s="24" t="str">
        <f t="shared" si="7"/>
        <v>Okay</v>
      </c>
      <c r="Y48" s="36">
        <f>IF(W48&lt;=0.25,W48,'10. Whatif Control pannel'!$B$2)</f>
        <v>0</v>
      </c>
      <c r="Z48" s="24">
        <v>13</v>
      </c>
      <c r="AA48" s="13">
        <f>(1+'10. Whatif Control pannel'!$B$10)*Z48</f>
        <v>15.6</v>
      </c>
      <c r="AB48" s="3">
        <f t="shared" si="8"/>
        <v>7135.57</v>
      </c>
      <c r="AC48" s="3">
        <f t="shared" si="13"/>
        <v>9590.20608</v>
      </c>
      <c r="AD48" s="3">
        <f t="shared" si="9"/>
        <v>4390.75</v>
      </c>
      <c r="AE48" s="3">
        <f t="shared" si="10"/>
        <v>2744.82</v>
      </c>
      <c r="AF48" s="3">
        <f t="shared" si="14"/>
        <v>5199.45608</v>
      </c>
      <c r="AG48">
        <f t="shared" si="11"/>
        <v>0.384667237515714</v>
      </c>
    </row>
    <row r="49" spans="1:33">
      <c r="A49" t="s">
        <v>185</v>
      </c>
      <c r="B49" s="20">
        <v>45426</v>
      </c>
      <c r="C49" s="2">
        <f t="shared" si="0"/>
        <v>5</v>
      </c>
      <c r="D49" s="21">
        <f t="shared" si="12"/>
        <v>45426</v>
      </c>
      <c r="E49" s="19" t="str">
        <f t="shared" si="1"/>
        <v>Quarter 2</v>
      </c>
      <c r="F49" s="19">
        <v>45440</v>
      </c>
      <c r="G49" s="19">
        <f t="shared" si="2"/>
        <v>45440</v>
      </c>
      <c r="H49" s="22">
        <f t="shared" si="3"/>
        <v>14</v>
      </c>
      <c r="I49" t="str">
        <f t="shared" si="4"/>
        <v>Delayed </v>
      </c>
      <c r="J49" t="s">
        <v>78</v>
      </c>
      <c r="K49" t="s">
        <v>108</v>
      </c>
      <c r="L49" t="s">
        <v>109</v>
      </c>
      <c r="M49" t="s">
        <v>48</v>
      </c>
      <c r="N49" t="s">
        <v>20</v>
      </c>
      <c r="O49" t="s">
        <v>56</v>
      </c>
      <c r="P49" t="s">
        <v>35</v>
      </c>
      <c r="Q49" t="s">
        <v>186</v>
      </c>
      <c r="R49" s="3">
        <v>1421.14</v>
      </c>
      <c r="S49" s="3">
        <v>3524</v>
      </c>
      <c r="T49" s="3">
        <f t="shared" si="5"/>
        <v>3524</v>
      </c>
      <c r="U49" s="3">
        <f>(1+'10. Whatif Control pannel'!$B$6)*T49</f>
        <v>3946.88</v>
      </c>
      <c r="V49" s="3" t="str">
        <f t="shared" si="6"/>
        <v>High</v>
      </c>
      <c r="W49" s="34">
        <v>0</v>
      </c>
      <c r="X49" s="24" t="str">
        <f t="shared" si="7"/>
        <v>Okay</v>
      </c>
      <c r="Y49" s="36">
        <f>IF(W49&lt;=0.25,W49,'10. Whatif Control pannel'!$B$2)</f>
        <v>0</v>
      </c>
      <c r="Z49" s="24">
        <v>31</v>
      </c>
      <c r="AA49" s="13">
        <f>(1+'10. Whatif Control pannel'!$B$10)*Z49</f>
        <v>37.2</v>
      </c>
      <c r="AB49" s="3">
        <f t="shared" si="8"/>
        <v>109244</v>
      </c>
      <c r="AC49" s="3">
        <f t="shared" si="13"/>
        <v>146823.936</v>
      </c>
      <c r="AD49" s="3">
        <f t="shared" si="9"/>
        <v>44055.34</v>
      </c>
      <c r="AE49" s="3">
        <f t="shared" si="10"/>
        <v>65188.66</v>
      </c>
      <c r="AF49" s="3">
        <f t="shared" si="14"/>
        <v>102768.596</v>
      </c>
      <c r="AG49">
        <f t="shared" si="11"/>
        <v>0.596725312145289</v>
      </c>
    </row>
    <row r="50" spans="1:33">
      <c r="A50" t="s">
        <v>187</v>
      </c>
      <c r="B50" s="20">
        <v>45579</v>
      </c>
      <c r="C50" s="2">
        <f t="shared" si="0"/>
        <v>10</v>
      </c>
      <c r="D50" s="21">
        <f t="shared" si="12"/>
        <v>45579</v>
      </c>
      <c r="E50" s="19" t="str">
        <f t="shared" si="1"/>
        <v>Quarter 4</v>
      </c>
      <c r="F50" s="19">
        <v>45604</v>
      </c>
      <c r="G50" s="19">
        <f t="shared" si="2"/>
        <v>45604</v>
      </c>
      <c r="H50" s="22">
        <f t="shared" si="3"/>
        <v>25</v>
      </c>
      <c r="I50" t="str">
        <f t="shared" si="4"/>
        <v>Delayed </v>
      </c>
      <c r="J50" t="s">
        <v>16</v>
      </c>
      <c r="K50" t="s">
        <v>25</v>
      </c>
      <c r="L50" t="s">
        <v>38</v>
      </c>
      <c r="M50" t="s">
        <v>105</v>
      </c>
      <c r="N50" t="s">
        <v>28</v>
      </c>
      <c r="O50" t="s">
        <v>68</v>
      </c>
      <c r="P50" t="s">
        <v>35</v>
      </c>
      <c r="Q50" t="s">
        <v>188</v>
      </c>
      <c r="R50" s="3">
        <v>859.35</v>
      </c>
      <c r="S50" s="3">
        <v>1825.61</v>
      </c>
      <c r="T50" s="3">
        <f t="shared" si="5"/>
        <v>1825.61</v>
      </c>
      <c r="U50" s="3">
        <f>(1+'10. Whatif Control pannel'!$B$6)*T50</f>
        <v>2044.6832</v>
      </c>
      <c r="V50" s="3" t="str">
        <f t="shared" si="6"/>
        <v>High</v>
      </c>
      <c r="W50" s="34">
        <v>0.187</v>
      </c>
      <c r="X50" s="24" t="str">
        <f t="shared" si="7"/>
        <v>Okay</v>
      </c>
      <c r="Y50" s="36">
        <f>IF(W50&lt;=0.25,W50,'10. Whatif Control pannel'!$B$2)</f>
        <v>0.187</v>
      </c>
      <c r="Z50" s="24">
        <v>24</v>
      </c>
      <c r="AA50" s="13">
        <f>(1+'10. Whatif Control pannel'!$B$10)*Z50</f>
        <v>28.8</v>
      </c>
      <c r="AB50" s="3">
        <f t="shared" si="8"/>
        <v>35621.30232</v>
      </c>
      <c r="AC50" s="3">
        <f t="shared" si="13"/>
        <v>47875.03031808</v>
      </c>
      <c r="AD50" s="3">
        <f t="shared" si="9"/>
        <v>20624.4</v>
      </c>
      <c r="AE50" s="3">
        <f t="shared" si="10"/>
        <v>14996.90232</v>
      </c>
      <c r="AF50" s="3">
        <f t="shared" si="14"/>
        <v>27250.63031808</v>
      </c>
      <c r="AG50">
        <f t="shared" si="11"/>
        <v>0.42100937762682</v>
      </c>
    </row>
    <row r="51" spans="1:33">
      <c r="A51" t="s">
        <v>189</v>
      </c>
      <c r="B51" s="20">
        <v>45117</v>
      </c>
      <c r="C51" s="2">
        <f t="shared" si="0"/>
        <v>7</v>
      </c>
      <c r="D51" s="21">
        <f t="shared" si="12"/>
        <v>45117</v>
      </c>
      <c r="E51" s="19" t="str">
        <f t="shared" si="1"/>
        <v>Quarter 3</v>
      </c>
      <c r="F51" s="19">
        <v>45139</v>
      </c>
      <c r="G51" s="19">
        <f t="shared" si="2"/>
        <v>45139</v>
      </c>
      <c r="H51" s="22">
        <f t="shared" si="3"/>
        <v>22</v>
      </c>
      <c r="I51" t="str">
        <f t="shared" si="4"/>
        <v>Delayed </v>
      </c>
      <c r="J51" t="s">
        <v>78</v>
      </c>
      <c r="K51" t="s">
        <v>90</v>
      </c>
      <c r="L51" t="s">
        <v>91</v>
      </c>
      <c r="M51" t="s">
        <v>48</v>
      </c>
      <c r="N51" t="s">
        <v>40</v>
      </c>
      <c r="O51" t="s">
        <v>56</v>
      </c>
      <c r="P51" t="s">
        <v>30</v>
      </c>
      <c r="Q51" t="s">
        <v>190</v>
      </c>
      <c r="R51" s="3">
        <v>1303.56</v>
      </c>
      <c r="S51" s="3">
        <v>1791.37</v>
      </c>
      <c r="T51" s="3">
        <f t="shared" si="5"/>
        <v>1791.37</v>
      </c>
      <c r="U51" s="3">
        <f>(1+'10. Whatif Control pannel'!$B$6)*T51</f>
        <v>2006.3344</v>
      </c>
      <c r="V51" s="3" t="str">
        <f t="shared" si="6"/>
        <v>High</v>
      </c>
      <c r="W51" s="34">
        <v>0.126</v>
      </c>
      <c r="X51" s="24" t="str">
        <f t="shared" si="7"/>
        <v>Okay</v>
      </c>
      <c r="Y51" s="36">
        <f>IF(W51&lt;=0.25,W51,'10. Whatif Control pannel'!$B$2)</f>
        <v>0.126</v>
      </c>
      <c r="Z51" s="24">
        <v>22</v>
      </c>
      <c r="AA51" s="13">
        <f>(1+'10. Whatif Control pannel'!$B$10)*Z51</f>
        <v>26.4</v>
      </c>
      <c r="AB51" s="3">
        <f t="shared" si="8"/>
        <v>34444.46236</v>
      </c>
      <c r="AC51" s="3">
        <f t="shared" si="13"/>
        <v>46293.35741184</v>
      </c>
      <c r="AD51" s="3">
        <f t="shared" si="9"/>
        <v>28678.32</v>
      </c>
      <c r="AE51" s="3">
        <f t="shared" si="10"/>
        <v>5766.14236</v>
      </c>
      <c r="AF51" s="3">
        <f t="shared" si="14"/>
        <v>17615.03741184</v>
      </c>
      <c r="AG51">
        <f t="shared" si="11"/>
        <v>0.167404045960554</v>
      </c>
    </row>
    <row r="52" spans="1:33">
      <c r="A52" t="s">
        <v>191</v>
      </c>
      <c r="B52" s="20">
        <v>45602</v>
      </c>
      <c r="C52" s="2">
        <f t="shared" si="0"/>
        <v>11</v>
      </c>
      <c r="D52" s="21">
        <f t="shared" si="12"/>
        <v>45602</v>
      </c>
      <c r="E52" s="19" t="str">
        <f t="shared" si="1"/>
        <v>Quarter 4</v>
      </c>
      <c r="F52" s="19">
        <v>45618</v>
      </c>
      <c r="G52" s="19">
        <f t="shared" si="2"/>
        <v>45618</v>
      </c>
      <c r="H52" s="22">
        <f t="shared" si="3"/>
        <v>16</v>
      </c>
      <c r="I52" t="str">
        <f t="shared" si="4"/>
        <v>Delayed </v>
      </c>
      <c r="J52" t="s">
        <v>52</v>
      </c>
      <c r="K52" t="s">
        <v>53</v>
      </c>
      <c r="L52" t="s">
        <v>54</v>
      </c>
      <c r="M52" t="s">
        <v>39</v>
      </c>
      <c r="N52" t="s">
        <v>55</v>
      </c>
      <c r="O52" t="s">
        <v>145</v>
      </c>
      <c r="P52" t="s">
        <v>81</v>
      </c>
      <c r="Q52" t="s">
        <v>192</v>
      </c>
      <c r="R52" s="3">
        <v>1454.11</v>
      </c>
      <c r="S52" s="3">
        <v>2629.75</v>
      </c>
      <c r="T52" s="3">
        <f t="shared" si="5"/>
        <v>2629.75</v>
      </c>
      <c r="U52" s="3">
        <f>(1+'10. Whatif Control pannel'!$B$6)*T52</f>
        <v>2945.32</v>
      </c>
      <c r="V52" s="3" t="str">
        <f t="shared" si="6"/>
        <v>High</v>
      </c>
      <c r="W52" s="34">
        <v>0.292</v>
      </c>
      <c r="X52" s="24" t="str">
        <f t="shared" si="7"/>
        <v>High Discount</v>
      </c>
      <c r="Y52" s="36">
        <f>IF(W52&lt;=0.25,W52,'10. Whatif Control pannel'!$B$2)</f>
        <v>0.23</v>
      </c>
      <c r="Z52" s="24">
        <v>8</v>
      </c>
      <c r="AA52" s="13">
        <f>(1+'10. Whatif Control pannel'!$B$10)*Z52</f>
        <v>9.6</v>
      </c>
      <c r="AB52" s="3">
        <f t="shared" si="8"/>
        <v>14894.904</v>
      </c>
      <c r="AC52" s="3">
        <f t="shared" si="13"/>
        <v>21771.80544</v>
      </c>
      <c r="AD52" s="3">
        <f t="shared" si="9"/>
        <v>11632.88</v>
      </c>
      <c r="AE52" s="3">
        <f t="shared" si="10"/>
        <v>3262.024</v>
      </c>
      <c r="AF52" s="3">
        <f t="shared" si="14"/>
        <v>10138.92544</v>
      </c>
      <c r="AG52">
        <f t="shared" si="11"/>
        <v>0.219002687093519</v>
      </c>
    </row>
    <row r="53" spans="1:33">
      <c r="A53" t="s">
        <v>193</v>
      </c>
      <c r="B53" s="20">
        <v>45582</v>
      </c>
      <c r="C53" s="2">
        <f t="shared" si="0"/>
        <v>10</v>
      </c>
      <c r="D53" s="21">
        <f t="shared" si="12"/>
        <v>45582</v>
      </c>
      <c r="E53" s="19" t="str">
        <f t="shared" si="1"/>
        <v>Quarter 4</v>
      </c>
      <c r="F53" s="19">
        <v>45602</v>
      </c>
      <c r="G53" s="19">
        <f t="shared" si="2"/>
        <v>45602</v>
      </c>
      <c r="H53" s="22">
        <f t="shared" si="3"/>
        <v>20</v>
      </c>
      <c r="I53" t="str">
        <f t="shared" si="4"/>
        <v>Delayed </v>
      </c>
      <c r="J53" t="s">
        <v>45</v>
      </c>
      <c r="K53" t="s">
        <v>60</v>
      </c>
      <c r="L53" t="s">
        <v>61</v>
      </c>
      <c r="M53" t="s">
        <v>105</v>
      </c>
      <c r="N53" t="s">
        <v>55</v>
      </c>
      <c r="O53" t="s">
        <v>68</v>
      </c>
      <c r="P53" t="s">
        <v>64</v>
      </c>
      <c r="Q53" t="s">
        <v>194</v>
      </c>
      <c r="R53" s="3">
        <v>72.94</v>
      </c>
      <c r="S53" s="3">
        <v>106.3</v>
      </c>
      <c r="T53" s="3">
        <f t="shared" si="5"/>
        <v>106.3</v>
      </c>
      <c r="U53" s="3">
        <f>(1+'10. Whatif Control pannel'!$B$6)*T53</f>
        <v>119.056</v>
      </c>
      <c r="V53" s="3" t="str">
        <f t="shared" si="6"/>
        <v>Low</v>
      </c>
      <c r="W53" s="34">
        <v>0.295</v>
      </c>
      <c r="X53" s="24" t="str">
        <f t="shared" si="7"/>
        <v>High Discount</v>
      </c>
      <c r="Y53" s="36">
        <f>IF(W53&lt;=0.25,W53,'10. Whatif Control pannel'!$B$2)</f>
        <v>0.23</v>
      </c>
      <c r="Z53" s="24">
        <v>8</v>
      </c>
      <c r="AA53" s="13">
        <f>(1+'10. Whatif Control pannel'!$B$10)*Z53</f>
        <v>9.6</v>
      </c>
      <c r="AB53" s="3">
        <f t="shared" si="8"/>
        <v>599.532</v>
      </c>
      <c r="AC53" s="3">
        <f t="shared" si="13"/>
        <v>880.061952</v>
      </c>
      <c r="AD53" s="3">
        <f t="shared" si="9"/>
        <v>583.52</v>
      </c>
      <c r="AE53" s="3">
        <f t="shared" si="10"/>
        <v>16.0120000000001</v>
      </c>
      <c r="AF53" s="3">
        <f t="shared" si="14"/>
        <v>296.541952</v>
      </c>
      <c r="AG53">
        <f t="shared" si="11"/>
        <v>0.0267074985155089</v>
      </c>
    </row>
    <row r="54" spans="1:33">
      <c r="A54" t="s">
        <v>195</v>
      </c>
      <c r="B54" s="20">
        <v>45016</v>
      </c>
      <c r="C54" s="2">
        <f t="shared" si="0"/>
        <v>3</v>
      </c>
      <c r="D54" s="21">
        <f t="shared" si="12"/>
        <v>45016</v>
      </c>
      <c r="E54" s="19" t="str">
        <f t="shared" si="1"/>
        <v>Quarter 1</v>
      </c>
      <c r="F54" s="19">
        <v>45021</v>
      </c>
      <c r="G54" s="19">
        <f t="shared" si="2"/>
        <v>45021</v>
      </c>
      <c r="H54" s="22">
        <f t="shared" si="3"/>
        <v>5</v>
      </c>
      <c r="I54" t="str">
        <f t="shared" si="4"/>
        <v>Ontime</v>
      </c>
      <c r="J54" t="s">
        <v>16</v>
      </c>
      <c r="K54" t="s">
        <v>17</v>
      </c>
      <c r="L54" t="s">
        <v>135</v>
      </c>
      <c r="M54" t="s">
        <v>27</v>
      </c>
      <c r="N54" t="s">
        <v>40</v>
      </c>
      <c r="O54" t="s">
        <v>56</v>
      </c>
      <c r="P54" t="s">
        <v>57</v>
      </c>
      <c r="Q54" t="s">
        <v>196</v>
      </c>
      <c r="R54" s="3">
        <v>533.26</v>
      </c>
      <c r="S54" s="3">
        <v>385.72</v>
      </c>
      <c r="T54" s="3">
        <f t="shared" si="5"/>
        <v>385.72</v>
      </c>
      <c r="U54" s="3">
        <f>(1+'10. Whatif Control pannel'!$B$6)*T54</f>
        <v>432.0064</v>
      </c>
      <c r="V54" s="3" t="str">
        <f t="shared" si="6"/>
        <v>Low</v>
      </c>
      <c r="W54" s="34">
        <v>0</v>
      </c>
      <c r="X54" s="24" t="str">
        <f t="shared" si="7"/>
        <v>Okay</v>
      </c>
      <c r="Y54" s="36">
        <f>IF(W54&lt;=0.25,W54,'10. Whatif Control pannel'!$B$2)</f>
        <v>0</v>
      </c>
      <c r="Z54" s="24">
        <v>15</v>
      </c>
      <c r="AA54" s="13">
        <f>(1+'10. Whatif Control pannel'!$B$10)*Z54</f>
        <v>18</v>
      </c>
      <c r="AB54" s="3">
        <f t="shared" si="8"/>
        <v>5785.8</v>
      </c>
      <c r="AC54" s="3">
        <f t="shared" si="13"/>
        <v>7776.1152</v>
      </c>
      <c r="AD54" s="3">
        <f t="shared" si="9"/>
        <v>7998.9</v>
      </c>
      <c r="AE54" s="3">
        <f t="shared" si="10"/>
        <v>-2213.1</v>
      </c>
      <c r="AF54" s="3">
        <f t="shared" si="14"/>
        <v>-222.784799999998</v>
      </c>
      <c r="AG54">
        <f t="shared" si="11"/>
        <v>-0.382505444363787</v>
      </c>
    </row>
    <row r="55" spans="1:33">
      <c r="A55" t="s">
        <v>197</v>
      </c>
      <c r="B55" s="20">
        <v>45678</v>
      </c>
      <c r="C55" s="2">
        <f t="shared" si="0"/>
        <v>1</v>
      </c>
      <c r="D55" s="21">
        <f t="shared" si="12"/>
        <v>45678</v>
      </c>
      <c r="E55" s="19" t="str">
        <f t="shared" si="1"/>
        <v>Quarter 1</v>
      </c>
      <c r="F55" s="19">
        <v>45704</v>
      </c>
      <c r="G55" s="19">
        <f t="shared" si="2"/>
        <v>45704</v>
      </c>
      <c r="H55" s="22">
        <f t="shared" si="3"/>
        <v>26</v>
      </c>
      <c r="I55" t="str">
        <f t="shared" si="4"/>
        <v>Delayed </v>
      </c>
      <c r="J55" t="s">
        <v>78</v>
      </c>
      <c r="K55" t="s">
        <v>90</v>
      </c>
      <c r="L55" t="s">
        <v>138</v>
      </c>
      <c r="M55" t="s">
        <v>19</v>
      </c>
      <c r="N55" t="s">
        <v>55</v>
      </c>
      <c r="O55" t="s">
        <v>68</v>
      </c>
      <c r="P55" t="s">
        <v>57</v>
      </c>
      <c r="Q55" t="s">
        <v>198</v>
      </c>
      <c r="R55" s="3">
        <v>204.11</v>
      </c>
      <c r="S55" s="3">
        <v>236.87</v>
      </c>
      <c r="T55" s="3">
        <f t="shared" si="5"/>
        <v>236.87</v>
      </c>
      <c r="U55" s="3">
        <f>(1+'10. Whatif Control pannel'!$B$6)*T55</f>
        <v>265.2944</v>
      </c>
      <c r="V55" s="3" t="str">
        <f t="shared" si="6"/>
        <v>Low</v>
      </c>
      <c r="W55" s="34">
        <v>0.182</v>
      </c>
      <c r="X55" s="24" t="str">
        <f t="shared" si="7"/>
        <v>Okay</v>
      </c>
      <c r="Y55" s="36">
        <f>IF(W55&lt;=0.25,W55,'10. Whatif Control pannel'!$B$2)</f>
        <v>0.182</v>
      </c>
      <c r="Z55" s="24">
        <v>13</v>
      </c>
      <c r="AA55" s="13">
        <f>(1+'10. Whatif Control pannel'!$B$10)*Z55</f>
        <v>15.6</v>
      </c>
      <c r="AB55" s="3">
        <f t="shared" si="8"/>
        <v>2518.87558</v>
      </c>
      <c r="AC55" s="3">
        <f t="shared" si="13"/>
        <v>3385.36877952</v>
      </c>
      <c r="AD55" s="3">
        <f t="shared" si="9"/>
        <v>2653.43</v>
      </c>
      <c r="AE55" s="3">
        <f t="shared" si="10"/>
        <v>-134.55442</v>
      </c>
      <c r="AF55" s="3">
        <f t="shared" si="14"/>
        <v>731.93877952</v>
      </c>
      <c r="AG55">
        <f t="shared" si="11"/>
        <v>-0.0534184463370755</v>
      </c>
    </row>
    <row r="56" spans="1:33">
      <c r="A56" t="s">
        <v>199</v>
      </c>
      <c r="B56" s="20">
        <v>45168</v>
      </c>
      <c r="C56" s="2">
        <f t="shared" si="0"/>
        <v>8</v>
      </c>
      <c r="D56" s="21">
        <f t="shared" si="12"/>
        <v>45168</v>
      </c>
      <c r="E56" s="19" t="str">
        <f t="shared" si="1"/>
        <v>Quarter 3</v>
      </c>
      <c r="F56" s="19">
        <v>45170</v>
      </c>
      <c r="G56" s="19">
        <f t="shared" si="2"/>
        <v>45170</v>
      </c>
      <c r="H56" s="22">
        <f t="shared" si="3"/>
        <v>2</v>
      </c>
      <c r="I56" t="str">
        <f t="shared" si="4"/>
        <v>Ontime</v>
      </c>
      <c r="J56" t="s">
        <v>78</v>
      </c>
      <c r="K56" t="s">
        <v>79</v>
      </c>
      <c r="L56" t="s">
        <v>159</v>
      </c>
      <c r="M56" t="s">
        <v>19</v>
      </c>
      <c r="N56" t="s">
        <v>98</v>
      </c>
      <c r="O56" t="s">
        <v>126</v>
      </c>
      <c r="P56" t="s">
        <v>35</v>
      </c>
      <c r="Q56" t="s">
        <v>200</v>
      </c>
      <c r="R56" s="3">
        <v>44.42</v>
      </c>
      <c r="S56" s="3">
        <v>41.9</v>
      </c>
      <c r="T56" s="3">
        <f t="shared" si="5"/>
        <v>41.9</v>
      </c>
      <c r="U56" s="3">
        <f>(1+'10. Whatif Control pannel'!$B$6)*T56</f>
        <v>46.928</v>
      </c>
      <c r="V56" s="3" t="str">
        <f t="shared" si="6"/>
        <v>Low</v>
      </c>
      <c r="W56" s="34">
        <v>0.144</v>
      </c>
      <c r="X56" s="24" t="str">
        <f t="shared" si="7"/>
        <v>Okay</v>
      </c>
      <c r="Y56" s="36">
        <f>IF(W56&lt;=0.25,W56,'10. Whatif Control pannel'!$B$2)</f>
        <v>0.144</v>
      </c>
      <c r="Z56" s="24">
        <v>6</v>
      </c>
      <c r="AA56" s="13">
        <f>(1+'10. Whatif Control pannel'!$B$10)*Z56</f>
        <v>7.2</v>
      </c>
      <c r="AB56" s="3">
        <f t="shared" si="8"/>
        <v>215.1984</v>
      </c>
      <c r="AC56" s="3">
        <f t="shared" si="13"/>
        <v>289.2266496</v>
      </c>
      <c r="AD56" s="3">
        <f t="shared" si="9"/>
        <v>266.52</v>
      </c>
      <c r="AE56" s="3">
        <f t="shared" si="10"/>
        <v>-51.3216</v>
      </c>
      <c r="AF56" s="3">
        <f t="shared" si="14"/>
        <v>22.7066496</v>
      </c>
      <c r="AG56">
        <f t="shared" si="11"/>
        <v>-0.238485044498472</v>
      </c>
    </row>
    <row r="57" spans="1:33">
      <c r="A57" t="s">
        <v>201</v>
      </c>
      <c r="B57" s="20">
        <v>45753</v>
      </c>
      <c r="C57" s="2">
        <f t="shared" si="0"/>
        <v>4</v>
      </c>
      <c r="D57" s="21">
        <f t="shared" si="12"/>
        <v>45753</v>
      </c>
      <c r="E57" s="19" t="str">
        <f t="shared" si="1"/>
        <v>Quarter 2</v>
      </c>
      <c r="F57" s="19">
        <v>45777</v>
      </c>
      <c r="G57" s="19">
        <f t="shared" si="2"/>
        <v>45777</v>
      </c>
      <c r="H57" s="22">
        <f t="shared" si="3"/>
        <v>24</v>
      </c>
      <c r="I57" t="str">
        <f t="shared" si="4"/>
        <v>Delayed </v>
      </c>
      <c r="J57" t="s">
        <v>52</v>
      </c>
      <c r="K57" t="s">
        <v>73</v>
      </c>
      <c r="L57" t="s">
        <v>87</v>
      </c>
      <c r="M57" t="s">
        <v>27</v>
      </c>
      <c r="N57" t="s">
        <v>28</v>
      </c>
      <c r="O57" t="s">
        <v>95</v>
      </c>
      <c r="P57" t="s">
        <v>64</v>
      </c>
      <c r="Q57" t="s">
        <v>202</v>
      </c>
      <c r="R57" s="3">
        <v>855.78</v>
      </c>
      <c r="S57" s="3">
        <v>977.38</v>
      </c>
      <c r="T57" s="3">
        <f t="shared" si="5"/>
        <v>977.38</v>
      </c>
      <c r="U57" s="3">
        <f>(1+'10. Whatif Control pannel'!$B$6)*T57</f>
        <v>1094.6656</v>
      </c>
      <c r="V57" s="3" t="str">
        <f t="shared" si="6"/>
        <v>Medium</v>
      </c>
      <c r="W57" s="34">
        <v>0.147</v>
      </c>
      <c r="X57" s="24" t="str">
        <f t="shared" si="7"/>
        <v>Okay</v>
      </c>
      <c r="Y57" s="36">
        <f>IF(W57&lt;=0.25,W57,'10. Whatif Control pannel'!$B$2)</f>
        <v>0.147</v>
      </c>
      <c r="Z57" s="24">
        <v>38</v>
      </c>
      <c r="AA57" s="13">
        <f>(1+'10. Whatif Control pannel'!$B$10)*Z57</f>
        <v>45.6</v>
      </c>
      <c r="AB57" s="3">
        <f t="shared" si="8"/>
        <v>31680.79532</v>
      </c>
      <c r="AC57" s="3">
        <f t="shared" si="13"/>
        <v>42578.98891008</v>
      </c>
      <c r="AD57" s="3">
        <f t="shared" si="9"/>
        <v>32519.64</v>
      </c>
      <c r="AE57" s="3">
        <f t="shared" si="10"/>
        <v>-838.844679999998</v>
      </c>
      <c r="AF57" s="3">
        <f t="shared" si="14"/>
        <v>10059.34891008</v>
      </c>
      <c r="AG57">
        <f t="shared" si="11"/>
        <v>-0.0264780183555063</v>
      </c>
    </row>
    <row r="58" spans="1:33">
      <c r="A58" t="s">
        <v>203</v>
      </c>
      <c r="B58" s="20">
        <v>45697</v>
      </c>
      <c r="C58" s="2">
        <f t="shared" si="0"/>
        <v>2</v>
      </c>
      <c r="D58" s="21">
        <f t="shared" si="12"/>
        <v>45697</v>
      </c>
      <c r="E58" s="19" t="str">
        <f t="shared" si="1"/>
        <v>Quarter 1</v>
      </c>
      <c r="F58" s="19">
        <v>45717</v>
      </c>
      <c r="G58" s="19">
        <f t="shared" si="2"/>
        <v>45717</v>
      </c>
      <c r="H58" s="22">
        <f t="shared" si="3"/>
        <v>20</v>
      </c>
      <c r="I58" t="str">
        <f t="shared" si="4"/>
        <v>Delayed </v>
      </c>
      <c r="J58" t="s">
        <v>52</v>
      </c>
      <c r="K58" t="s">
        <v>73</v>
      </c>
      <c r="L58" t="s">
        <v>74</v>
      </c>
      <c r="M58" t="s">
        <v>19</v>
      </c>
      <c r="N58" t="s">
        <v>55</v>
      </c>
      <c r="O58" t="s">
        <v>56</v>
      </c>
      <c r="P58" t="s">
        <v>57</v>
      </c>
      <c r="Q58" t="s">
        <v>204</v>
      </c>
      <c r="R58" s="3">
        <v>1154.64</v>
      </c>
      <c r="S58" s="3">
        <v>2794.13</v>
      </c>
      <c r="T58" s="3">
        <f t="shared" si="5"/>
        <v>2794.13</v>
      </c>
      <c r="U58" s="3">
        <f>(1+'10. Whatif Control pannel'!$B$6)*T58</f>
        <v>3129.4256</v>
      </c>
      <c r="V58" s="3" t="str">
        <f t="shared" si="6"/>
        <v>High</v>
      </c>
      <c r="W58" s="34">
        <v>0.035</v>
      </c>
      <c r="X58" s="24" t="str">
        <f t="shared" si="7"/>
        <v>Okay</v>
      </c>
      <c r="Y58" s="36">
        <f>IF(W58&lt;=0.25,W58,'10. Whatif Control pannel'!$B$2)</f>
        <v>0.035</v>
      </c>
      <c r="Z58" s="24">
        <v>11</v>
      </c>
      <c r="AA58" s="13">
        <f>(1+'10. Whatif Control pannel'!$B$10)*Z58</f>
        <v>13.2</v>
      </c>
      <c r="AB58" s="3">
        <f t="shared" si="8"/>
        <v>29659.68995</v>
      </c>
      <c r="AC58" s="3">
        <f t="shared" si="13"/>
        <v>39862.6232928</v>
      </c>
      <c r="AD58" s="3">
        <f t="shared" si="9"/>
        <v>12701.04</v>
      </c>
      <c r="AE58" s="3">
        <f t="shared" si="10"/>
        <v>16958.64995</v>
      </c>
      <c r="AF58" s="3">
        <f t="shared" si="14"/>
        <v>27161.5832928</v>
      </c>
      <c r="AG58">
        <f t="shared" si="11"/>
        <v>0.571774350257495</v>
      </c>
    </row>
    <row r="59" spans="1:33">
      <c r="A59" t="s">
        <v>205</v>
      </c>
      <c r="B59" s="20">
        <v>45643</v>
      </c>
      <c r="C59" s="2">
        <f t="shared" si="0"/>
        <v>12</v>
      </c>
      <c r="D59" s="21">
        <f t="shared" si="12"/>
        <v>45643</v>
      </c>
      <c r="E59" s="19" t="str">
        <f t="shared" si="1"/>
        <v>Quarter 4</v>
      </c>
      <c r="F59" s="19">
        <v>45644</v>
      </c>
      <c r="G59" s="19">
        <f t="shared" si="2"/>
        <v>45644</v>
      </c>
      <c r="H59" s="22">
        <f t="shared" si="3"/>
        <v>1</v>
      </c>
      <c r="I59" t="str">
        <f t="shared" si="4"/>
        <v>Ontime</v>
      </c>
      <c r="J59" t="s">
        <v>78</v>
      </c>
      <c r="K59" t="s">
        <v>79</v>
      </c>
      <c r="L59" t="s">
        <v>159</v>
      </c>
      <c r="M59" t="s">
        <v>27</v>
      </c>
      <c r="N59" t="s">
        <v>20</v>
      </c>
      <c r="O59" t="s">
        <v>49</v>
      </c>
      <c r="P59" t="s">
        <v>81</v>
      </c>
      <c r="Q59" t="s">
        <v>206</v>
      </c>
      <c r="R59" s="3">
        <v>346.82</v>
      </c>
      <c r="S59" s="3">
        <v>701.95</v>
      </c>
      <c r="T59" s="3">
        <f t="shared" si="5"/>
        <v>701.95</v>
      </c>
      <c r="U59" s="3">
        <f>(1+'10. Whatif Control pannel'!$B$6)*T59</f>
        <v>786.184</v>
      </c>
      <c r="V59" s="3" t="str">
        <f t="shared" si="6"/>
        <v>Low</v>
      </c>
      <c r="W59" s="34">
        <v>0.147</v>
      </c>
      <c r="X59" s="24" t="str">
        <f t="shared" si="7"/>
        <v>Okay</v>
      </c>
      <c r="Y59" s="36">
        <f>IF(W59&lt;=0.25,W59,'10. Whatif Control pannel'!$B$2)</f>
        <v>0.147</v>
      </c>
      <c r="Z59" s="24">
        <v>8</v>
      </c>
      <c r="AA59" s="13">
        <f>(1+'10. Whatif Control pannel'!$B$10)*Z59</f>
        <v>9.6</v>
      </c>
      <c r="AB59" s="3">
        <f t="shared" si="8"/>
        <v>4790.1068</v>
      </c>
      <c r="AC59" s="3">
        <f t="shared" si="13"/>
        <v>6437.9035392</v>
      </c>
      <c r="AD59" s="3">
        <f t="shared" si="9"/>
        <v>2774.56</v>
      </c>
      <c r="AE59" s="3">
        <f t="shared" si="10"/>
        <v>2015.5468</v>
      </c>
      <c r="AF59" s="3">
        <f t="shared" si="14"/>
        <v>3663.3435392</v>
      </c>
      <c r="AG59">
        <f t="shared" si="11"/>
        <v>0.420772831202845</v>
      </c>
    </row>
    <row r="60" spans="1:33">
      <c r="A60" t="s">
        <v>207</v>
      </c>
      <c r="B60" s="20">
        <v>45817</v>
      </c>
      <c r="C60" s="2">
        <f t="shared" si="0"/>
        <v>6</v>
      </c>
      <c r="D60" s="21">
        <f t="shared" si="12"/>
        <v>45817</v>
      </c>
      <c r="E60" s="19" t="str">
        <f t="shared" si="1"/>
        <v>Quarter 2</v>
      </c>
      <c r="F60" s="19">
        <v>45826</v>
      </c>
      <c r="G60" s="19">
        <f t="shared" si="2"/>
        <v>45826</v>
      </c>
      <c r="H60" s="22">
        <f t="shared" si="3"/>
        <v>9</v>
      </c>
      <c r="I60" t="str">
        <f t="shared" si="4"/>
        <v>Delayed </v>
      </c>
      <c r="J60" t="s">
        <v>78</v>
      </c>
      <c r="K60" t="s">
        <v>90</v>
      </c>
      <c r="L60" t="s">
        <v>91</v>
      </c>
      <c r="M60" t="s">
        <v>62</v>
      </c>
      <c r="N60" t="s">
        <v>40</v>
      </c>
      <c r="O60" t="s">
        <v>92</v>
      </c>
      <c r="P60" t="s">
        <v>81</v>
      </c>
      <c r="Q60" t="s">
        <v>208</v>
      </c>
      <c r="R60" s="3">
        <v>1225.5</v>
      </c>
      <c r="S60" s="3">
        <v>-5.27</v>
      </c>
      <c r="T60" s="3">
        <f t="shared" si="5"/>
        <v>1225.5</v>
      </c>
      <c r="U60" s="3">
        <f>(1+'10. Whatif Control pannel'!$B$6)*T60</f>
        <v>1372.56</v>
      </c>
      <c r="V60" s="3" t="str">
        <f t="shared" si="6"/>
        <v>Medium</v>
      </c>
      <c r="W60" s="34">
        <v>0.075</v>
      </c>
      <c r="X60" s="24" t="str">
        <f t="shared" si="7"/>
        <v>Okay</v>
      </c>
      <c r="Y60" s="36">
        <f>IF(W60&lt;=0.25,W60,'10. Whatif Control pannel'!$B$2)</f>
        <v>0.075</v>
      </c>
      <c r="Z60" s="24">
        <v>56</v>
      </c>
      <c r="AA60" s="13">
        <f>(1+'10. Whatif Control pannel'!$B$10)*Z60</f>
        <v>67.2</v>
      </c>
      <c r="AB60" s="3">
        <f t="shared" si="8"/>
        <v>63480.9</v>
      </c>
      <c r="AC60" s="3">
        <f t="shared" si="13"/>
        <v>85318.3296</v>
      </c>
      <c r="AD60" s="3">
        <f t="shared" si="9"/>
        <v>68628</v>
      </c>
      <c r="AE60" s="3">
        <f t="shared" si="10"/>
        <v>-5147.1</v>
      </c>
      <c r="AF60" s="3">
        <f t="shared" si="14"/>
        <v>16690.3296</v>
      </c>
      <c r="AG60">
        <f t="shared" si="11"/>
        <v>-0.0810810810810811</v>
      </c>
    </row>
    <row r="61" spans="1:33">
      <c r="A61" t="s">
        <v>209</v>
      </c>
      <c r="B61" s="20">
        <v>45779</v>
      </c>
      <c r="C61" s="2">
        <f t="shared" si="0"/>
        <v>5</v>
      </c>
      <c r="D61" s="21">
        <f t="shared" si="12"/>
        <v>45779</v>
      </c>
      <c r="E61" s="19" t="str">
        <f t="shared" si="1"/>
        <v>Quarter 2</v>
      </c>
      <c r="F61" s="19">
        <v>45790</v>
      </c>
      <c r="G61" s="19">
        <f t="shared" si="2"/>
        <v>45790</v>
      </c>
      <c r="H61" s="22">
        <f t="shared" si="3"/>
        <v>11</v>
      </c>
      <c r="I61" t="str">
        <f t="shared" si="4"/>
        <v>Delayed </v>
      </c>
      <c r="J61" t="s">
        <v>16</v>
      </c>
      <c r="K61" t="s">
        <v>17</v>
      </c>
      <c r="L61" t="s">
        <v>135</v>
      </c>
      <c r="M61" t="s">
        <v>62</v>
      </c>
      <c r="N61" t="s">
        <v>28</v>
      </c>
      <c r="O61" t="s">
        <v>75</v>
      </c>
      <c r="P61" t="s">
        <v>81</v>
      </c>
      <c r="Q61" t="s">
        <v>210</v>
      </c>
      <c r="R61" s="3">
        <v>1057.6</v>
      </c>
      <c r="S61" s="3">
        <v>1437.06</v>
      </c>
      <c r="T61" s="3">
        <f t="shared" si="5"/>
        <v>1437.06</v>
      </c>
      <c r="U61" s="3">
        <f>(1+'10. Whatif Control pannel'!$B$6)*T61</f>
        <v>1609.5072</v>
      </c>
      <c r="V61" s="3" t="str">
        <f t="shared" si="6"/>
        <v>Medium</v>
      </c>
      <c r="W61" s="34">
        <v>0.205</v>
      </c>
      <c r="X61" s="24" t="str">
        <f t="shared" si="7"/>
        <v>High Discount</v>
      </c>
      <c r="Y61" s="36">
        <f>IF(W61&lt;=0.25,W61,'10. Whatif Control pannel'!$B$2)</f>
        <v>0.205</v>
      </c>
      <c r="Z61" s="24">
        <v>4</v>
      </c>
      <c r="AA61" s="13">
        <f>(1+'10. Whatif Control pannel'!$B$10)*Z61</f>
        <v>4.8</v>
      </c>
      <c r="AB61" s="3">
        <f t="shared" si="8"/>
        <v>4569.8508</v>
      </c>
      <c r="AC61" s="3">
        <f t="shared" si="13"/>
        <v>6141.8794752</v>
      </c>
      <c r="AD61" s="3">
        <f t="shared" si="9"/>
        <v>4230.4</v>
      </c>
      <c r="AE61" s="3">
        <f t="shared" si="10"/>
        <v>339.450800000001</v>
      </c>
      <c r="AF61" s="3">
        <f t="shared" si="14"/>
        <v>1911.4794752</v>
      </c>
      <c r="AG61">
        <f t="shared" si="11"/>
        <v>0.0742804994858914</v>
      </c>
    </row>
    <row r="62" spans="1:33">
      <c r="A62" t="s">
        <v>211</v>
      </c>
      <c r="B62" s="20">
        <v>45361</v>
      </c>
      <c r="C62" s="2">
        <f t="shared" si="0"/>
        <v>3</v>
      </c>
      <c r="D62" s="21">
        <f t="shared" si="12"/>
        <v>45361</v>
      </c>
      <c r="E62" s="19" t="str">
        <f t="shared" si="1"/>
        <v>Quarter 1</v>
      </c>
      <c r="F62" s="19">
        <v>45391</v>
      </c>
      <c r="G62" s="19">
        <f t="shared" si="2"/>
        <v>45391</v>
      </c>
      <c r="H62" s="22">
        <f t="shared" si="3"/>
        <v>30</v>
      </c>
      <c r="I62" t="str">
        <f t="shared" si="4"/>
        <v>Delayed </v>
      </c>
      <c r="J62" t="s">
        <v>78</v>
      </c>
      <c r="K62" t="s">
        <v>90</v>
      </c>
      <c r="L62" t="s">
        <v>138</v>
      </c>
      <c r="M62" t="s">
        <v>19</v>
      </c>
      <c r="N62" t="s">
        <v>98</v>
      </c>
      <c r="O62" t="s">
        <v>34</v>
      </c>
      <c r="P62" t="s">
        <v>22</v>
      </c>
      <c r="Q62" t="s">
        <v>212</v>
      </c>
      <c r="R62" s="3">
        <v>1176.56</v>
      </c>
      <c r="S62" s="3">
        <v>1911.89</v>
      </c>
      <c r="T62" s="3">
        <f t="shared" si="5"/>
        <v>1911.89</v>
      </c>
      <c r="U62" s="3">
        <f>(1+'10. Whatif Control pannel'!$B$6)*T62</f>
        <v>2141.3168</v>
      </c>
      <c r="V62" s="3" t="str">
        <f t="shared" si="6"/>
        <v>High</v>
      </c>
      <c r="W62" s="34">
        <v>0.119</v>
      </c>
      <c r="X62" s="24" t="str">
        <f t="shared" si="7"/>
        <v>Okay</v>
      </c>
      <c r="Y62" s="36">
        <f>IF(W62&lt;=0.25,W62,'10. Whatif Control pannel'!$B$2)</f>
        <v>0.119</v>
      </c>
      <c r="Z62" s="24">
        <v>20</v>
      </c>
      <c r="AA62" s="13">
        <f>(1+'10. Whatif Control pannel'!$B$10)*Z62</f>
        <v>24</v>
      </c>
      <c r="AB62" s="3">
        <f t="shared" si="8"/>
        <v>33687.5018</v>
      </c>
      <c r="AC62" s="3">
        <f t="shared" si="13"/>
        <v>45276.0024192</v>
      </c>
      <c r="AD62" s="3">
        <f t="shared" si="9"/>
        <v>23531.2</v>
      </c>
      <c r="AE62" s="3">
        <f t="shared" si="10"/>
        <v>10156.3018</v>
      </c>
      <c r="AF62" s="3">
        <f t="shared" si="14"/>
        <v>21744.8024192</v>
      </c>
      <c r="AG62">
        <f t="shared" si="11"/>
        <v>0.301485751608925</v>
      </c>
    </row>
    <row r="63" spans="1:33">
      <c r="A63" t="s">
        <v>213</v>
      </c>
      <c r="B63" s="20">
        <v>45910</v>
      </c>
      <c r="C63" s="2">
        <f t="shared" si="0"/>
        <v>9</v>
      </c>
      <c r="D63" s="21">
        <f t="shared" si="12"/>
        <v>45910</v>
      </c>
      <c r="E63" s="19" t="str">
        <f t="shared" si="1"/>
        <v>Quarter 3</v>
      </c>
      <c r="F63" s="19">
        <v>45912</v>
      </c>
      <c r="G63" s="19">
        <f t="shared" si="2"/>
        <v>45912</v>
      </c>
      <c r="H63" s="22">
        <f t="shared" si="3"/>
        <v>2</v>
      </c>
      <c r="I63" t="str">
        <f t="shared" si="4"/>
        <v>Ontime</v>
      </c>
      <c r="J63" t="s">
        <v>45</v>
      </c>
      <c r="K63" t="s">
        <v>46</v>
      </c>
      <c r="L63" t="s">
        <v>214</v>
      </c>
      <c r="M63" t="s">
        <v>48</v>
      </c>
      <c r="N63" t="s">
        <v>28</v>
      </c>
      <c r="O63" t="s">
        <v>68</v>
      </c>
      <c r="P63" t="s">
        <v>22</v>
      </c>
      <c r="Q63" t="s">
        <v>215</v>
      </c>
      <c r="R63" s="3">
        <v>1470.15</v>
      </c>
      <c r="S63" s="3">
        <v>2593.78</v>
      </c>
      <c r="T63" s="3">
        <f t="shared" si="5"/>
        <v>2593.78</v>
      </c>
      <c r="U63" s="3">
        <f>(1+'10. Whatif Control pannel'!$B$6)*T63</f>
        <v>2905.0336</v>
      </c>
      <c r="V63" s="3" t="str">
        <f t="shared" si="6"/>
        <v>High</v>
      </c>
      <c r="W63" s="34">
        <v>0.11</v>
      </c>
      <c r="X63" s="24" t="str">
        <f t="shared" si="7"/>
        <v>Okay</v>
      </c>
      <c r="Y63" s="36">
        <f>IF(W63&lt;=0.25,W63,'10. Whatif Control pannel'!$B$2)</f>
        <v>0.11</v>
      </c>
      <c r="Z63" s="24">
        <v>12</v>
      </c>
      <c r="AA63" s="13">
        <f>(1+'10. Whatif Control pannel'!$B$10)*Z63</f>
        <v>14.4</v>
      </c>
      <c r="AB63" s="3">
        <f t="shared" si="8"/>
        <v>27701.5704</v>
      </c>
      <c r="AC63" s="3">
        <f t="shared" si="13"/>
        <v>37230.9106176</v>
      </c>
      <c r="AD63" s="3">
        <f t="shared" si="9"/>
        <v>17641.8</v>
      </c>
      <c r="AE63" s="3">
        <f t="shared" si="10"/>
        <v>10059.7704</v>
      </c>
      <c r="AF63" s="3">
        <f t="shared" si="14"/>
        <v>19589.1106176</v>
      </c>
      <c r="AG63">
        <f t="shared" si="11"/>
        <v>0.363148018496453</v>
      </c>
    </row>
    <row r="64" spans="1:33">
      <c r="A64" t="s">
        <v>216</v>
      </c>
      <c r="B64" s="20">
        <v>45774</v>
      </c>
      <c r="C64" s="2">
        <f t="shared" si="0"/>
        <v>4</v>
      </c>
      <c r="D64" s="21">
        <f t="shared" si="12"/>
        <v>45774</v>
      </c>
      <c r="E64" s="19" t="str">
        <f t="shared" si="1"/>
        <v>Quarter 2</v>
      </c>
      <c r="F64" s="19">
        <v>45802</v>
      </c>
      <c r="G64" s="19">
        <f t="shared" si="2"/>
        <v>45802</v>
      </c>
      <c r="H64" s="22">
        <f t="shared" si="3"/>
        <v>28</v>
      </c>
      <c r="I64" t="str">
        <f t="shared" si="4"/>
        <v>Delayed </v>
      </c>
      <c r="J64" t="s">
        <v>78</v>
      </c>
      <c r="K64" t="s">
        <v>90</v>
      </c>
      <c r="L64" t="s">
        <v>217</v>
      </c>
      <c r="M64" t="s">
        <v>62</v>
      </c>
      <c r="N64" t="s">
        <v>40</v>
      </c>
      <c r="O64" t="s">
        <v>34</v>
      </c>
      <c r="P64" t="s">
        <v>42</v>
      </c>
      <c r="Q64" t="s">
        <v>218</v>
      </c>
      <c r="R64" s="3">
        <v>603.45</v>
      </c>
      <c r="S64" s="3">
        <v>1244.08</v>
      </c>
      <c r="T64" s="3">
        <f t="shared" si="5"/>
        <v>1244.08</v>
      </c>
      <c r="U64" s="3">
        <f>(1+'10. Whatif Control pannel'!$B$6)*T64</f>
        <v>1393.3696</v>
      </c>
      <c r="V64" s="3" t="str">
        <f t="shared" si="6"/>
        <v>Medium</v>
      </c>
      <c r="W64" s="34">
        <v>0.2</v>
      </c>
      <c r="X64" s="24" t="str">
        <f t="shared" si="7"/>
        <v>Okay</v>
      </c>
      <c r="Y64" s="36">
        <f>IF(W64&lt;=0.25,W64,'10. Whatif Control pannel'!$B$2)</f>
        <v>0.2</v>
      </c>
      <c r="Z64" s="24">
        <v>11</v>
      </c>
      <c r="AA64" s="13">
        <f>(1+'10. Whatif Control pannel'!$B$10)*Z64</f>
        <v>13.2</v>
      </c>
      <c r="AB64" s="3">
        <f t="shared" si="8"/>
        <v>10947.904</v>
      </c>
      <c r="AC64" s="3">
        <f t="shared" si="13"/>
        <v>14713.982976</v>
      </c>
      <c r="AD64" s="3">
        <f t="shared" si="9"/>
        <v>6637.95</v>
      </c>
      <c r="AE64" s="3">
        <f t="shared" si="10"/>
        <v>4309.954</v>
      </c>
      <c r="AF64" s="3">
        <f t="shared" si="14"/>
        <v>8076.032976</v>
      </c>
      <c r="AG64">
        <f t="shared" si="11"/>
        <v>0.393678461192206</v>
      </c>
    </row>
    <row r="65" spans="1:33">
      <c r="A65" t="s">
        <v>219</v>
      </c>
      <c r="B65" s="20">
        <v>45598</v>
      </c>
      <c r="C65" s="2">
        <f t="shared" si="0"/>
        <v>11</v>
      </c>
      <c r="D65" s="21">
        <f t="shared" si="12"/>
        <v>45598</v>
      </c>
      <c r="E65" s="19" t="str">
        <f t="shared" si="1"/>
        <v>Quarter 4</v>
      </c>
      <c r="F65" s="19">
        <v>45614</v>
      </c>
      <c r="G65" s="19">
        <f t="shared" si="2"/>
        <v>45614</v>
      </c>
      <c r="H65" s="22">
        <f t="shared" si="3"/>
        <v>16</v>
      </c>
      <c r="I65" t="str">
        <f t="shared" si="4"/>
        <v>Delayed </v>
      </c>
      <c r="J65" t="s">
        <v>45</v>
      </c>
      <c r="K65" t="s">
        <v>60</v>
      </c>
      <c r="L65" t="s">
        <v>220</v>
      </c>
      <c r="M65" t="s">
        <v>62</v>
      </c>
      <c r="N65" t="s">
        <v>55</v>
      </c>
      <c r="O65" t="s">
        <v>68</v>
      </c>
      <c r="P65" t="s">
        <v>64</v>
      </c>
      <c r="Q65" t="s">
        <v>221</v>
      </c>
      <c r="R65" s="3">
        <v>1233.58</v>
      </c>
      <c r="S65" s="3">
        <v>1912.51</v>
      </c>
      <c r="T65" s="3">
        <f t="shared" si="5"/>
        <v>1912.51</v>
      </c>
      <c r="U65" s="3">
        <f>(1+'10. Whatif Control pannel'!$B$6)*T65</f>
        <v>2142.0112</v>
      </c>
      <c r="V65" s="3" t="str">
        <f t="shared" si="6"/>
        <v>High</v>
      </c>
      <c r="W65" s="34">
        <v>0.255</v>
      </c>
      <c r="X65" s="24" t="str">
        <f t="shared" si="7"/>
        <v>High Discount</v>
      </c>
      <c r="Y65" s="36">
        <f>IF(W65&lt;=0.25,W65,'10. Whatif Control pannel'!$B$2)</f>
        <v>0.23</v>
      </c>
      <c r="Z65" s="24">
        <v>51</v>
      </c>
      <c r="AA65" s="13">
        <f>(1+'10. Whatif Control pannel'!$B$10)*Z65</f>
        <v>61.2</v>
      </c>
      <c r="AB65" s="3">
        <f t="shared" si="8"/>
        <v>72665.81745</v>
      </c>
      <c r="AC65" s="3">
        <f t="shared" si="13"/>
        <v>100940.1357888</v>
      </c>
      <c r="AD65" s="3">
        <f t="shared" si="9"/>
        <v>62912.58</v>
      </c>
      <c r="AE65" s="3">
        <f t="shared" si="10"/>
        <v>9753.23745000001</v>
      </c>
      <c r="AF65" s="3">
        <f t="shared" si="14"/>
        <v>38027.5557888</v>
      </c>
      <c r="AG65">
        <f t="shared" si="11"/>
        <v>0.134220432553601</v>
      </c>
    </row>
    <row r="66" spans="1:33">
      <c r="A66" t="s">
        <v>222</v>
      </c>
      <c r="B66" s="20">
        <v>44972</v>
      </c>
      <c r="C66" s="2">
        <f t="shared" ref="C66:C129" si="15">MONTH(B66)</f>
        <v>2</v>
      </c>
      <c r="D66" s="21">
        <f t="shared" si="12"/>
        <v>44972</v>
      </c>
      <c r="E66" s="19" t="str">
        <f t="shared" ref="E66:E129" si="16">IF(AND(MONTH(B66)&gt;=1,MONTH(B66)&lt;=3),"Quarter 1",IF(AND(MONTH(B66)&gt;=4,MONTH(B66)&lt;=6),"Quarter 2",IF(AND(MONTH(B66)&gt;=7,MONTH(B66)&lt;=9),"Quarter 3",IF(AND(MONTH(B66)&gt;=10,MONTH(B66)&lt;=12),"Quarter 4"))))</f>
        <v>Quarter 1</v>
      </c>
      <c r="F66" s="19">
        <v>44983</v>
      </c>
      <c r="G66" s="19">
        <f t="shared" ref="G66:G129" si="17">IF(B66&gt;F66,B66+7,F66)</f>
        <v>44983</v>
      </c>
      <c r="H66" s="22">
        <f t="shared" ref="H66:H129" si="18">G66-B66</f>
        <v>11</v>
      </c>
      <c r="I66" t="str">
        <f t="shared" ref="I66:I129" si="19">IF(H66&lt;=7,"Ontime","Delayed ")</f>
        <v>Delayed </v>
      </c>
      <c r="J66" t="s">
        <v>16</v>
      </c>
      <c r="K66" t="s">
        <v>148</v>
      </c>
      <c r="L66" t="s">
        <v>149</v>
      </c>
      <c r="M66" t="s">
        <v>39</v>
      </c>
      <c r="N66" t="s">
        <v>20</v>
      </c>
      <c r="O66" t="s">
        <v>95</v>
      </c>
      <c r="P66" t="s">
        <v>57</v>
      </c>
      <c r="Q66" t="s">
        <v>223</v>
      </c>
      <c r="R66" s="3">
        <v>498.5</v>
      </c>
      <c r="S66" s="3">
        <v>755.87</v>
      </c>
      <c r="T66" s="3">
        <f t="shared" ref="T66:T129" si="20">IF(S66&lt;=0,R66,S66)</f>
        <v>755.87</v>
      </c>
      <c r="U66" s="3">
        <f>(1+'10. Whatif Control pannel'!$B$6)*T66</f>
        <v>846.5744</v>
      </c>
      <c r="V66" s="3" t="str">
        <f t="shared" ref="V66:V129" si="21">IF(T66&lt;=_xlfn.PERCENTILE.INC(T66:T697,33%),"Low",IF(T66&lt;=_xlfn.PERCENTILE.INC(T66:T697,67%),"Medium","High"))</f>
        <v>Low</v>
      </c>
      <c r="W66" s="34">
        <v>0.13</v>
      </c>
      <c r="X66" s="24" t="str">
        <f t="shared" ref="X66:X129" si="22">IF(W66&gt;0.2,"High Discount","Okay")</f>
        <v>Okay</v>
      </c>
      <c r="Y66" s="36">
        <f>IF(W66&lt;=0.25,W66,'10. Whatif Control pannel'!$B$2)</f>
        <v>0.13</v>
      </c>
      <c r="Z66" s="24">
        <v>40</v>
      </c>
      <c r="AA66" s="13">
        <f>(1+'10. Whatif Control pannel'!$B$10)*Z66</f>
        <v>48</v>
      </c>
      <c r="AB66" s="3">
        <f t="shared" ref="AB66:AB129" si="23">T66*Z66*(1-W66)</f>
        <v>26304.276</v>
      </c>
      <c r="AC66" s="3">
        <f t="shared" si="13"/>
        <v>35352.946944</v>
      </c>
      <c r="AD66" s="3">
        <f t="shared" ref="AD66:AD129" si="24">R66*Z66</f>
        <v>19940</v>
      </c>
      <c r="AE66" s="3">
        <f t="shared" ref="AE66:AE129" si="25">AB66-AD66</f>
        <v>6364.276</v>
      </c>
      <c r="AF66" s="3">
        <f t="shared" si="14"/>
        <v>15412.946944</v>
      </c>
      <c r="AG66">
        <f t="shared" ref="AG66:AG129" si="26">IF(AB66=0,0,AE66/AB66)</f>
        <v>0.241948343303575</v>
      </c>
    </row>
    <row r="67" spans="1:33">
      <c r="A67" t="s">
        <v>224</v>
      </c>
      <c r="B67" s="20">
        <v>45263</v>
      </c>
      <c r="C67" s="2">
        <f t="shared" si="15"/>
        <v>12</v>
      </c>
      <c r="D67" s="21">
        <f t="shared" ref="D67:D130" si="27">B67</f>
        <v>45263</v>
      </c>
      <c r="E67" s="19" t="str">
        <f t="shared" si="16"/>
        <v>Quarter 4</v>
      </c>
      <c r="F67" s="19">
        <v>45286</v>
      </c>
      <c r="G67" s="19">
        <f t="shared" si="17"/>
        <v>45286</v>
      </c>
      <c r="H67" s="22">
        <f t="shared" si="18"/>
        <v>23</v>
      </c>
      <c r="I67" t="str">
        <f t="shared" si="19"/>
        <v>Delayed </v>
      </c>
      <c r="J67" t="s">
        <v>52</v>
      </c>
      <c r="K67" t="s">
        <v>73</v>
      </c>
      <c r="L67" t="s">
        <v>225</v>
      </c>
      <c r="M67" t="s">
        <v>27</v>
      </c>
      <c r="N67" t="s">
        <v>20</v>
      </c>
      <c r="O67" t="s">
        <v>68</v>
      </c>
      <c r="P67" t="s">
        <v>42</v>
      </c>
      <c r="Q67" t="s">
        <v>226</v>
      </c>
      <c r="R67" s="3">
        <v>1303.11</v>
      </c>
      <c r="S67" s="3">
        <v>1145.67</v>
      </c>
      <c r="T67" s="3">
        <f t="shared" si="20"/>
        <v>1145.67</v>
      </c>
      <c r="U67" s="3">
        <f>(1+'10. Whatif Control pannel'!$B$6)*T67</f>
        <v>1283.1504</v>
      </c>
      <c r="V67" s="3" t="str">
        <f t="shared" si="21"/>
        <v>Medium</v>
      </c>
      <c r="W67" s="34">
        <v>0.184</v>
      </c>
      <c r="X67" s="24" t="str">
        <f t="shared" si="22"/>
        <v>Okay</v>
      </c>
      <c r="Y67" s="36">
        <f>IF(W67&lt;=0.25,W67,'10. Whatif Control pannel'!$B$2)</f>
        <v>0.184</v>
      </c>
      <c r="Z67" s="24">
        <v>13</v>
      </c>
      <c r="AA67" s="13">
        <f>(1+'10. Whatif Control pannel'!$B$10)*Z67</f>
        <v>15.6</v>
      </c>
      <c r="AB67" s="3">
        <f t="shared" si="23"/>
        <v>12153.26736</v>
      </c>
      <c r="AC67" s="3">
        <f t="shared" ref="AC67:AC130" si="28">U67*AA67*(1-Y67)</f>
        <v>16333.99133184</v>
      </c>
      <c r="AD67" s="3">
        <f t="shared" si="24"/>
        <v>16940.43</v>
      </c>
      <c r="AE67" s="3">
        <f t="shared" si="25"/>
        <v>-4787.16264</v>
      </c>
      <c r="AF67" s="3">
        <f t="shared" ref="AF67:AF130" si="29">AC67-AD67</f>
        <v>-606.438668159997</v>
      </c>
      <c r="AG67">
        <f t="shared" si="26"/>
        <v>-0.393899228758512</v>
      </c>
    </row>
    <row r="68" spans="1:33">
      <c r="A68" t="s">
        <v>227</v>
      </c>
      <c r="B68" s="20">
        <v>45004</v>
      </c>
      <c r="C68" s="2">
        <f t="shared" si="15"/>
        <v>3</v>
      </c>
      <c r="D68" s="21">
        <f t="shared" si="27"/>
        <v>45004</v>
      </c>
      <c r="E68" s="19" t="str">
        <f t="shared" si="16"/>
        <v>Quarter 1</v>
      </c>
      <c r="F68" s="19">
        <v>45025</v>
      </c>
      <c r="G68" s="19">
        <f t="shared" si="17"/>
        <v>45025</v>
      </c>
      <c r="H68" s="22">
        <f t="shared" si="18"/>
        <v>21</v>
      </c>
      <c r="I68" t="str">
        <f t="shared" si="19"/>
        <v>Delayed </v>
      </c>
      <c r="J68" t="s">
        <v>78</v>
      </c>
      <c r="K68" t="s">
        <v>108</v>
      </c>
      <c r="L68" t="s">
        <v>228</v>
      </c>
      <c r="M68" t="s">
        <v>48</v>
      </c>
      <c r="N68" t="s">
        <v>20</v>
      </c>
      <c r="O68" t="s">
        <v>49</v>
      </c>
      <c r="P68" t="s">
        <v>81</v>
      </c>
      <c r="Q68" t="s">
        <v>229</v>
      </c>
      <c r="R68" s="3">
        <v>1082.17</v>
      </c>
      <c r="S68" s="3">
        <v>1234.1</v>
      </c>
      <c r="T68" s="3">
        <f t="shared" si="20"/>
        <v>1234.1</v>
      </c>
      <c r="U68" s="3">
        <f>(1+'10. Whatif Control pannel'!$B$6)*T68</f>
        <v>1382.192</v>
      </c>
      <c r="V68" s="3" t="str">
        <f t="shared" si="21"/>
        <v>Medium</v>
      </c>
      <c r="W68" s="34">
        <v>0.189</v>
      </c>
      <c r="X68" s="24" t="str">
        <f t="shared" si="22"/>
        <v>Okay</v>
      </c>
      <c r="Y68" s="36">
        <f>IF(W68&lt;=0.25,W68,'10. Whatif Control pannel'!$B$2)</f>
        <v>0.189</v>
      </c>
      <c r="Z68" s="24">
        <v>16</v>
      </c>
      <c r="AA68" s="13">
        <f>(1+'10. Whatif Control pannel'!$B$10)*Z68</f>
        <v>19.2</v>
      </c>
      <c r="AB68" s="3">
        <f t="shared" si="23"/>
        <v>16013.6816</v>
      </c>
      <c r="AC68" s="3">
        <f t="shared" si="28"/>
        <v>21522.3880704</v>
      </c>
      <c r="AD68" s="3">
        <f t="shared" si="24"/>
        <v>17314.72</v>
      </c>
      <c r="AE68" s="3">
        <f t="shared" si="25"/>
        <v>-1301.0384</v>
      </c>
      <c r="AF68" s="3">
        <f t="shared" si="29"/>
        <v>4207.6680704</v>
      </c>
      <c r="AG68">
        <f t="shared" si="26"/>
        <v>-0.0812454270353423</v>
      </c>
    </row>
    <row r="69" spans="1:33">
      <c r="A69" t="s">
        <v>230</v>
      </c>
      <c r="B69" s="20">
        <v>45434</v>
      </c>
      <c r="C69" s="2">
        <f t="shared" si="15"/>
        <v>5</v>
      </c>
      <c r="D69" s="21">
        <f t="shared" si="27"/>
        <v>45434</v>
      </c>
      <c r="E69" s="19" t="str">
        <f t="shared" si="16"/>
        <v>Quarter 2</v>
      </c>
      <c r="F69" s="19">
        <v>45449</v>
      </c>
      <c r="G69" s="19">
        <f t="shared" si="17"/>
        <v>45449</v>
      </c>
      <c r="H69" s="22">
        <f t="shared" si="18"/>
        <v>15</v>
      </c>
      <c r="I69" t="str">
        <f t="shared" si="19"/>
        <v>Delayed </v>
      </c>
      <c r="J69" t="s">
        <v>45</v>
      </c>
      <c r="K69" t="s">
        <v>46</v>
      </c>
      <c r="L69" t="s">
        <v>231</v>
      </c>
      <c r="M69" t="s">
        <v>19</v>
      </c>
      <c r="N69" t="s">
        <v>55</v>
      </c>
      <c r="O69" t="s">
        <v>21</v>
      </c>
      <c r="P69" t="s">
        <v>64</v>
      </c>
      <c r="Q69" t="s">
        <v>232</v>
      </c>
      <c r="R69" s="3">
        <v>673.88</v>
      </c>
      <c r="S69" s="3">
        <v>1228.01</v>
      </c>
      <c r="T69" s="3">
        <f t="shared" si="20"/>
        <v>1228.01</v>
      </c>
      <c r="U69" s="3">
        <f>(1+'10. Whatif Control pannel'!$B$6)*T69</f>
        <v>1375.3712</v>
      </c>
      <c r="V69" s="3" t="str">
        <f t="shared" si="21"/>
        <v>Medium</v>
      </c>
      <c r="W69" s="34">
        <v>0.105</v>
      </c>
      <c r="X69" s="24" t="str">
        <f t="shared" si="22"/>
        <v>Okay</v>
      </c>
      <c r="Y69" s="36">
        <f>IF(W69&lt;=0.25,W69,'10. Whatif Control pannel'!$B$2)</f>
        <v>0.105</v>
      </c>
      <c r="Z69" s="24">
        <v>13</v>
      </c>
      <c r="AA69" s="13">
        <f>(1+'10. Whatif Control pannel'!$B$10)*Z69</f>
        <v>15.6</v>
      </c>
      <c r="AB69" s="3">
        <f t="shared" si="23"/>
        <v>14287.89635</v>
      </c>
      <c r="AC69" s="3">
        <f t="shared" si="28"/>
        <v>19202.9326944</v>
      </c>
      <c r="AD69" s="3">
        <f t="shared" si="24"/>
        <v>8760.44</v>
      </c>
      <c r="AE69" s="3">
        <f t="shared" si="25"/>
        <v>5527.45635</v>
      </c>
      <c r="AF69" s="3">
        <f t="shared" si="29"/>
        <v>10442.4926944</v>
      </c>
      <c r="AG69">
        <f t="shared" si="26"/>
        <v>0.3868628533269</v>
      </c>
    </row>
    <row r="70" spans="1:33">
      <c r="A70" t="s">
        <v>233</v>
      </c>
      <c r="B70" s="20">
        <v>45157</v>
      </c>
      <c r="C70" s="2">
        <f t="shared" si="15"/>
        <v>8</v>
      </c>
      <c r="D70" s="21">
        <f t="shared" si="27"/>
        <v>45157</v>
      </c>
      <c r="E70" s="19" t="str">
        <f t="shared" si="16"/>
        <v>Quarter 3</v>
      </c>
      <c r="F70" s="19">
        <v>45176</v>
      </c>
      <c r="G70" s="19">
        <f t="shared" si="17"/>
        <v>45176</v>
      </c>
      <c r="H70" s="22">
        <f t="shared" si="18"/>
        <v>19</v>
      </c>
      <c r="I70" t="str">
        <f t="shared" si="19"/>
        <v>Delayed </v>
      </c>
      <c r="J70" t="s">
        <v>16</v>
      </c>
      <c r="K70" t="s">
        <v>148</v>
      </c>
      <c r="L70" t="s">
        <v>149</v>
      </c>
      <c r="M70" t="s">
        <v>105</v>
      </c>
      <c r="N70" t="s">
        <v>20</v>
      </c>
      <c r="O70" t="s">
        <v>145</v>
      </c>
      <c r="P70" t="s">
        <v>64</v>
      </c>
      <c r="Q70" t="s">
        <v>234</v>
      </c>
      <c r="R70" s="3">
        <v>494.61</v>
      </c>
      <c r="S70" s="3">
        <v>605.23</v>
      </c>
      <c r="T70" s="3">
        <f t="shared" si="20"/>
        <v>605.23</v>
      </c>
      <c r="U70" s="3">
        <f>(1+'10. Whatif Control pannel'!$B$6)*T70</f>
        <v>677.8576</v>
      </c>
      <c r="V70" s="3" t="str">
        <f t="shared" si="21"/>
        <v>Low</v>
      </c>
      <c r="W70" s="34">
        <v>0.204</v>
      </c>
      <c r="X70" s="24" t="str">
        <f t="shared" si="22"/>
        <v>High Discount</v>
      </c>
      <c r="Y70" s="36">
        <f>IF(W70&lt;=0.25,W70,'10. Whatif Control pannel'!$B$2)</f>
        <v>0.204</v>
      </c>
      <c r="Z70" s="24">
        <v>18</v>
      </c>
      <c r="AA70" s="13">
        <f>(1+'10. Whatif Control pannel'!$B$10)*Z70</f>
        <v>21.6</v>
      </c>
      <c r="AB70" s="3">
        <f t="shared" si="23"/>
        <v>8671.73544</v>
      </c>
      <c r="AC70" s="3">
        <f t="shared" si="28"/>
        <v>11654.81243136</v>
      </c>
      <c r="AD70" s="3">
        <f t="shared" si="24"/>
        <v>8902.98</v>
      </c>
      <c r="AE70" s="3">
        <f t="shared" si="25"/>
        <v>-231.244559999999</v>
      </c>
      <c r="AF70" s="3">
        <f t="shared" si="29"/>
        <v>2751.83243136</v>
      </c>
      <c r="AG70">
        <f t="shared" si="26"/>
        <v>-0.0266664685056396</v>
      </c>
    </row>
    <row r="71" spans="1:33">
      <c r="A71" t="s">
        <v>235</v>
      </c>
      <c r="B71" s="20">
        <v>45037</v>
      </c>
      <c r="C71" s="2">
        <f t="shared" si="15"/>
        <v>4</v>
      </c>
      <c r="D71" s="21">
        <f t="shared" si="27"/>
        <v>45037</v>
      </c>
      <c r="E71" s="19" t="str">
        <f t="shared" si="16"/>
        <v>Quarter 2</v>
      </c>
      <c r="F71" s="19">
        <v>45056</v>
      </c>
      <c r="G71" s="19">
        <f t="shared" si="17"/>
        <v>45056</v>
      </c>
      <c r="H71" s="22">
        <f t="shared" si="18"/>
        <v>19</v>
      </c>
      <c r="I71" t="str">
        <f t="shared" si="19"/>
        <v>Delayed </v>
      </c>
      <c r="J71" t="s">
        <v>45</v>
      </c>
      <c r="K71" t="s">
        <v>116</v>
      </c>
      <c r="L71" t="s">
        <v>162</v>
      </c>
      <c r="M71" t="s">
        <v>19</v>
      </c>
      <c r="N71" t="s">
        <v>20</v>
      </c>
      <c r="O71" t="s">
        <v>75</v>
      </c>
      <c r="P71" t="s">
        <v>22</v>
      </c>
      <c r="Q71" t="s">
        <v>236</v>
      </c>
      <c r="R71" s="3">
        <v>882.33</v>
      </c>
      <c r="S71" s="3">
        <v>1880.15</v>
      </c>
      <c r="T71" s="3">
        <f t="shared" si="20"/>
        <v>1880.15</v>
      </c>
      <c r="U71" s="3">
        <f>(1+'10. Whatif Control pannel'!$B$6)*T71</f>
        <v>2105.768</v>
      </c>
      <c r="V71" s="3" t="str">
        <f t="shared" si="21"/>
        <v>High</v>
      </c>
      <c r="W71" s="34">
        <v>0.05</v>
      </c>
      <c r="X71" s="24" t="str">
        <f t="shared" si="22"/>
        <v>Okay</v>
      </c>
      <c r="Y71" s="36">
        <f>IF(W71&lt;=0.25,W71,'10. Whatif Control pannel'!$B$2)</f>
        <v>0.05</v>
      </c>
      <c r="Z71" s="24">
        <v>5</v>
      </c>
      <c r="AA71" s="13">
        <f>(1+'10. Whatif Control pannel'!$B$10)*Z71</f>
        <v>6</v>
      </c>
      <c r="AB71" s="3">
        <f t="shared" si="23"/>
        <v>8930.7125</v>
      </c>
      <c r="AC71" s="3">
        <f t="shared" si="28"/>
        <v>12002.8776</v>
      </c>
      <c r="AD71" s="3">
        <f t="shared" si="24"/>
        <v>4411.65</v>
      </c>
      <c r="AE71" s="3">
        <f t="shared" si="25"/>
        <v>4519.0625</v>
      </c>
      <c r="AF71" s="3">
        <f t="shared" si="29"/>
        <v>7591.2276</v>
      </c>
      <c r="AG71">
        <f t="shared" si="26"/>
        <v>0.50601365792483</v>
      </c>
    </row>
    <row r="72" spans="1:33">
      <c r="A72" t="s">
        <v>237</v>
      </c>
      <c r="B72" s="20">
        <v>45369</v>
      </c>
      <c r="C72" s="2">
        <f t="shared" si="15"/>
        <v>3</v>
      </c>
      <c r="D72" s="21">
        <f t="shared" si="27"/>
        <v>45369</v>
      </c>
      <c r="E72" s="19" t="str">
        <f t="shared" si="16"/>
        <v>Quarter 1</v>
      </c>
      <c r="F72" s="19">
        <v>45372</v>
      </c>
      <c r="G72" s="19">
        <f t="shared" si="17"/>
        <v>45372</v>
      </c>
      <c r="H72" s="22">
        <f t="shared" si="18"/>
        <v>3</v>
      </c>
      <c r="I72" t="str">
        <f t="shared" si="19"/>
        <v>Ontime</v>
      </c>
      <c r="J72" t="s">
        <v>78</v>
      </c>
      <c r="K72" t="s">
        <v>79</v>
      </c>
      <c r="L72" t="s">
        <v>159</v>
      </c>
      <c r="M72" t="s">
        <v>62</v>
      </c>
      <c r="N72" t="s">
        <v>28</v>
      </c>
      <c r="O72" t="s">
        <v>110</v>
      </c>
      <c r="P72" t="s">
        <v>81</v>
      </c>
      <c r="Q72" t="s">
        <v>238</v>
      </c>
      <c r="R72" s="3">
        <v>910.63</v>
      </c>
      <c r="S72" s="3">
        <v>1269.4</v>
      </c>
      <c r="T72" s="3">
        <f t="shared" si="20"/>
        <v>1269.4</v>
      </c>
      <c r="U72" s="3">
        <f>(1+'10. Whatif Control pannel'!$B$6)*T72</f>
        <v>1421.728</v>
      </c>
      <c r="V72" s="3" t="str">
        <f t="shared" si="21"/>
        <v>Medium</v>
      </c>
      <c r="W72" s="34">
        <v>0.068</v>
      </c>
      <c r="X72" s="24" t="str">
        <f t="shared" si="22"/>
        <v>Okay</v>
      </c>
      <c r="Y72" s="36">
        <f>IF(W72&lt;=0.25,W72,'10. Whatif Control pannel'!$B$2)</f>
        <v>0.068</v>
      </c>
      <c r="Z72" s="24">
        <v>9</v>
      </c>
      <c r="AA72" s="13">
        <f>(1+'10. Whatif Control pannel'!$B$10)*Z72</f>
        <v>10.8</v>
      </c>
      <c r="AB72" s="3">
        <f t="shared" si="23"/>
        <v>10647.7272</v>
      </c>
      <c r="AC72" s="3">
        <f t="shared" si="28"/>
        <v>14310.5453568</v>
      </c>
      <c r="AD72" s="3">
        <f t="shared" si="24"/>
        <v>8195.67</v>
      </c>
      <c r="AE72" s="3">
        <f t="shared" si="25"/>
        <v>2452.0572</v>
      </c>
      <c r="AF72" s="3">
        <f t="shared" si="29"/>
        <v>6114.8753568</v>
      </c>
      <c r="AG72">
        <f t="shared" si="26"/>
        <v>0.230289258349895</v>
      </c>
    </row>
    <row r="73" spans="1:33">
      <c r="A73" t="s">
        <v>239</v>
      </c>
      <c r="B73" s="20">
        <v>45756</v>
      </c>
      <c r="C73" s="2">
        <f t="shared" si="15"/>
        <v>4</v>
      </c>
      <c r="D73" s="21">
        <f t="shared" si="27"/>
        <v>45756</v>
      </c>
      <c r="E73" s="19" t="str">
        <f t="shared" si="16"/>
        <v>Quarter 2</v>
      </c>
      <c r="F73" s="19">
        <v>45783</v>
      </c>
      <c r="G73" s="19">
        <f t="shared" si="17"/>
        <v>45783</v>
      </c>
      <c r="H73" s="22">
        <f t="shared" si="18"/>
        <v>27</v>
      </c>
      <c r="I73" t="str">
        <f t="shared" si="19"/>
        <v>Delayed </v>
      </c>
      <c r="J73" t="s">
        <v>52</v>
      </c>
      <c r="K73" t="s">
        <v>73</v>
      </c>
      <c r="L73" t="s">
        <v>87</v>
      </c>
      <c r="M73" t="s">
        <v>105</v>
      </c>
      <c r="N73" t="s">
        <v>40</v>
      </c>
      <c r="O73" t="s">
        <v>84</v>
      </c>
      <c r="P73" t="s">
        <v>57</v>
      </c>
      <c r="Q73" t="s">
        <v>240</v>
      </c>
      <c r="R73" s="3">
        <v>264.19</v>
      </c>
      <c r="S73" s="3">
        <v>620.93</v>
      </c>
      <c r="T73" s="3">
        <f t="shared" si="20"/>
        <v>620.93</v>
      </c>
      <c r="U73" s="3">
        <f>(1+'10. Whatif Control pannel'!$B$6)*T73</f>
        <v>695.4416</v>
      </c>
      <c r="V73" s="3" t="str">
        <f t="shared" si="21"/>
        <v>Low</v>
      </c>
      <c r="W73" s="34">
        <v>0.142</v>
      </c>
      <c r="X73" s="24" t="str">
        <f t="shared" si="22"/>
        <v>Okay</v>
      </c>
      <c r="Y73" s="36">
        <f>IF(W73&lt;=0.25,W73,'10. Whatif Control pannel'!$B$2)</f>
        <v>0.142</v>
      </c>
      <c r="Z73" s="24">
        <v>12</v>
      </c>
      <c r="AA73" s="13">
        <f>(1+'10. Whatif Control pannel'!$B$10)*Z73</f>
        <v>14.4</v>
      </c>
      <c r="AB73" s="3">
        <f t="shared" si="23"/>
        <v>6393.09528</v>
      </c>
      <c r="AC73" s="3">
        <f t="shared" si="28"/>
        <v>8592.32005632</v>
      </c>
      <c r="AD73" s="3">
        <f t="shared" si="24"/>
        <v>3170.28</v>
      </c>
      <c r="AE73" s="3">
        <f t="shared" si="25"/>
        <v>3222.81528</v>
      </c>
      <c r="AF73" s="3">
        <f t="shared" si="29"/>
        <v>5422.04005632</v>
      </c>
      <c r="AG73">
        <f t="shared" si="26"/>
        <v>0.504108751527945</v>
      </c>
    </row>
    <row r="74" spans="1:33">
      <c r="A74" t="s">
        <v>241</v>
      </c>
      <c r="B74" s="20">
        <v>45394</v>
      </c>
      <c r="C74" s="2">
        <f t="shared" si="15"/>
        <v>4</v>
      </c>
      <c r="D74" s="21">
        <f t="shared" si="27"/>
        <v>45394</v>
      </c>
      <c r="E74" s="19" t="str">
        <f t="shared" si="16"/>
        <v>Quarter 2</v>
      </c>
      <c r="F74" s="19">
        <v>45419</v>
      </c>
      <c r="G74" s="19">
        <f t="shared" si="17"/>
        <v>45419</v>
      </c>
      <c r="H74" s="22">
        <f t="shared" si="18"/>
        <v>25</v>
      </c>
      <c r="I74" t="str">
        <f t="shared" si="19"/>
        <v>Delayed </v>
      </c>
      <c r="J74" t="s">
        <v>16</v>
      </c>
      <c r="K74" t="s">
        <v>148</v>
      </c>
      <c r="L74" t="s">
        <v>149</v>
      </c>
      <c r="M74" t="s">
        <v>27</v>
      </c>
      <c r="N74" t="s">
        <v>55</v>
      </c>
      <c r="O74" t="s">
        <v>75</v>
      </c>
      <c r="P74" t="s">
        <v>57</v>
      </c>
      <c r="Q74" t="s">
        <v>242</v>
      </c>
      <c r="R74" s="3">
        <v>1376.51</v>
      </c>
      <c r="S74" s="3">
        <v>1455.91</v>
      </c>
      <c r="T74" s="3">
        <f t="shared" si="20"/>
        <v>1455.91</v>
      </c>
      <c r="U74" s="3">
        <f>(1+'10. Whatif Control pannel'!$B$6)*T74</f>
        <v>1630.6192</v>
      </c>
      <c r="V74" s="3" t="str">
        <f t="shared" si="21"/>
        <v>Medium</v>
      </c>
      <c r="W74" s="34">
        <v>0.185</v>
      </c>
      <c r="X74" s="24" t="str">
        <f t="shared" si="22"/>
        <v>Okay</v>
      </c>
      <c r="Y74" s="36">
        <f>IF(W74&lt;=0.25,W74,'10. Whatif Control pannel'!$B$2)</f>
        <v>0.185</v>
      </c>
      <c r="Z74" s="24">
        <v>17</v>
      </c>
      <c r="AA74" s="13">
        <f>(1+'10. Whatif Control pannel'!$B$10)*Z74</f>
        <v>20.4</v>
      </c>
      <c r="AB74" s="3">
        <f t="shared" si="23"/>
        <v>20171.63305</v>
      </c>
      <c r="AC74" s="3">
        <f t="shared" si="28"/>
        <v>27110.6748192</v>
      </c>
      <c r="AD74" s="3">
        <f t="shared" si="24"/>
        <v>23400.67</v>
      </c>
      <c r="AE74" s="3">
        <f t="shared" si="25"/>
        <v>-3229.03695</v>
      </c>
      <c r="AF74" s="3">
        <f t="shared" si="29"/>
        <v>3710.0048192</v>
      </c>
      <c r="AG74">
        <f t="shared" si="26"/>
        <v>-0.160078112763408</v>
      </c>
    </row>
    <row r="75" spans="1:33">
      <c r="A75" t="s">
        <v>243</v>
      </c>
      <c r="B75" s="20">
        <v>45641</v>
      </c>
      <c r="C75" s="2">
        <f t="shared" si="15"/>
        <v>12</v>
      </c>
      <c r="D75" s="21">
        <f t="shared" si="27"/>
        <v>45641</v>
      </c>
      <c r="E75" s="19" t="str">
        <f t="shared" si="16"/>
        <v>Quarter 4</v>
      </c>
      <c r="F75" s="19">
        <v>45646</v>
      </c>
      <c r="G75" s="19">
        <f t="shared" si="17"/>
        <v>45646</v>
      </c>
      <c r="H75" s="22">
        <f t="shared" si="18"/>
        <v>5</v>
      </c>
      <c r="I75" t="str">
        <f t="shared" si="19"/>
        <v>Ontime</v>
      </c>
      <c r="J75" t="s">
        <v>45</v>
      </c>
      <c r="K75" t="s">
        <v>116</v>
      </c>
      <c r="L75" t="s">
        <v>117</v>
      </c>
      <c r="M75" t="s">
        <v>62</v>
      </c>
      <c r="N75" t="s">
        <v>98</v>
      </c>
      <c r="O75" t="s">
        <v>29</v>
      </c>
      <c r="P75" t="s">
        <v>35</v>
      </c>
      <c r="Q75" t="s">
        <v>244</v>
      </c>
      <c r="R75" s="3">
        <v>717.55</v>
      </c>
      <c r="S75" s="3">
        <v>546.43</v>
      </c>
      <c r="T75" s="3">
        <f t="shared" si="20"/>
        <v>546.43</v>
      </c>
      <c r="U75" s="3">
        <f>(1+'10. Whatif Control pannel'!$B$6)*T75</f>
        <v>612.0016</v>
      </c>
      <c r="V75" s="3" t="str">
        <f t="shared" si="21"/>
        <v>Low</v>
      </c>
      <c r="W75" s="34">
        <v>0.047</v>
      </c>
      <c r="X75" s="24" t="str">
        <f t="shared" si="22"/>
        <v>Okay</v>
      </c>
      <c r="Y75" s="36">
        <f>IF(W75&lt;=0.25,W75,'10. Whatif Control pannel'!$B$2)</f>
        <v>0.047</v>
      </c>
      <c r="Z75" s="24">
        <v>18</v>
      </c>
      <c r="AA75" s="13">
        <f>(1+'10. Whatif Control pannel'!$B$10)*Z75</f>
        <v>21.6</v>
      </c>
      <c r="AB75" s="3">
        <f t="shared" si="23"/>
        <v>9373.46022</v>
      </c>
      <c r="AC75" s="3">
        <f t="shared" si="28"/>
        <v>12597.93053568</v>
      </c>
      <c r="AD75" s="3">
        <f t="shared" si="24"/>
        <v>12915.9</v>
      </c>
      <c r="AE75" s="3">
        <f t="shared" si="25"/>
        <v>-3542.43978</v>
      </c>
      <c r="AF75" s="3">
        <f t="shared" si="29"/>
        <v>-317.969464320002</v>
      </c>
      <c r="AG75">
        <f t="shared" si="26"/>
        <v>-0.377922314370264</v>
      </c>
    </row>
    <row r="76" spans="1:33">
      <c r="A76" t="s">
        <v>245</v>
      </c>
      <c r="B76" s="20">
        <v>45066</v>
      </c>
      <c r="C76" s="2">
        <f t="shared" si="15"/>
        <v>5</v>
      </c>
      <c r="D76" s="21">
        <f t="shared" si="27"/>
        <v>45066</v>
      </c>
      <c r="E76" s="19" t="str">
        <f t="shared" si="16"/>
        <v>Quarter 2</v>
      </c>
      <c r="F76" s="19">
        <v>45064</v>
      </c>
      <c r="G76" s="19">
        <f t="shared" si="17"/>
        <v>45073</v>
      </c>
      <c r="H76" s="22">
        <f t="shared" si="18"/>
        <v>7</v>
      </c>
      <c r="I76" t="str">
        <f t="shared" si="19"/>
        <v>Ontime</v>
      </c>
      <c r="J76" t="s">
        <v>16</v>
      </c>
      <c r="K76" t="s">
        <v>148</v>
      </c>
      <c r="L76" t="s">
        <v>172</v>
      </c>
      <c r="M76" t="s">
        <v>19</v>
      </c>
      <c r="N76" t="s">
        <v>55</v>
      </c>
      <c r="O76" t="s">
        <v>75</v>
      </c>
      <c r="P76" t="s">
        <v>22</v>
      </c>
      <c r="Q76" t="s">
        <v>246</v>
      </c>
      <c r="R76" s="3">
        <v>917.88</v>
      </c>
      <c r="S76" s="3">
        <v>1347.92</v>
      </c>
      <c r="T76" s="3">
        <f t="shared" si="20"/>
        <v>1347.92</v>
      </c>
      <c r="U76" s="3">
        <f>(1+'10. Whatif Control pannel'!$B$6)*T76</f>
        <v>1509.6704</v>
      </c>
      <c r="V76" s="3" t="str">
        <f t="shared" si="21"/>
        <v>Medium</v>
      </c>
      <c r="W76" s="34">
        <v>0.343</v>
      </c>
      <c r="X76" s="24" t="str">
        <f t="shared" si="22"/>
        <v>High Discount</v>
      </c>
      <c r="Y76" s="36">
        <f>IF(W76&lt;=0.25,W76,'10. Whatif Control pannel'!$B$2)</f>
        <v>0.23</v>
      </c>
      <c r="Z76" s="24">
        <v>5</v>
      </c>
      <c r="AA76" s="13">
        <f>(1+'10. Whatif Control pannel'!$B$10)*Z76</f>
        <v>6</v>
      </c>
      <c r="AB76" s="3">
        <f t="shared" si="23"/>
        <v>4427.9172</v>
      </c>
      <c r="AC76" s="3">
        <f t="shared" si="28"/>
        <v>6974.677248</v>
      </c>
      <c r="AD76" s="3">
        <f t="shared" si="24"/>
        <v>4589.4</v>
      </c>
      <c r="AE76" s="3">
        <f t="shared" si="25"/>
        <v>-161.482799999999</v>
      </c>
      <c r="AF76" s="3">
        <f t="shared" si="29"/>
        <v>2385.277248</v>
      </c>
      <c r="AG76">
        <f t="shared" si="26"/>
        <v>-0.0364692456308801</v>
      </c>
    </row>
    <row r="77" spans="1:33">
      <c r="A77" t="s">
        <v>247</v>
      </c>
      <c r="B77" s="20">
        <v>45187</v>
      </c>
      <c r="C77" s="2">
        <f t="shared" si="15"/>
        <v>9</v>
      </c>
      <c r="D77" s="21">
        <f t="shared" si="27"/>
        <v>45187</v>
      </c>
      <c r="E77" s="19" t="str">
        <f t="shared" si="16"/>
        <v>Quarter 3</v>
      </c>
      <c r="F77" s="19">
        <v>45207</v>
      </c>
      <c r="G77" s="19">
        <f t="shared" si="17"/>
        <v>45207</v>
      </c>
      <c r="H77" s="22">
        <f t="shared" si="18"/>
        <v>20</v>
      </c>
      <c r="I77" t="str">
        <f t="shared" si="19"/>
        <v>Delayed </v>
      </c>
      <c r="J77" t="s">
        <v>45</v>
      </c>
      <c r="K77" t="s">
        <v>60</v>
      </c>
      <c r="L77" t="s">
        <v>141</v>
      </c>
      <c r="M77" t="s">
        <v>62</v>
      </c>
      <c r="N77" t="s">
        <v>98</v>
      </c>
      <c r="O77" t="s">
        <v>56</v>
      </c>
      <c r="P77" t="s">
        <v>22</v>
      </c>
      <c r="Q77" t="s">
        <v>248</v>
      </c>
      <c r="R77" s="3">
        <v>825.64</v>
      </c>
      <c r="S77" s="3">
        <v>1108.43</v>
      </c>
      <c r="T77" s="3">
        <f t="shared" si="20"/>
        <v>1108.43</v>
      </c>
      <c r="U77" s="3">
        <f>(1+'10. Whatif Control pannel'!$B$6)*T77</f>
        <v>1241.4416</v>
      </c>
      <c r="V77" s="3" t="str">
        <f t="shared" si="21"/>
        <v>Medium</v>
      </c>
      <c r="W77" s="34">
        <v>0.114</v>
      </c>
      <c r="X77" s="24" t="str">
        <f t="shared" si="22"/>
        <v>Okay</v>
      </c>
      <c r="Y77" s="36">
        <f>IF(W77&lt;=0.25,W77,'10. Whatif Control pannel'!$B$2)</f>
        <v>0.114</v>
      </c>
      <c r="Z77" s="24">
        <v>7</v>
      </c>
      <c r="AA77" s="13">
        <f>(1+'10. Whatif Control pannel'!$B$10)*Z77</f>
        <v>8.4</v>
      </c>
      <c r="AB77" s="3">
        <f t="shared" si="23"/>
        <v>6874.48286</v>
      </c>
      <c r="AC77" s="3">
        <f t="shared" si="28"/>
        <v>9239.30496384</v>
      </c>
      <c r="AD77" s="3">
        <f t="shared" si="24"/>
        <v>5779.48</v>
      </c>
      <c r="AE77" s="3">
        <f t="shared" si="25"/>
        <v>1095.00286</v>
      </c>
      <c r="AF77" s="3">
        <f t="shared" si="29"/>
        <v>3459.82496384</v>
      </c>
      <c r="AG77">
        <f t="shared" si="26"/>
        <v>0.159285124757733</v>
      </c>
    </row>
    <row r="78" spans="1:33">
      <c r="A78" t="s">
        <v>249</v>
      </c>
      <c r="B78" s="20">
        <v>45532</v>
      </c>
      <c r="C78" s="2">
        <f t="shared" si="15"/>
        <v>8</v>
      </c>
      <c r="D78" s="21">
        <f t="shared" si="27"/>
        <v>45532</v>
      </c>
      <c r="E78" s="19" t="str">
        <f t="shared" si="16"/>
        <v>Quarter 3</v>
      </c>
      <c r="F78" s="19">
        <v>45560</v>
      </c>
      <c r="G78" s="19">
        <f t="shared" si="17"/>
        <v>45560</v>
      </c>
      <c r="H78" s="22">
        <f t="shared" si="18"/>
        <v>28</v>
      </c>
      <c r="I78" t="str">
        <f t="shared" si="19"/>
        <v>Delayed </v>
      </c>
      <c r="J78" t="s">
        <v>52</v>
      </c>
      <c r="K78" t="s">
        <v>73</v>
      </c>
      <c r="L78" t="s">
        <v>225</v>
      </c>
      <c r="M78" t="s">
        <v>39</v>
      </c>
      <c r="N78" t="s">
        <v>28</v>
      </c>
      <c r="O78" t="s">
        <v>1442</v>
      </c>
      <c r="P78" t="s">
        <v>81</v>
      </c>
      <c r="Q78" t="s">
        <v>250</v>
      </c>
      <c r="R78" s="3">
        <v>1394.65</v>
      </c>
      <c r="S78" s="3">
        <v>3144.1</v>
      </c>
      <c r="T78" s="3">
        <f t="shared" si="20"/>
        <v>3144.1</v>
      </c>
      <c r="U78" s="3">
        <f>(1+'10. Whatif Control pannel'!$B$6)*T78</f>
        <v>3521.392</v>
      </c>
      <c r="V78" s="3" t="str">
        <f t="shared" si="21"/>
        <v>High</v>
      </c>
      <c r="W78" s="34">
        <v>0.134</v>
      </c>
      <c r="X78" s="24" t="str">
        <f t="shared" si="22"/>
        <v>Okay</v>
      </c>
      <c r="Y78" s="36">
        <f>IF(W78&lt;=0.25,W78,'10. Whatif Control pannel'!$B$2)</f>
        <v>0.134</v>
      </c>
      <c r="Z78" s="24">
        <v>13</v>
      </c>
      <c r="AA78" s="13">
        <f>(1+'10. Whatif Control pannel'!$B$10)*Z78</f>
        <v>15.6</v>
      </c>
      <c r="AB78" s="3">
        <f t="shared" si="23"/>
        <v>35396.2778</v>
      </c>
      <c r="AC78" s="3">
        <f t="shared" si="28"/>
        <v>47572.5973632</v>
      </c>
      <c r="AD78" s="3">
        <f t="shared" si="24"/>
        <v>18130.45</v>
      </c>
      <c r="AE78" s="3">
        <f t="shared" si="25"/>
        <v>17265.8278</v>
      </c>
      <c r="AF78" s="3">
        <f t="shared" si="29"/>
        <v>29442.1473632</v>
      </c>
      <c r="AG78">
        <f t="shared" si="26"/>
        <v>0.487786537826302</v>
      </c>
    </row>
    <row r="79" spans="1:33">
      <c r="A79" t="s">
        <v>251</v>
      </c>
      <c r="B79" s="20">
        <v>45473</v>
      </c>
      <c r="C79" s="2">
        <f t="shared" si="15"/>
        <v>6</v>
      </c>
      <c r="D79" s="21">
        <f t="shared" si="27"/>
        <v>45473</v>
      </c>
      <c r="E79" s="19" t="str">
        <f t="shared" si="16"/>
        <v>Quarter 2</v>
      </c>
      <c r="F79" s="19">
        <v>45471</v>
      </c>
      <c r="G79" s="19">
        <f t="shared" si="17"/>
        <v>45480</v>
      </c>
      <c r="H79" s="22">
        <f t="shared" si="18"/>
        <v>7</v>
      </c>
      <c r="I79" t="str">
        <f t="shared" si="19"/>
        <v>Ontime</v>
      </c>
      <c r="J79" t="s">
        <v>52</v>
      </c>
      <c r="K79" t="s">
        <v>73</v>
      </c>
      <c r="L79" t="s">
        <v>225</v>
      </c>
      <c r="M79" t="s">
        <v>62</v>
      </c>
      <c r="N79" t="s">
        <v>98</v>
      </c>
      <c r="O79" t="s">
        <v>49</v>
      </c>
      <c r="P79" t="s">
        <v>81</v>
      </c>
      <c r="Q79" t="s">
        <v>252</v>
      </c>
      <c r="R79" s="3">
        <v>1112.98</v>
      </c>
      <c r="S79" s="3">
        <v>2095.73</v>
      </c>
      <c r="T79" s="3">
        <f t="shared" si="20"/>
        <v>2095.73</v>
      </c>
      <c r="U79" s="3">
        <f>(1+'10. Whatif Control pannel'!$B$6)*T79</f>
        <v>2347.2176</v>
      </c>
      <c r="V79" s="3" t="str">
        <f t="shared" si="21"/>
        <v>High</v>
      </c>
      <c r="W79" s="34">
        <v>0.072</v>
      </c>
      <c r="X79" s="24" t="str">
        <f t="shared" si="22"/>
        <v>Okay</v>
      </c>
      <c r="Y79" s="36">
        <f>IF(W79&lt;=0.25,W79,'10. Whatif Control pannel'!$B$2)</f>
        <v>0.072</v>
      </c>
      <c r="Z79" s="24">
        <v>17</v>
      </c>
      <c r="AA79" s="13">
        <f>(1+'10. Whatif Control pannel'!$B$10)*Z79</f>
        <v>20.4</v>
      </c>
      <c r="AB79" s="3">
        <f t="shared" si="23"/>
        <v>33062.23648</v>
      </c>
      <c r="AC79" s="3">
        <f t="shared" si="28"/>
        <v>44435.64582912</v>
      </c>
      <c r="AD79" s="3">
        <f t="shared" si="24"/>
        <v>18920.66</v>
      </c>
      <c r="AE79" s="3">
        <f t="shared" si="25"/>
        <v>14141.57648</v>
      </c>
      <c r="AF79" s="3">
        <f t="shared" si="29"/>
        <v>25514.98582912</v>
      </c>
      <c r="AG79">
        <f t="shared" si="26"/>
        <v>0.427725949167248</v>
      </c>
    </row>
    <row r="80" spans="1:33">
      <c r="A80" t="s">
        <v>253</v>
      </c>
      <c r="B80" s="20">
        <v>45091</v>
      </c>
      <c r="C80" s="2">
        <f t="shared" si="15"/>
        <v>6</v>
      </c>
      <c r="D80" s="21">
        <f t="shared" si="27"/>
        <v>45091</v>
      </c>
      <c r="E80" s="19" t="str">
        <f t="shared" si="16"/>
        <v>Quarter 2</v>
      </c>
      <c r="F80" s="19">
        <v>45093</v>
      </c>
      <c r="G80" s="19">
        <f t="shared" si="17"/>
        <v>45093</v>
      </c>
      <c r="H80" s="22">
        <f t="shared" si="18"/>
        <v>2</v>
      </c>
      <c r="I80" t="str">
        <f t="shared" si="19"/>
        <v>Ontime</v>
      </c>
      <c r="J80" t="s">
        <v>78</v>
      </c>
      <c r="K80" t="s">
        <v>108</v>
      </c>
      <c r="L80" t="s">
        <v>228</v>
      </c>
      <c r="M80" t="s">
        <v>39</v>
      </c>
      <c r="N80" t="s">
        <v>98</v>
      </c>
      <c r="O80" t="s">
        <v>95</v>
      </c>
      <c r="P80" t="s">
        <v>22</v>
      </c>
      <c r="Q80" t="s">
        <v>254</v>
      </c>
      <c r="R80" s="3">
        <v>357.36</v>
      </c>
      <c r="S80" s="3">
        <v>703.62</v>
      </c>
      <c r="T80" s="3">
        <f t="shared" si="20"/>
        <v>703.62</v>
      </c>
      <c r="U80" s="3">
        <f>(1+'10. Whatif Control pannel'!$B$6)*T80</f>
        <v>788.0544</v>
      </c>
      <c r="V80" s="3" t="str">
        <f t="shared" si="21"/>
        <v>Low</v>
      </c>
      <c r="W80" s="34">
        <v>0.257</v>
      </c>
      <c r="X80" s="24" t="str">
        <f t="shared" si="22"/>
        <v>High Discount</v>
      </c>
      <c r="Y80" s="36">
        <f>IF(W80&lt;=0.25,W80,'10. Whatif Control pannel'!$B$2)</f>
        <v>0.23</v>
      </c>
      <c r="Z80" s="24">
        <v>20</v>
      </c>
      <c r="AA80" s="13">
        <f>(1+'10. Whatif Control pannel'!$B$10)*Z80</f>
        <v>24</v>
      </c>
      <c r="AB80" s="3">
        <f t="shared" si="23"/>
        <v>10455.7932</v>
      </c>
      <c r="AC80" s="3">
        <f t="shared" si="28"/>
        <v>14563.245312</v>
      </c>
      <c r="AD80" s="3">
        <f t="shared" si="24"/>
        <v>7147.2</v>
      </c>
      <c r="AE80" s="3">
        <f t="shared" si="25"/>
        <v>3308.5932</v>
      </c>
      <c r="AF80" s="3">
        <f t="shared" si="29"/>
        <v>7416.045312</v>
      </c>
      <c r="AG80">
        <f t="shared" si="26"/>
        <v>0.316436365631256</v>
      </c>
    </row>
    <row r="81" spans="1:33">
      <c r="A81" t="s">
        <v>255</v>
      </c>
      <c r="B81" s="20">
        <v>45617</v>
      </c>
      <c r="C81" s="2">
        <f t="shared" si="15"/>
        <v>11</v>
      </c>
      <c r="D81" s="21">
        <f t="shared" si="27"/>
        <v>45617</v>
      </c>
      <c r="E81" s="19" t="str">
        <f t="shared" si="16"/>
        <v>Quarter 4</v>
      </c>
      <c r="F81" s="19">
        <v>45647</v>
      </c>
      <c r="G81" s="19">
        <f t="shared" si="17"/>
        <v>45647</v>
      </c>
      <c r="H81" s="22">
        <f t="shared" si="18"/>
        <v>30</v>
      </c>
      <c r="I81" t="str">
        <f t="shared" si="19"/>
        <v>Delayed </v>
      </c>
      <c r="J81" t="s">
        <v>78</v>
      </c>
      <c r="K81" t="s">
        <v>90</v>
      </c>
      <c r="L81" t="s">
        <v>91</v>
      </c>
      <c r="M81" t="s">
        <v>62</v>
      </c>
      <c r="N81" t="s">
        <v>98</v>
      </c>
      <c r="O81" t="s">
        <v>34</v>
      </c>
      <c r="P81" t="s">
        <v>64</v>
      </c>
      <c r="Q81" t="s">
        <v>256</v>
      </c>
      <c r="R81" s="3">
        <v>1122.68</v>
      </c>
      <c r="S81" s="3">
        <v>1997.19</v>
      </c>
      <c r="T81" s="3">
        <f t="shared" si="20"/>
        <v>1997.19</v>
      </c>
      <c r="U81" s="3">
        <f>(1+'10. Whatif Control pannel'!$B$6)*T81</f>
        <v>2236.8528</v>
      </c>
      <c r="V81" s="3" t="str">
        <f t="shared" si="21"/>
        <v>High</v>
      </c>
      <c r="W81" s="34">
        <v>0.186</v>
      </c>
      <c r="X81" s="24" t="str">
        <f t="shared" si="22"/>
        <v>Okay</v>
      </c>
      <c r="Y81" s="36">
        <f>IF(W81&lt;=0.25,W81,'10. Whatif Control pannel'!$B$2)</f>
        <v>0.186</v>
      </c>
      <c r="Z81" s="24">
        <v>3</v>
      </c>
      <c r="AA81" s="13">
        <f>(1+'10. Whatif Control pannel'!$B$10)*Z81</f>
        <v>3.6</v>
      </c>
      <c r="AB81" s="3">
        <f t="shared" si="23"/>
        <v>4877.13798</v>
      </c>
      <c r="AC81" s="3">
        <f t="shared" si="28"/>
        <v>6554.87344512</v>
      </c>
      <c r="AD81" s="3">
        <f t="shared" si="24"/>
        <v>3368.04</v>
      </c>
      <c r="AE81" s="3">
        <f t="shared" si="25"/>
        <v>1509.09798</v>
      </c>
      <c r="AF81" s="3">
        <f t="shared" si="29"/>
        <v>3186.83344512</v>
      </c>
      <c r="AG81">
        <f t="shared" si="26"/>
        <v>0.309422859510733</v>
      </c>
    </row>
    <row r="82" spans="1:33">
      <c r="A82" t="s">
        <v>257</v>
      </c>
      <c r="B82" s="20">
        <v>44965</v>
      </c>
      <c r="C82" s="2">
        <f t="shared" si="15"/>
        <v>2</v>
      </c>
      <c r="D82" s="21">
        <f t="shared" si="27"/>
        <v>44965</v>
      </c>
      <c r="E82" s="19" t="str">
        <f t="shared" si="16"/>
        <v>Quarter 1</v>
      </c>
      <c r="F82" s="19">
        <v>44968</v>
      </c>
      <c r="G82" s="19">
        <f t="shared" si="17"/>
        <v>44968</v>
      </c>
      <c r="H82" s="22">
        <f t="shared" si="18"/>
        <v>3</v>
      </c>
      <c r="I82" t="str">
        <f t="shared" si="19"/>
        <v>Ontime</v>
      </c>
      <c r="J82" t="s">
        <v>16</v>
      </c>
      <c r="K82" t="s">
        <v>148</v>
      </c>
      <c r="L82" t="s">
        <v>258</v>
      </c>
      <c r="M82" t="s">
        <v>19</v>
      </c>
      <c r="N82" t="s">
        <v>98</v>
      </c>
      <c r="O82" t="s">
        <v>110</v>
      </c>
      <c r="P82" t="s">
        <v>35</v>
      </c>
      <c r="Q82" t="s">
        <v>259</v>
      </c>
      <c r="R82" s="3">
        <v>1410.05</v>
      </c>
      <c r="S82" s="3">
        <v>2763.95</v>
      </c>
      <c r="T82" s="3">
        <f t="shared" si="20"/>
        <v>2763.95</v>
      </c>
      <c r="U82" s="3">
        <f>(1+'10. Whatif Control pannel'!$B$6)*T82</f>
        <v>3095.624</v>
      </c>
      <c r="V82" s="3" t="str">
        <f t="shared" si="21"/>
        <v>High</v>
      </c>
      <c r="W82" s="34">
        <v>0.161</v>
      </c>
      <c r="X82" s="24" t="str">
        <f t="shared" si="22"/>
        <v>Okay</v>
      </c>
      <c r="Y82" s="36">
        <f>IF(W82&lt;=0.25,W82,'10. Whatif Control pannel'!$B$2)</f>
        <v>0.161</v>
      </c>
      <c r="Z82" s="24">
        <v>26</v>
      </c>
      <c r="AA82" s="13">
        <f>(1+'10. Whatif Control pannel'!$B$10)*Z82</f>
        <v>31.2</v>
      </c>
      <c r="AB82" s="3">
        <f t="shared" si="23"/>
        <v>60292.8053</v>
      </c>
      <c r="AC82" s="3">
        <f t="shared" si="28"/>
        <v>81033.5303232</v>
      </c>
      <c r="AD82" s="3">
        <f t="shared" si="24"/>
        <v>36661.3</v>
      </c>
      <c r="AE82" s="3">
        <f t="shared" si="25"/>
        <v>23631.5053</v>
      </c>
      <c r="AF82" s="3">
        <f t="shared" si="29"/>
        <v>44372.2303232</v>
      </c>
      <c r="AG82">
        <f t="shared" si="26"/>
        <v>0.391945692067508</v>
      </c>
    </row>
    <row r="83" spans="1:33">
      <c r="A83" t="s">
        <v>260</v>
      </c>
      <c r="B83" s="20">
        <v>45157</v>
      </c>
      <c r="C83" s="2">
        <f t="shared" si="15"/>
        <v>8</v>
      </c>
      <c r="D83" s="21">
        <f t="shared" si="27"/>
        <v>45157</v>
      </c>
      <c r="E83" s="19" t="str">
        <f t="shared" si="16"/>
        <v>Quarter 3</v>
      </c>
      <c r="F83" s="19">
        <v>45181</v>
      </c>
      <c r="G83" s="19">
        <f t="shared" si="17"/>
        <v>45181</v>
      </c>
      <c r="H83" s="22">
        <f t="shared" si="18"/>
        <v>24</v>
      </c>
      <c r="I83" t="str">
        <f t="shared" si="19"/>
        <v>Delayed </v>
      </c>
      <c r="J83" t="s">
        <v>52</v>
      </c>
      <c r="K83" t="s">
        <v>53</v>
      </c>
      <c r="L83" t="s">
        <v>179</v>
      </c>
      <c r="M83" t="s">
        <v>105</v>
      </c>
      <c r="N83" t="s">
        <v>20</v>
      </c>
      <c r="O83" t="s">
        <v>34</v>
      </c>
      <c r="P83" t="s">
        <v>30</v>
      </c>
      <c r="Q83" t="s">
        <v>261</v>
      </c>
      <c r="R83" s="3">
        <v>1183.95</v>
      </c>
      <c r="S83" s="3">
        <v>1503.53</v>
      </c>
      <c r="T83" s="3">
        <f t="shared" si="20"/>
        <v>1503.53</v>
      </c>
      <c r="U83" s="3">
        <f>(1+'10. Whatif Control pannel'!$B$6)*T83</f>
        <v>1683.9536</v>
      </c>
      <c r="V83" s="3" t="str">
        <f t="shared" si="21"/>
        <v>Medium</v>
      </c>
      <c r="W83" s="34">
        <v>0.241</v>
      </c>
      <c r="X83" s="24" t="str">
        <f t="shared" si="22"/>
        <v>High Discount</v>
      </c>
      <c r="Y83" s="36">
        <f>IF(W83&lt;=0.25,W83,'10. Whatif Control pannel'!$B$2)</f>
        <v>0.241</v>
      </c>
      <c r="Z83" s="24">
        <v>16</v>
      </c>
      <c r="AA83" s="13">
        <f>(1+'10. Whatif Control pannel'!$B$10)*Z83</f>
        <v>19.2</v>
      </c>
      <c r="AB83" s="3">
        <f t="shared" si="23"/>
        <v>18258.86832</v>
      </c>
      <c r="AC83" s="3">
        <f t="shared" si="28"/>
        <v>24539.91902208</v>
      </c>
      <c r="AD83" s="3">
        <f t="shared" si="24"/>
        <v>18943.2</v>
      </c>
      <c r="AE83" s="3">
        <f t="shared" si="25"/>
        <v>-684.331679999999</v>
      </c>
      <c r="AF83" s="3">
        <f t="shared" si="29"/>
        <v>5596.71902208</v>
      </c>
      <c r="AG83">
        <f t="shared" si="26"/>
        <v>-0.0374794137296237</v>
      </c>
    </row>
    <row r="84" spans="1:33">
      <c r="A84" t="s">
        <v>262</v>
      </c>
      <c r="B84" s="20">
        <v>45791</v>
      </c>
      <c r="C84" s="2">
        <f t="shared" si="15"/>
        <v>5</v>
      </c>
      <c r="D84" s="21">
        <f t="shared" si="27"/>
        <v>45791</v>
      </c>
      <c r="E84" s="19" t="str">
        <f t="shared" si="16"/>
        <v>Quarter 2</v>
      </c>
      <c r="F84" s="19">
        <v>45801</v>
      </c>
      <c r="G84" s="19">
        <f t="shared" si="17"/>
        <v>45801</v>
      </c>
      <c r="H84" s="22">
        <f t="shared" si="18"/>
        <v>10</v>
      </c>
      <c r="I84" t="str">
        <f t="shared" si="19"/>
        <v>Delayed </v>
      </c>
      <c r="J84" t="s">
        <v>78</v>
      </c>
      <c r="K84" t="s">
        <v>90</v>
      </c>
      <c r="L84" t="s">
        <v>217</v>
      </c>
      <c r="M84" t="s">
        <v>62</v>
      </c>
      <c r="N84" t="s">
        <v>40</v>
      </c>
      <c r="O84" t="s">
        <v>95</v>
      </c>
      <c r="P84" t="s">
        <v>22</v>
      </c>
      <c r="Q84" t="s">
        <v>263</v>
      </c>
      <c r="R84" s="3">
        <v>170.39</v>
      </c>
      <c r="S84" s="3">
        <v>388.04</v>
      </c>
      <c r="T84" s="3">
        <f t="shared" si="20"/>
        <v>388.04</v>
      </c>
      <c r="U84" s="3">
        <f>(1+'10. Whatif Control pannel'!$B$6)*T84</f>
        <v>434.6048</v>
      </c>
      <c r="V84" s="3" t="str">
        <f t="shared" si="21"/>
        <v>Low</v>
      </c>
      <c r="W84" s="34">
        <v>0.084</v>
      </c>
      <c r="X84" s="24" t="str">
        <f t="shared" si="22"/>
        <v>Okay</v>
      </c>
      <c r="Y84" s="36">
        <f>IF(W84&lt;=0.25,W84,'10. Whatif Control pannel'!$B$2)</f>
        <v>0.084</v>
      </c>
      <c r="Z84" s="24">
        <v>15</v>
      </c>
      <c r="AA84" s="13">
        <f>(1+'10. Whatif Control pannel'!$B$10)*Z84</f>
        <v>18</v>
      </c>
      <c r="AB84" s="3">
        <f t="shared" si="23"/>
        <v>5331.6696</v>
      </c>
      <c r="AC84" s="3">
        <f t="shared" si="28"/>
        <v>7165.7639424</v>
      </c>
      <c r="AD84" s="3">
        <f t="shared" si="24"/>
        <v>2555.85</v>
      </c>
      <c r="AE84" s="3">
        <f t="shared" si="25"/>
        <v>2775.8196</v>
      </c>
      <c r="AF84" s="3">
        <f t="shared" si="29"/>
        <v>4609.9139424</v>
      </c>
      <c r="AG84">
        <f t="shared" si="26"/>
        <v>0.520628585087118</v>
      </c>
    </row>
    <row r="85" spans="1:33">
      <c r="A85" t="s">
        <v>264</v>
      </c>
      <c r="B85" s="20">
        <v>45770</v>
      </c>
      <c r="C85" s="2">
        <f t="shared" si="15"/>
        <v>4</v>
      </c>
      <c r="D85" s="21">
        <f t="shared" si="27"/>
        <v>45770</v>
      </c>
      <c r="E85" s="19" t="str">
        <f t="shared" si="16"/>
        <v>Quarter 2</v>
      </c>
      <c r="F85" s="19">
        <v>45769</v>
      </c>
      <c r="G85" s="19">
        <f t="shared" si="17"/>
        <v>45777</v>
      </c>
      <c r="H85" s="22">
        <f t="shared" si="18"/>
        <v>7</v>
      </c>
      <c r="I85" t="str">
        <f t="shared" si="19"/>
        <v>Ontime</v>
      </c>
      <c r="J85" t="s">
        <v>52</v>
      </c>
      <c r="K85" t="s">
        <v>122</v>
      </c>
      <c r="L85" t="s">
        <v>167</v>
      </c>
      <c r="M85" t="s">
        <v>39</v>
      </c>
      <c r="N85" t="s">
        <v>55</v>
      </c>
      <c r="O85" t="s">
        <v>145</v>
      </c>
      <c r="P85" t="s">
        <v>64</v>
      </c>
      <c r="Q85" t="s">
        <v>265</v>
      </c>
      <c r="R85" s="3">
        <v>23.24</v>
      </c>
      <c r="S85" s="3">
        <v>44.57</v>
      </c>
      <c r="T85" s="3">
        <f t="shared" si="20"/>
        <v>44.57</v>
      </c>
      <c r="U85" s="3">
        <f>(1+'10. Whatif Control pannel'!$B$6)*T85</f>
        <v>49.9184</v>
      </c>
      <c r="V85" s="3" t="str">
        <f t="shared" si="21"/>
        <v>Low</v>
      </c>
      <c r="W85" s="34">
        <v>0.215</v>
      </c>
      <c r="X85" s="24" t="str">
        <f t="shared" si="22"/>
        <v>High Discount</v>
      </c>
      <c r="Y85" s="36">
        <f>IF(W85&lt;=0.25,W85,'10. Whatif Control pannel'!$B$2)</f>
        <v>0.215</v>
      </c>
      <c r="Z85" s="24">
        <v>15</v>
      </c>
      <c r="AA85" s="13">
        <f>(1+'10. Whatif Control pannel'!$B$10)*Z85</f>
        <v>18</v>
      </c>
      <c r="AB85" s="3">
        <f t="shared" si="23"/>
        <v>524.81175</v>
      </c>
      <c r="AC85" s="3">
        <f t="shared" si="28"/>
        <v>705.346992</v>
      </c>
      <c r="AD85" s="3">
        <f t="shared" si="24"/>
        <v>348.6</v>
      </c>
      <c r="AE85" s="3">
        <f t="shared" si="25"/>
        <v>176.21175</v>
      </c>
      <c r="AF85" s="3">
        <f t="shared" si="29"/>
        <v>356.746992</v>
      </c>
      <c r="AG85">
        <f t="shared" si="26"/>
        <v>0.335761823168022</v>
      </c>
    </row>
    <row r="86" spans="1:33">
      <c r="A86" t="s">
        <v>266</v>
      </c>
      <c r="B86" s="20">
        <v>45741</v>
      </c>
      <c r="C86" s="2">
        <f t="shared" si="15"/>
        <v>3</v>
      </c>
      <c r="D86" s="21">
        <f t="shared" si="27"/>
        <v>45741</v>
      </c>
      <c r="E86" s="19" t="str">
        <f t="shared" si="16"/>
        <v>Quarter 1</v>
      </c>
      <c r="F86" s="19">
        <v>45764</v>
      </c>
      <c r="G86" s="19">
        <f t="shared" si="17"/>
        <v>45764</v>
      </c>
      <c r="H86" s="22">
        <f t="shared" si="18"/>
        <v>23</v>
      </c>
      <c r="I86" t="str">
        <f t="shared" si="19"/>
        <v>Delayed </v>
      </c>
      <c r="J86" t="s">
        <v>78</v>
      </c>
      <c r="K86" t="s">
        <v>108</v>
      </c>
      <c r="L86" t="s">
        <v>152</v>
      </c>
      <c r="M86" t="s">
        <v>48</v>
      </c>
      <c r="N86" t="s">
        <v>20</v>
      </c>
      <c r="O86" t="s">
        <v>92</v>
      </c>
      <c r="P86" t="s">
        <v>35</v>
      </c>
      <c r="Q86" t="s">
        <v>267</v>
      </c>
      <c r="R86" s="3">
        <v>1421.19</v>
      </c>
      <c r="S86" s="3">
        <v>1808.26</v>
      </c>
      <c r="T86" s="3">
        <f t="shared" si="20"/>
        <v>1808.26</v>
      </c>
      <c r="U86" s="3">
        <f>(1+'10. Whatif Control pannel'!$B$6)*T86</f>
        <v>2025.2512</v>
      </c>
      <c r="V86" s="3" t="str">
        <f t="shared" si="21"/>
        <v>High</v>
      </c>
      <c r="W86" s="34">
        <v>0.104</v>
      </c>
      <c r="X86" s="24" t="str">
        <f t="shared" si="22"/>
        <v>Okay</v>
      </c>
      <c r="Y86" s="36">
        <f>IF(W86&lt;=0.25,W86,'10. Whatif Control pannel'!$B$2)</f>
        <v>0.104</v>
      </c>
      <c r="Z86" s="24">
        <v>13</v>
      </c>
      <c r="AA86" s="13">
        <f>(1+'10. Whatif Control pannel'!$B$10)*Z86</f>
        <v>15.6</v>
      </c>
      <c r="AB86" s="3">
        <f t="shared" si="23"/>
        <v>21062.61248</v>
      </c>
      <c r="AC86" s="3">
        <f t="shared" si="28"/>
        <v>28308.15117312</v>
      </c>
      <c r="AD86" s="3">
        <f t="shared" si="24"/>
        <v>18475.47</v>
      </c>
      <c r="AE86" s="3">
        <f t="shared" si="25"/>
        <v>2587.14248</v>
      </c>
      <c r="AF86" s="3">
        <f t="shared" si="29"/>
        <v>9832.68117312</v>
      </c>
      <c r="AG86">
        <f t="shared" si="26"/>
        <v>0.122831034490931</v>
      </c>
    </row>
    <row r="87" spans="1:33">
      <c r="A87" t="s">
        <v>268</v>
      </c>
      <c r="B87" s="20">
        <v>45282</v>
      </c>
      <c r="C87" s="2">
        <f t="shared" si="15"/>
        <v>12</v>
      </c>
      <c r="D87" s="21">
        <f t="shared" si="27"/>
        <v>45282</v>
      </c>
      <c r="E87" s="19" t="str">
        <f t="shared" si="16"/>
        <v>Quarter 4</v>
      </c>
      <c r="F87" s="19">
        <v>45283</v>
      </c>
      <c r="G87" s="19">
        <f t="shared" si="17"/>
        <v>45283</v>
      </c>
      <c r="H87" s="22">
        <f t="shared" si="18"/>
        <v>1</v>
      </c>
      <c r="I87" t="str">
        <f t="shared" si="19"/>
        <v>Ontime</v>
      </c>
      <c r="J87" t="s">
        <v>16</v>
      </c>
      <c r="K87" t="s">
        <v>148</v>
      </c>
      <c r="L87" t="s">
        <v>258</v>
      </c>
      <c r="M87" t="s">
        <v>39</v>
      </c>
      <c r="N87" t="s">
        <v>40</v>
      </c>
      <c r="O87" t="s">
        <v>145</v>
      </c>
      <c r="P87" t="s">
        <v>22</v>
      </c>
      <c r="Q87" t="s">
        <v>269</v>
      </c>
      <c r="R87" s="3">
        <v>1186.18</v>
      </c>
      <c r="S87" s="3">
        <v>1285.09</v>
      </c>
      <c r="T87" s="3">
        <f t="shared" si="20"/>
        <v>1285.09</v>
      </c>
      <c r="U87" s="3">
        <f>(1+'10. Whatif Control pannel'!$B$6)*T87</f>
        <v>1439.3008</v>
      </c>
      <c r="V87" s="3" t="str">
        <f t="shared" si="21"/>
        <v>Medium</v>
      </c>
      <c r="W87" s="34">
        <v>0.07</v>
      </c>
      <c r="X87" s="24" t="str">
        <f t="shared" si="22"/>
        <v>Okay</v>
      </c>
      <c r="Y87" s="36">
        <f>IF(W87&lt;=0.25,W87,'10. Whatif Control pannel'!$B$2)</f>
        <v>0.07</v>
      </c>
      <c r="Z87" s="24">
        <v>11</v>
      </c>
      <c r="AA87" s="13">
        <f>(1+'10. Whatif Control pannel'!$B$10)*Z87</f>
        <v>13.2</v>
      </c>
      <c r="AB87" s="3">
        <f t="shared" si="23"/>
        <v>13146.4707</v>
      </c>
      <c r="AC87" s="3">
        <f t="shared" si="28"/>
        <v>17668.8566208</v>
      </c>
      <c r="AD87" s="3">
        <f t="shared" si="24"/>
        <v>13047.98</v>
      </c>
      <c r="AE87" s="3">
        <f t="shared" si="25"/>
        <v>98.4906999999967</v>
      </c>
      <c r="AF87" s="3">
        <f t="shared" si="29"/>
        <v>4620.8766208</v>
      </c>
      <c r="AG87">
        <f t="shared" si="26"/>
        <v>0.00749179777961219</v>
      </c>
    </row>
    <row r="88" spans="1:33">
      <c r="A88" t="s">
        <v>270</v>
      </c>
      <c r="B88" s="20">
        <v>45388</v>
      </c>
      <c r="C88" s="2">
        <f t="shared" si="15"/>
        <v>4</v>
      </c>
      <c r="D88" s="21">
        <f t="shared" si="27"/>
        <v>45388</v>
      </c>
      <c r="E88" s="19" t="str">
        <f t="shared" si="16"/>
        <v>Quarter 2</v>
      </c>
      <c r="F88" s="19">
        <v>45407</v>
      </c>
      <c r="G88" s="19">
        <f t="shared" si="17"/>
        <v>45407</v>
      </c>
      <c r="H88" s="22">
        <f t="shared" si="18"/>
        <v>19</v>
      </c>
      <c r="I88" t="str">
        <f t="shared" si="19"/>
        <v>Delayed </v>
      </c>
      <c r="J88" t="s">
        <v>45</v>
      </c>
      <c r="K88" t="s">
        <v>116</v>
      </c>
      <c r="L88" t="s">
        <v>162</v>
      </c>
      <c r="M88" t="s">
        <v>19</v>
      </c>
      <c r="N88" t="s">
        <v>20</v>
      </c>
      <c r="O88" t="s">
        <v>95</v>
      </c>
      <c r="P88" t="s">
        <v>22</v>
      </c>
      <c r="Q88" t="s">
        <v>271</v>
      </c>
      <c r="R88" s="3">
        <v>1366.48</v>
      </c>
      <c r="S88" s="3">
        <v>1678.14</v>
      </c>
      <c r="T88" s="3">
        <f t="shared" si="20"/>
        <v>1678.14</v>
      </c>
      <c r="U88" s="3">
        <f>(1+'10. Whatif Control pannel'!$B$6)*T88</f>
        <v>1879.5168</v>
      </c>
      <c r="V88" s="3" t="str">
        <f t="shared" si="21"/>
        <v>High</v>
      </c>
      <c r="W88" s="34">
        <v>0.154</v>
      </c>
      <c r="X88" s="24" t="str">
        <f t="shared" si="22"/>
        <v>Okay</v>
      </c>
      <c r="Y88" s="36">
        <f>IF(W88&lt;=0.25,W88,'10. Whatif Control pannel'!$B$2)</f>
        <v>0.154</v>
      </c>
      <c r="Z88" s="24">
        <v>10</v>
      </c>
      <c r="AA88" s="13">
        <f>(1+'10. Whatif Control pannel'!$B$10)*Z88</f>
        <v>12</v>
      </c>
      <c r="AB88" s="3">
        <f t="shared" si="23"/>
        <v>14197.0644</v>
      </c>
      <c r="AC88" s="3">
        <f t="shared" si="28"/>
        <v>19080.8545536</v>
      </c>
      <c r="AD88" s="3">
        <f t="shared" si="24"/>
        <v>13664.8</v>
      </c>
      <c r="AE88" s="3">
        <f t="shared" si="25"/>
        <v>532.264400000002</v>
      </c>
      <c r="AF88" s="3">
        <f t="shared" si="29"/>
        <v>5416.0545536</v>
      </c>
      <c r="AG88">
        <f t="shared" si="26"/>
        <v>0.0374911590877901</v>
      </c>
    </row>
    <row r="89" spans="1:33">
      <c r="A89" t="s">
        <v>272</v>
      </c>
      <c r="B89" s="20">
        <v>45876</v>
      </c>
      <c r="C89" s="2">
        <f t="shared" si="15"/>
        <v>8</v>
      </c>
      <c r="D89" s="21">
        <f t="shared" si="27"/>
        <v>45876</v>
      </c>
      <c r="E89" s="19" t="str">
        <f t="shared" si="16"/>
        <v>Quarter 3</v>
      </c>
      <c r="F89" s="19">
        <v>45888</v>
      </c>
      <c r="G89" s="19">
        <f t="shared" si="17"/>
        <v>45888</v>
      </c>
      <c r="H89" s="22">
        <f t="shared" si="18"/>
        <v>12</v>
      </c>
      <c r="I89" t="str">
        <f t="shared" si="19"/>
        <v>Delayed </v>
      </c>
      <c r="J89" t="s">
        <v>16</v>
      </c>
      <c r="K89" t="s">
        <v>17</v>
      </c>
      <c r="L89" t="s">
        <v>135</v>
      </c>
      <c r="M89" t="s">
        <v>19</v>
      </c>
      <c r="N89" t="s">
        <v>1441</v>
      </c>
      <c r="O89" t="s">
        <v>110</v>
      </c>
      <c r="P89" t="s">
        <v>22</v>
      </c>
      <c r="Q89" t="s">
        <v>273</v>
      </c>
      <c r="R89" s="3">
        <v>601.51</v>
      </c>
      <c r="S89" s="3">
        <v>679.35</v>
      </c>
      <c r="T89" s="3">
        <f t="shared" si="20"/>
        <v>679.35</v>
      </c>
      <c r="U89" s="3">
        <f>(1+'10. Whatif Control pannel'!$B$6)*T89</f>
        <v>760.872</v>
      </c>
      <c r="V89" s="3" t="str">
        <f t="shared" si="21"/>
        <v>Low</v>
      </c>
      <c r="W89" s="34">
        <v>0.188</v>
      </c>
      <c r="X89" s="24" t="str">
        <f t="shared" si="22"/>
        <v>Okay</v>
      </c>
      <c r="Y89" s="36">
        <f>IF(W89&lt;=0.25,W89,'10. Whatif Control pannel'!$B$2)</f>
        <v>0.188</v>
      </c>
      <c r="Z89" s="24">
        <v>3</v>
      </c>
      <c r="AA89" s="13">
        <f>(1+'10. Whatif Control pannel'!$B$10)*Z89</f>
        <v>3.6</v>
      </c>
      <c r="AB89" s="3">
        <f t="shared" si="23"/>
        <v>1654.8966</v>
      </c>
      <c r="AC89" s="3">
        <f t="shared" si="28"/>
        <v>2224.1810304</v>
      </c>
      <c r="AD89" s="3">
        <f t="shared" si="24"/>
        <v>1804.53</v>
      </c>
      <c r="AE89" s="3">
        <f t="shared" si="25"/>
        <v>-149.6334</v>
      </c>
      <c r="AF89" s="3">
        <f t="shared" si="29"/>
        <v>419.6510304</v>
      </c>
      <c r="AG89">
        <f t="shared" si="26"/>
        <v>-0.0904185796260622</v>
      </c>
    </row>
    <row r="90" spans="1:33">
      <c r="A90" t="s">
        <v>274</v>
      </c>
      <c r="B90" s="20">
        <v>45312</v>
      </c>
      <c r="C90" s="2">
        <f t="shared" si="15"/>
        <v>1</v>
      </c>
      <c r="D90" s="21">
        <f t="shared" si="27"/>
        <v>45312</v>
      </c>
      <c r="E90" s="19" t="str">
        <f t="shared" si="16"/>
        <v>Quarter 1</v>
      </c>
      <c r="F90" s="19">
        <v>45316</v>
      </c>
      <c r="G90" s="19">
        <f t="shared" si="17"/>
        <v>45316</v>
      </c>
      <c r="H90" s="22">
        <f t="shared" si="18"/>
        <v>4</v>
      </c>
      <c r="I90" t="str">
        <f t="shared" si="19"/>
        <v>Ontime</v>
      </c>
      <c r="J90" t="s">
        <v>45</v>
      </c>
      <c r="K90" t="s">
        <v>60</v>
      </c>
      <c r="L90" t="s">
        <v>141</v>
      </c>
      <c r="M90" t="s">
        <v>48</v>
      </c>
      <c r="N90" t="s">
        <v>98</v>
      </c>
      <c r="O90" t="s">
        <v>21</v>
      </c>
      <c r="P90" t="s">
        <v>64</v>
      </c>
      <c r="Q90" t="s">
        <v>275</v>
      </c>
      <c r="R90" s="3">
        <v>523.7</v>
      </c>
      <c r="S90" s="3">
        <v>1109.92</v>
      </c>
      <c r="T90" s="3">
        <f t="shared" si="20"/>
        <v>1109.92</v>
      </c>
      <c r="U90" s="3">
        <f>(1+'10. Whatif Control pannel'!$B$6)*T90</f>
        <v>1243.1104</v>
      </c>
      <c r="V90" s="3" t="str">
        <f t="shared" si="21"/>
        <v>Medium</v>
      </c>
      <c r="W90" s="34">
        <v>0.03</v>
      </c>
      <c r="X90" s="24" t="str">
        <f t="shared" si="22"/>
        <v>Okay</v>
      </c>
      <c r="Y90" s="36">
        <f>IF(W90&lt;=0.25,W90,'10. Whatif Control pannel'!$B$2)</f>
        <v>0.03</v>
      </c>
      <c r="Z90" s="24">
        <v>11</v>
      </c>
      <c r="AA90" s="13">
        <f>(1+'10. Whatif Control pannel'!$B$10)*Z90</f>
        <v>13.2</v>
      </c>
      <c r="AB90" s="3">
        <f t="shared" si="23"/>
        <v>11842.8464</v>
      </c>
      <c r="AC90" s="3">
        <f t="shared" si="28"/>
        <v>15916.7855616</v>
      </c>
      <c r="AD90" s="3">
        <f t="shared" si="24"/>
        <v>5760.7</v>
      </c>
      <c r="AE90" s="3">
        <f t="shared" si="25"/>
        <v>6082.1464</v>
      </c>
      <c r="AF90" s="3">
        <f t="shared" si="29"/>
        <v>10156.0855616</v>
      </c>
      <c r="AG90">
        <f t="shared" si="26"/>
        <v>0.51357133197303</v>
      </c>
    </row>
    <row r="91" spans="1:33">
      <c r="A91" t="s">
        <v>276</v>
      </c>
      <c r="B91" s="20">
        <v>45106</v>
      </c>
      <c r="C91" s="2">
        <f t="shared" si="15"/>
        <v>6</v>
      </c>
      <c r="D91" s="21">
        <f t="shared" si="27"/>
        <v>45106</v>
      </c>
      <c r="E91" s="19" t="str">
        <f t="shared" si="16"/>
        <v>Quarter 2</v>
      </c>
      <c r="F91" s="19">
        <v>45109</v>
      </c>
      <c r="G91" s="19">
        <f t="shared" si="17"/>
        <v>45109</v>
      </c>
      <c r="H91" s="22">
        <f t="shared" si="18"/>
        <v>3</v>
      </c>
      <c r="I91" t="str">
        <f t="shared" si="19"/>
        <v>Ontime</v>
      </c>
      <c r="J91" t="s">
        <v>45</v>
      </c>
      <c r="K91" t="s">
        <v>46</v>
      </c>
      <c r="L91" t="s">
        <v>231</v>
      </c>
      <c r="M91" t="s">
        <v>27</v>
      </c>
      <c r="N91" t="s">
        <v>40</v>
      </c>
      <c r="O91" t="s">
        <v>84</v>
      </c>
      <c r="P91" t="s">
        <v>64</v>
      </c>
      <c r="Q91" t="s">
        <v>277</v>
      </c>
      <c r="R91" s="3">
        <v>55.65</v>
      </c>
      <c r="S91" s="3">
        <v>83.57</v>
      </c>
      <c r="T91" s="3">
        <f t="shared" si="20"/>
        <v>83.57</v>
      </c>
      <c r="U91" s="3">
        <f>(1+'10. Whatif Control pannel'!$B$6)*T91</f>
        <v>93.5984</v>
      </c>
      <c r="V91" s="3" t="str">
        <f t="shared" si="21"/>
        <v>Low</v>
      </c>
      <c r="W91" s="34">
        <v>0.066</v>
      </c>
      <c r="X91" s="24" t="str">
        <f t="shared" si="22"/>
        <v>Okay</v>
      </c>
      <c r="Y91" s="36">
        <f>IF(W91&lt;=0.25,W91,'10. Whatif Control pannel'!$B$2)</f>
        <v>0.066</v>
      </c>
      <c r="Z91" s="24">
        <v>8</v>
      </c>
      <c r="AA91" s="13">
        <f>(1+'10. Whatif Control pannel'!$B$10)*Z91</f>
        <v>9.6</v>
      </c>
      <c r="AB91" s="3">
        <f t="shared" si="23"/>
        <v>624.43504</v>
      </c>
      <c r="AC91" s="3">
        <f t="shared" si="28"/>
        <v>839.24069376</v>
      </c>
      <c r="AD91" s="3">
        <f t="shared" si="24"/>
        <v>445.2</v>
      </c>
      <c r="AE91" s="3">
        <f t="shared" si="25"/>
        <v>179.23504</v>
      </c>
      <c r="AF91" s="3">
        <f t="shared" si="29"/>
        <v>394.04069376</v>
      </c>
      <c r="AG91">
        <f t="shared" si="26"/>
        <v>0.287035525745</v>
      </c>
    </row>
    <row r="92" spans="1:33">
      <c r="A92" t="s">
        <v>278</v>
      </c>
      <c r="B92" s="20">
        <v>45775</v>
      </c>
      <c r="C92" s="2">
        <f t="shared" si="15"/>
        <v>4</v>
      </c>
      <c r="D92" s="21">
        <f t="shared" si="27"/>
        <v>45775</v>
      </c>
      <c r="E92" s="19" t="str">
        <f t="shared" si="16"/>
        <v>Quarter 2</v>
      </c>
      <c r="F92" s="19">
        <v>45792</v>
      </c>
      <c r="G92" s="19">
        <f t="shared" si="17"/>
        <v>45792</v>
      </c>
      <c r="H92" s="22">
        <f t="shared" si="18"/>
        <v>17</v>
      </c>
      <c r="I92" t="str">
        <f t="shared" si="19"/>
        <v>Delayed </v>
      </c>
      <c r="J92" t="s">
        <v>45</v>
      </c>
      <c r="K92" t="s">
        <v>46</v>
      </c>
      <c r="L92" t="s">
        <v>231</v>
      </c>
      <c r="M92" t="s">
        <v>27</v>
      </c>
      <c r="N92" t="s">
        <v>98</v>
      </c>
      <c r="O92" t="s">
        <v>126</v>
      </c>
      <c r="P92" t="s">
        <v>35</v>
      </c>
      <c r="Q92" t="s">
        <v>279</v>
      </c>
      <c r="R92" s="3">
        <v>691.19</v>
      </c>
      <c r="S92" s="3">
        <v>1284.3</v>
      </c>
      <c r="T92" s="3">
        <f t="shared" si="20"/>
        <v>1284.3</v>
      </c>
      <c r="U92" s="3">
        <f>(1+'10. Whatif Control pannel'!$B$6)*T92</f>
        <v>1438.416</v>
      </c>
      <c r="V92" s="3" t="str">
        <f t="shared" si="21"/>
        <v>Medium</v>
      </c>
      <c r="W92" s="34">
        <v>0.074</v>
      </c>
      <c r="X92" s="24" t="str">
        <f t="shared" si="22"/>
        <v>Okay</v>
      </c>
      <c r="Y92" s="36">
        <f>IF(W92&lt;=0.25,W92,'10. Whatif Control pannel'!$B$2)</f>
        <v>0.074</v>
      </c>
      <c r="Z92" s="24">
        <v>7</v>
      </c>
      <c r="AA92" s="13">
        <f>(1+'10. Whatif Control pannel'!$B$10)*Z92</f>
        <v>8.4</v>
      </c>
      <c r="AB92" s="3">
        <f t="shared" si="23"/>
        <v>8324.8326</v>
      </c>
      <c r="AC92" s="3">
        <f t="shared" si="28"/>
        <v>11188.5750144</v>
      </c>
      <c r="AD92" s="3">
        <f t="shared" si="24"/>
        <v>4838.33</v>
      </c>
      <c r="AE92" s="3">
        <f t="shared" si="25"/>
        <v>3486.5026</v>
      </c>
      <c r="AF92" s="3">
        <f t="shared" si="29"/>
        <v>6350.2450144</v>
      </c>
      <c r="AG92">
        <f t="shared" si="26"/>
        <v>0.418807532538252</v>
      </c>
    </row>
    <row r="93" spans="1:33">
      <c r="A93" t="s">
        <v>280</v>
      </c>
      <c r="B93" s="20">
        <v>45817</v>
      </c>
      <c r="C93" s="2">
        <f t="shared" si="15"/>
        <v>6</v>
      </c>
      <c r="D93" s="21">
        <f t="shared" si="27"/>
        <v>45817</v>
      </c>
      <c r="E93" s="19" t="str">
        <f t="shared" si="16"/>
        <v>Quarter 2</v>
      </c>
      <c r="F93" s="19">
        <v>45833</v>
      </c>
      <c r="G93" s="19">
        <f t="shared" si="17"/>
        <v>45833</v>
      </c>
      <c r="H93" s="22">
        <f t="shared" si="18"/>
        <v>16</v>
      </c>
      <c r="I93" t="str">
        <f t="shared" si="19"/>
        <v>Delayed </v>
      </c>
      <c r="J93" t="s">
        <v>45</v>
      </c>
      <c r="K93" t="s">
        <v>60</v>
      </c>
      <c r="L93" t="s">
        <v>281</v>
      </c>
      <c r="M93" t="s">
        <v>105</v>
      </c>
      <c r="N93" t="s">
        <v>55</v>
      </c>
      <c r="O93" t="s">
        <v>110</v>
      </c>
      <c r="P93" t="s">
        <v>42</v>
      </c>
      <c r="Q93" t="s">
        <v>282</v>
      </c>
      <c r="R93" s="3">
        <v>527.33</v>
      </c>
      <c r="S93" s="3">
        <v>911.72</v>
      </c>
      <c r="T93" s="3">
        <f t="shared" si="20"/>
        <v>911.72</v>
      </c>
      <c r="U93" s="3">
        <f>(1+'10. Whatif Control pannel'!$B$6)*T93</f>
        <v>1021.1264</v>
      </c>
      <c r="V93" s="3" t="str">
        <f t="shared" si="21"/>
        <v>Medium</v>
      </c>
      <c r="W93" s="34">
        <v>0.144</v>
      </c>
      <c r="X93" s="24" t="str">
        <f t="shared" si="22"/>
        <v>Okay</v>
      </c>
      <c r="Y93" s="36">
        <f>IF(W93&lt;=0.25,W93,'10. Whatif Control pannel'!$B$2)</f>
        <v>0.144</v>
      </c>
      <c r="Z93" s="24">
        <v>25</v>
      </c>
      <c r="AA93" s="13">
        <f>(1+'10. Whatif Control pannel'!$B$10)*Z93</f>
        <v>30</v>
      </c>
      <c r="AB93" s="3">
        <f t="shared" si="23"/>
        <v>19510.808</v>
      </c>
      <c r="AC93" s="3">
        <f t="shared" si="28"/>
        <v>26222.525952</v>
      </c>
      <c r="AD93" s="3">
        <f t="shared" si="24"/>
        <v>13183.25</v>
      </c>
      <c r="AE93" s="3">
        <f t="shared" si="25"/>
        <v>6327.558</v>
      </c>
      <c r="AF93" s="3">
        <f t="shared" si="29"/>
        <v>13039.275952</v>
      </c>
      <c r="AG93">
        <f t="shared" si="26"/>
        <v>0.32431040272653</v>
      </c>
    </row>
    <row r="94" spans="1:33">
      <c r="A94" t="s">
        <v>283</v>
      </c>
      <c r="B94" s="20">
        <v>45101</v>
      </c>
      <c r="C94" s="2">
        <f t="shared" si="15"/>
        <v>6</v>
      </c>
      <c r="D94" s="21">
        <f t="shared" si="27"/>
        <v>45101</v>
      </c>
      <c r="E94" s="19" t="str">
        <f t="shared" si="16"/>
        <v>Quarter 2</v>
      </c>
      <c r="F94" s="19">
        <v>45100</v>
      </c>
      <c r="G94" s="19">
        <f t="shared" si="17"/>
        <v>45108</v>
      </c>
      <c r="H94" s="22">
        <f t="shared" si="18"/>
        <v>7</v>
      </c>
      <c r="I94" t="str">
        <f t="shared" si="19"/>
        <v>Ontime</v>
      </c>
      <c r="J94" t="s">
        <v>52</v>
      </c>
      <c r="K94" t="s">
        <v>73</v>
      </c>
      <c r="L94" t="s">
        <v>225</v>
      </c>
      <c r="M94" t="s">
        <v>39</v>
      </c>
      <c r="N94" t="s">
        <v>20</v>
      </c>
      <c r="O94" t="s">
        <v>63</v>
      </c>
      <c r="P94" t="s">
        <v>30</v>
      </c>
      <c r="Q94" t="s">
        <v>284</v>
      </c>
      <c r="R94" s="3">
        <v>804.01</v>
      </c>
      <c r="S94" s="3">
        <v>1405.07</v>
      </c>
      <c r="T94" s="3">
        <f t="shared" si="20"/>
        <v>1405.07</v>
      </c>
      <c r="U94" s="3">
        <f>(1+'10. Whatif Control pannel'!$B$6)*T94</f>
        <v>1573.6784</v>
      </c>
      <c r="V94" s="3" t="str">
        <f t="shared" si="21"/>
        <v>Medium</v>
      </c>
      <c r="W94" s="34">
        <v>0.096</v>
      </c>
      <c r="X94" s="24" t="str">
        <f t="shared" si="22"/>
        <v>Okay</v>
      </c>
      <c r="Y94" s="36">
        <f>IF(W94&lt;=0.25,W94,'10. Whatif Control pannel'!$B$2)</f>
        <v>0.096</v>
      </c>
      <c r="Z94" s="24">
        <v>8</v>
      </c>
      <c r="AA94" s="13">
        <f>(1+'10. Whatif Control pannel'!$B$10)*Z94</f>
        <v>9.6</v>
      </c>
      <c r="AB94" s="3">
        <f t="shared" si="23"/>
        <v>10161.46624</v>
      </c>
      <c r="AC94" s="3">
        <f t="shared" si="28"/>
        <v>13657.01062656</v>
      </c>
      <c r="AD94" s="3">
        <f t="shared" si="24"/>
        <v>6432.08</v>
      </c>
      <c r="AE94" s="3">
        <f t="shared" si="25"/>
        <v>3729.38624</v>
      </c>
      <c r="AF94" s="3">
        <f t="shared" si="29"/>
        <v>7224.93062656</v>
      </c>
      <c r="AG94">
        <f t="shared" si="26"/>
        <v>0.367012609392874</v>
      </c>
    </row>
    <row r="95" spans="1:33">
      <c r="A95" t="s">
        <v>285</v>
      </c>
      <c r="B95" s="20">
        <v>45569</v>
      </c>
      <c r="C95" s="2">
        <f t="shared" si="15"/>
        <v>10</v>
      </c>
      <c r="D95" s="21">
        <f t="shared" si="27"/>
        <v>45569</v>
      </c>
      <c r="E95" s="19" t="str">
        <f t="shared" si="16"/>
        <v>Quarter 4</v>
      </c>
      <c r="F95" s="19">
        <v>45598</v>
      </c>
      <c r="G95" s="19">
        <f t="shared" si="17"/>
        <v>45598</v>
      </c>
      <c r="H95" s="22">
        <f t="shared" si="18"/>
        <v>29</v>
      </c>
      <c r="I95" t="str">
        <f t="shared" si="19"/>
        <v>Delayed </v>
      </c>
      <c r="J95" t="s">
        <v>16</v>
      </c>
      <c r="K95" t="s">
        <v>25</v>
      </c>
      <c r="L95" t="s">
        <v>67</v>
      </c>
      <c r="M95" t="s">
        <v>19</v>
      </c>
      <c r="N95" t="s">
        <v>55</v>
      </c>
      <c r="O95" t="s">
        <v>84</v>
      </c>
      <c r="P95" t="s">
        <v>81</v>
      </c>
      <c r="Q95" t="s">
        <v>286</v>
      </c>
      <c r="R95" s="3">
        <v>412.09</v>
      </c>
      <c r="S95" s="3">
        <v>968.94</v>
      </c>
      <c r="T95" s="3">
        <f t="shared" si="20"/>
        <v>968.94</v>
      </c>
      <c r="U95" s="3">
        <f>(1+'10. Whatif Control pannel'!$B$6)*T95</f>
        <v>1085.2128</v>
      </c>
      <c r="V95" s="3" t="str">
        <f t="shared" si="21"/>
        <v>Medium</v>
      </c>
      <c r="W95" s="34">
        <v>0.099</v>
      </c>
      <c r="X95" s="24" t="str">
        <f t="shared" si="22"/>
        <v>Okay</v>
      </c>
      <c r="Y95" s="36">
        <f>IF(W95&lt;=0.25,W95,'10. Whatif Control pannel'!$B$2)</f>
        <v>0.099</v>
      </c>
      <c r="Z95" s="24">
        <v>23</v>
      </c>
      <c r="AA95" s="13">
        <f>(1+'10. Whatif Control pannel'!$B$10)*Z95</f>
        <v>27.6</v>
      </c>
      <c r="AB95" s="3">
        <f t="shared" si="23"/>
        <v>20079.34362</v>
      </c>
      <c r="AC95" s="3">
        <f t="shared" si="28"/>
        <v>26986.63782528</v>
      </c>
      <c r="AD95" s="3">
        <f t="shared" si="24"/>
        <v>9478.07</v>
      </c>
      <c r="AE95" s="3">
        <f t="shared" si="25"/>
        <v>10601.27362</v>
      </c>
      <c r="AF95" s="3">
        <f t="shared" si="29"/>
        <v>17508.56782528</v>
      </c>
      <c r="AG95">
        <f t="shared" si="26"/>
        <v>0.527969131891374</v>
      </c>
    </row>
    <row r="96" spans="1:33">
      <c r="A96" t="s">
        <v>287</v>
      </c>
      <c r="B96" s="20">
        <v>45910</v>
      </c>
      <c r="C96" s="2">
        <f t="shared" si="15"/>
        <v>9</v>
      </c>
      <c r="D96" s="21">
        <f t="shared" si="27"/>
        <v>45910</v>
      </c>
      <c r="E96" s="19" t="str">
        <f t="shared" si="16"/>
        <v>Quarter 3</v>
      </c>
      <c r="F96" s="19">
        <v>45930</v>
      </c>
      <c r="G96" s="19">
        <f t="shared" si="17"/>
        <v>45930</v>
      </c>
      <c r="H96" s="22">
        <f t="shared" si="18"/>
        <v>20</v>
      </c>
      <c r="I96" t="str">
        <f t="shared" si="19"/>
        <v>Delayed </v>
      </c>
      <c r="J96" t="s">
        <v>16</v>
      </c>
      <c r="K96" t="s">
        <v>17</v>
      </c>
      <c r="L96" t="s">
        <v>113</v>
      </c>
      <c r="M96" t="s">
        <v>19</v>
      </c>
      <c r="N96" t="s">
        <v>98</v>
      </c>
      <c r="O96" t="s">
        <v>49</v>
      </c>
      <c r="P96" t="s">
        <v>42</v>
      </c>
      <c r="Q96" t="s">
        <v>288</v>
      </c>
      <c r="R96" s="3">
        <v>1009.48</v>
      </c>
      <c r="S96" s="3">
        <v>1088.81</v>
      </c>
      <c r="T96" s="3">
        <f t="shared" si="20"/>
        <v>1088.81</v>
      </c>
      <c r="U96" s="3">
        <f>(1+'10. Whatif Control pannel'!$B$6)*T96</f>
        <v>1219.4672</v>
      </c>
      <c r="V96" s="3" t="str">
        <f t="shared" si="21"/>
        <v>Medium</v>
      </c>
      <c r="W96" s="34">
        <v>0.16</v>
      </c>
      <c r="X96" s="24" t="str">
        <f t="shared" si="22"/>
        <v>Okay</v>
      </c>
      <c r="Y96" s="36">
        <f>IF(W96&lt;=0.25,W96,'10. Whatif Control pannel'!$B$2)</f>
        <v>0.16</v>
      </c>
      <c r="Z96" s="24">
        <v>6</v>
      </c>
      <c r="AA96" s="13">
        <f>(1+'10. Whatif Control pannel'!$B$10)*Z96</f>
        <v>7.2</v>
      </c>
      <c r="AB96" s="3">
        <f t="shared" si="23"/>
        <v>5487.6024</v>
      </c>
      <c r="AC96" s="3">
        <f t="shared" si="28"/>
        <v>7375.3376256</v>
      </c>
      <c r="AD96" s="3">
        <f t="shared" si="24"/>
        <v>6056.88</v>
      </c>
      <c r="AE96" s="3">
        <f t="shared" si="25"/>
        <v>-569.2776</v>
      </c>
      <c r="AF96" s="3">
        <f t="shared" si="29"/>
        <v>1318.4576256</v>
      </c>
      <c r="AG96">
        <f t="shared" si="26"/>
        <v>-0.103738856882197</v>
      </c>
    </row>
    <row r="97" spans="1:33">
      <c r="A97" t="s">
        <v>289</v>
      </c>
      <c r="B97" s="20">
        <v>45022</v>
      </c>
      <c r="C97" s="2">
        <f t="shared" si="15"/>
        <v>4</v>
      </c>
      <c r="D97" s="21">
        <f t="shared" si="27"/>
        <v>45022</v>
      </c>
      <c r="E97" s="19" t="str">
        <f t="shared" si="16"/>
        <v>Quarter 2</v>
      </c>
      <c r="F97" s="19">
        <v>45043</v>
      </c>
      <c r="G97" s="19">
        <f t="shared" si="17"/>
        <v>45043</v>
      </c>
      <c r="H97" s="22">
        <f t="shared" si="18"/>
        <v>21</v>
      </c>
      <c r="I97" t="str">
        <f t="shared" si="19"/>
        <v>Delayed </v>
      </c>
      <c r="J97" t="s">
        <v>78</v>
      </c>
      <c r="K97" t="s">
        <v>108</v>
      </c>
      <c r="L97" t="s">
        <v>228</v>
      </c>
      <c r="M97" t="s">
        <v>105</v>
      </c>
      <c r="N97" t="s">
        <v>55</v>
      </c>
      <c r="O97" t="s">
        <v>34</v>
      </c>
      <c r="P97" t="s">
        <v>30</v>
      </c>
      <c r="Q97" t="s">
        <v>290</v>
      </c>
      <c r="R97" s="3">
        <v>1084.79</v>
      </c>
      <c r="S97" s="3">
        <v>2484.99</v>
      </c>
      <c r="T97" s="3">
        <f t="shared" si="20"/>
        <v>2484.99</v>
      </c>
      <c r="U97" s="3">
        <f>(1+'10. Whatif Control pannel'!$B$6)*T97</f>
        <v>2783.1888</v>
      </c>
      <c r="V97" s="3" t="str">
        <f t="shared" si="21"/>
        <v>High</v>
      </c>
      <c r="W97" s="34">
        <v>0.034</v>
      </c>
      <c r="X97" s="24" t="str">
        <f t="shared" si="22"/>
        <v>Okay</v>
      </c>
      <c r="Y97" s="36">
        <f>IF(W97&lt;=0.25,W97,'10. Whatif Control pannel'!$B$2)</f>
        <v>0.034</v>
      </c>
      <c r="Z97" s="24">
        <v>18</v>
      </c>
      <c r="AA97" s="13">
        <f>(1+'10. Whatif Control pannel'!$B$10)*Z97</f>
        <v>21.6</v>
      </c>
      <c r="AB97" s="3">
        <f t="shared" si="23"/>
        <v>43209.00612</v>
      </c>
      <c r="AC97" s="3">
        <f t="shared" si="28"/>
        <v>58072.90422528</v>
      </c>
      <c r="AD97" s="3">
        <f t="shared" si="24"/>
        <v>19526.22</v>
      </c>
      <c r="AE97" s="3">
        <f t="shared" si="25"/>
        <v>23682.78612</v>
      </c>
      <c r="AF97" s="3">
        <f t="shared" si="29"/>
        <v>38546.68422528</v>
      </c>
      <c r="AG97">
        <f t="shared" si="26"/>
        <v>0.548098376857551</v>
      </c>
    </row>
    <row r="98" spans="1:33">
      <c r="A98" t="s">
        <v>291</v>
      </c>
      <c r="B98" s="20">
        <v>45870</v>
      </c>
      <c r="C98" s="2">
        <f t="shared" si="15"/>
        <v>8</v>
      </c>
      <c r="D98" s="21">
        <f t="shared" si="27"/>
        <v>45870</v>
      </c>
      <c r="E98" s="19" t="str">
        <f t="shared" si="16"/>
        <v>Quarter 3</v>
      </c>
      <c r="F98" s="19">
        <v>45885</v>
      </c>
      <c r="G98" s="19">
        <f t="shared" si="17"/>
        <v>45885</v>
      </c>
      <c r="H98" s="22">
        <f t="shared" si="18"/>
        <v>15</v>
      </c>
      <c r="I98" t="str">
        <f t="shared" si="19"/>
        <v>Delayed </v>
      </c>
      <c r="J98" t="s">
        <v>45</v>
      </c>
      <c r="K98" t="s">
        <v>60</v>
      </c>
      <c r="L98" t="s">
        <v>1443</v>
      </c>
      <c r="M98" t="s">
        <v>105</v>
      </c>
      <c r="N98" t="s">
        <v>98</v>
      </c>
      <c r="O98" t="s">
        <v>68</v>
      </c>
      <c r="P98" t="s">
        <v>64</v>
      </c>
      <c r="Q98" t="s">
        <v>292</v>
      </c>
      <c r="R98" s="3">
        <v>24.44</v>
      </c>
      <c r="S98" s="3">
        <v>28.69</v>
      </c>
      <c r="T98" s="3">
        <f t="shared" si="20"/>
        <v>28.69</v>
      </c>
      <c r="U98" s="3">
        <f>(1+'10. Whatif Control pannel'!$B$6)*T98</f>
        <v>32.1328</v>
      </c>
      <c r="V98" s="3" t="str">
        <f t="shared" si="21"/>
        <v>Low</v>
      </c>
      <c r="W98" s="34">
        <v>0.146</v>
      </c>
      <c r="X98" s="24" t="str">
        <f t="shared" si="22"/>
        <v>Okay</v>
      </c>
      <c r="Y98" s="36">
        <f>IF(W98&lt;=0.25,W98,'10. Whatif Control pannel'!$B$2)</f>
        <v>0.146</v>
      </c>
      <c r="Z98" s="24">
        <v>6</v>
      </c>
      <c r="AA98" s="13">
        <f>(1+'10. Whatif Control pannel'!$B$10)*Z98</f>
        <v>7.2</v>
      </c>
      <c r="AB98" s="3">
        <f t="shared" si="23"/>
        <v>147.00756</v>
      </c>
      <c r="AC98" s="3">
        <f t="shared" si="28"/>
        <v>197.57816064</v>
      </c>
      <c r="AD98" s="3">
        <f t="shared" si="24"/>
        <v>146.64</v>
      </c>
      <c r="AE98" s="3">
        <f t="shared" si="25"/>
        <v>0.367559999999997</v>
      </c>
      <c r="AF98" s="3">
        <f t="shared" si="29"/>
        <v>50.93816064</v>
      </c>
      <c r="AG98">
        <f t="shared" si="26"/>
        <v>0.00250027957745845</v>
      </c>
    </row>
    <row r="99" spans="1:33">
      <c r="A99" t="s">
        <v>293</v>
      </c>
      <c r="B99" s="20">
        <v>45440</v>
      </c>
      <c r="C99" s="2">
        <f t="shared" si="15"/>
        <v>5</v>
      </c>
      <c r="D99" s="21">
        <f t="shared" si="27"/>
        <v>45440</v>
      </c>
      <c r="E99" s="19" t="str">
        <f t="shared" si="16"/>
        <v>Quarter 2</v>
      </c>
      <c r="F99" s="19">
        <v>45438</v>
      </c>
      <c r="G99" s="19">
        <f t="shared" si="17"/>
        <v>45447</v>
      </c>
      <c r="H99" s="22">
        <f t="shared" si="18"/>
        <v>7</v>
      </c>
      <c r="I99" t="str">
        <f t="shared" si="19"/>
        <v>Ontime</v>
      </c>
      <c r="J99" t="s">
        <v>16</v>
      </c>
      <c r="K99" t="s">
        <v>25</v>
      </c>
      <c r="L99" t="s">
        <v>67</v>
      </c>
      <c r="M99" t="s">
        <v>105</v>
      </c>
      <c r="N99" t="s">
        <v>28</v>
      </c>
      <c r="O99" t="s">
        <v>84</v>
      </c>
      <c r="P99" t="s">
        <v>81</v>
      </c>
      <c r="Q99" t="s">
        <v>294</v>
      </c>
      <c r="R99" s="3">
        <v>1227.08</v>
      </c>
      <c r="S99" s="3">
        <v>1896.62</v>
      </c>
      <c r="T99" s="3">
        <f t="shared" si="20"/>
        <v>1896.62</v>
      </c>
      <c r="U99" s="3">
        <f>(1+'10. Whatif Control pannel'!$B$6)*T99</f>
        <v>2124.2144</v>
      </c>
      <c r="V99" s="3" t="str">
        <f t="shared" si="21"/>
        <v>High</v>
      </c>
      <c r="W99" s="34">
        <v>0</v>
      </c>
      <c r="X99" s="24" t="str">
        <f t="shared" si="22"/>
        <v>Okay</v>
      </c>
      <c r="Y99" s="36">
        <f>IF(W99&lt;=0.25,W99,'10. Whatif Control pannel'!$B$2)</f>
        <v>0</v>
      </c>
      <c r="Z99" s="24">
        <v>18</v>
      </c>
      <c r="AA99" s="13">
        <f>(1+'10. Whatif Control pannel'!$B$10)*Z99</f>
        <v>21.6</v>
      </c>
      <c r="AB99" s="3">
        <f t="shared" si="23"/>
        <v>34139.16</v>
      </c>
      <c r="AC99" s="3">
        <f t="shared" si="28"/>
        <v>45883.03104</v>
      </c>
      <c r="AD99" s="3">
        <f t="shared" si="24"/>
        <v>22087.44</v>
      </c>
      <c r="AE99" s="3">
        <f t="shared" si="25"/>
        <v>12051.72</v>
      </c>
      <c r="AF99" s="3">
        <f t="shared" si="29"/>
        <v>23795.59104</v>
      </c>
      <c r="AG99">
        <f t="shared" si="26"/>
        <v>0.353017473189147</v>
      </c>
    </row>
    <row r="100" spans="1:33">
      <c r="A100" t="s">
        <v>295</v>
      </c>
      <c r="B100" s="20">
        <v>45860</v>
      </c>
      <c r="C100" s="2">
        <f t="shared" si="15"/>
        <v>7</v>
      </c>
      <c r="D100" s="21">
        <f t="shared" si="27"/>
        <v>45860</v>
      </c>
      <c r="E100" s="19" t="str">
        <f t="shared" si="16"/>
        <v>Quarter 3</v>
      </c>
      <c r="F100" s="19">
        <v>45887</v>
      </c>
      <c r="G100" s="19">
        <f t="shared" si="17"/>
        <v>45887</v>
      </c>
      <c r="H100" s="22">
        <f t="shared" si="18"/>
        <v>27</v>
      </c>
      <c r="I100" t="str">
        <f t="shared" si="19"/>
        <v>Delayed </v>
      </c>
      <c r="J100" t="s">
        <v>45</v>
      </c>
      <c r="K100" t="s">
        <v>116</v>
      </c>
      <c r="L100" t="s">
        <v>117</v>
      </c>
      <c r="M100" t="s">
        <v>39</v>
      </c>
      <c r="N100" t="s">
        <v>40</v>
      </c>
      <c r="O100" t="s">
        <v>110</v>
      </c>
      <c r="P100" t="s">
        <v>35</v>
      </c>
      <c r="Q100" t="s">
        <v>296</v>
      </c>
      <c r="R100" s="3">
        <v>547.32</v>
      </c>
      <c r="S100" s="3">
        <v>419.17</v>
      </c>
      <c r="T100" s="3">
        <f t="shared" si="20"/>
        <v>419.17</v>
      </c>
      <c r="U100" s="3">
        <f>(1+'10. Whatif Control pannel'!$B$6)*T100</f>
        <v>469.4704</v>
      </c>
      <c r="V100" s="3" t="str">
        <f t="shared" si="21"/>
        <v>Low</v>
      </c>
      <c r="W100" s="34">
        <v>0.092</v>
      </c>
      <c r="X100" s="24" t="str">
        <f t="shared" si="22"/>
        <v>Okay</v>
      </c>
      <c r="Y100" s="36">
        <f>IF(W100&lt;=0.25,W100,'10. Whatif Control pannel'!$B$2)</f>
        <v>0.092</v>
      </c>
      <c r="Z100" s="24">
        <v>14</v>
      </c>
      <c r="AA100" s="13">
        <f>(1+'10. Whatif Control pannel'!$B$10)*Z100</f>
        <v>16.8</v>
      </c>
      <c r="AB100" s="3">
        <f t="shared" si="23"/>
        <v>5328.48904</v>
      </c>
      <c r="AC100" s="3">
        <f t="shared" si="28"/>
        <v>7161.48926976</v>
      </c>
      <c r="AD100" s="3">
        <f t="shared" si="24"/>
        <v>7662.48</v>
      </c>
      <c r="AE100" s="3">
        <f t="shared" si="25"/>
        <v>-2333.99096</v>
      </c>
      <c r="AF100" s="3">
        <f t="shared" si="29"/>
        <v>-500.99073024</v>
      </c>
      <c r="AG100">
        <f t="shared" si="26"/>
        <v>-0.438021161811379</v>
      </c>
    </row>
    <row r="101" spans="1:33">
      <c r="A101" t="s">
        <v>297</v>
      </c>
      <c r="B101" s="20">
        <v>44985</v>
      </c>
      <c r="C101" s="2">
        <f t="shared" si="15"/>
        <v>2</v>
      </c>
      <c r="D101" s="21">
        <f t="shared" si="27"/>
        <v>44985</v>
      </c>
      <c r="E101" s="19" t="str">
        <f t="shared" si="16"/>
        <v>Quarter 1</v>
      </c>
      <c r="F101" s="19">
        <v>45005</v>
      </c>
      <c r="G101" s="19">
        <f t="shared" si="17"/>
        <v>45005</v>
      </c>
      <c r="H101" s="22">
        <f t="shared" si="18"/>
        <v>20</v>
      </c>
      <c r="I101" t="str">
        <f t="shared" si="19"/>
        <v>Delayed </v>
      </c>
      <c r="J101" t="s">
        <v>78</v>
      </c>
      <c r="K101" t="s">
        <v>79</v>
      </c>
      <c r="L101" t="s">
        <v>80</v>
      </c>
      <c r="M101" t="s">
        <v>62</v>
      </c>
      <c r="N101" t="s">
        <v>98</v>
      </c>
      <c r="O101" t="s">
        <v>92</v>
      </c>
      <c r="P101" t="s">
        <v>57</v>
      </c>
      <c r="Q101" t="s">
        <v>298</v>
      </c>
      <c r="R101" s="3">
        <v>1200.78</v>
      </c>
      <c r="S101" s="3">
        <v>2001.17</v>
      </c>
      <c r="T101" s="3">
        <f t="shared" si="20"/>
        <v>2001.17</v>
      </c>
      <c r="U101" s="3">
        <f>(1+'10. Whatif Control pannel'!$B$6)*T101</f>
        <v>2241.3104</v>
      </c>
      <c r="V101" s="3" t="str">
        <f t="shared" si="21"/>
        <v>High</v>
      </c>
      <c r="W101" s="34">
        <v>0.292</v>
      </c>
      <c r="X101" s="24" t="str">
        <f t="shared" si="22"/>
        <v>High Discount</v>
      </c>
      <c r="Y101" s="36">
        <f>IF(W101&lt;=0.25,W101,'10. Whatif Control pannel'!$B$2)</f>
        <v>0.23</v>
      </c>
      <c r="Z101" s="24">
        <v>18</v>
      </c>
      <c r="AA101" s="13">
        <f>(1+'10. Whatif Control pannel'!$B$10)*Z101</f>
        <v>21.6</v>
      </c>
      <c r="AB101" s="3">
        <f t="shared" si="23"/>
        <v>25502.91048</v>
      </c>
      <c r="AC101" s="3">
        <f t="shared" si="28"/>
        <v>37277.4745728</v>
      </c>
      <c r="AD101" s="3">
        <f t="shared" si="24"/>
        <v>21614.04</v>
      </c>
      <c r="AE101" s="3">
        <f t="shared" si="25"/>
        <v>3888.87048</v>
      </c>
      <c r="AF101" s="3">
        <f t="shared" si="29"/>
        <v>15663.4345728</v>
      </c>
      <c r="AG101">
        <f t="shared" si="26"/>
        <v>0.152487320341329</v>
      </c>
    </row>
    <row r="102" spans="1:33">
      <c r="A102" t="s">
        <v>299</v>
      </c>
      <c r="B102" s="20">
        <v>45684</v>
      </c>
      <c r="C102" s="2">
        <f t="shared" si="15"/>
        <v>1</v>
      </c>
      <c r="D102" s="21">
        <f t="shared" si="27"/>
        <v>45684</v>
      </c>
      <c r="E102" s="19" t="str">
        <f t="shared" si="16"/>
        <v>Quarter 1</v>
      </c>
      <c r="F102" s="19">
        <v>45703</v>
      </c>
      <c r="G102" s="19">
        <f t="shared" si="17"/>
        <v>45703</v>
      </c>
      <c r="H102" s="22">
        <f t="shared" si="18"/>
        <v>19</v>
      </c>
      <c r="I102" t="str">
        <f t="shared" si="19"/>
        <v>Delayed </v>
      </c>
      <c r="J102" t="s">
        <v>45</v>
      </c>
      <c r="K102" t="s">
        <v>116</v>
      </c>
      <c r="L102" t="s">
        <v>117</v>
      </c>
      <c r="M102" t="s">
        <v>39</v>
      </c>
      <c r="N102" t="s">
        <v>98</v>
      </c>
      <c r="O102" t="s">
        <v>49</v>
      </c>
      <c r="P102" t="s">
        <v>42</v>
      </c>
      <c r="Q102" t="s">
        <v>300</v>
      </c>
      <c r="R102" s="3">
        <v>1253.22</v>
      </c>
      <c r="S102" s="3">
        <v>3104.71</v>
      </c>
      <c r="T102" s="3">
        <f t="shared" si="20"/>
        <v>3104.71</v>
      </c>
      <c r="U102" s="3">
        <f>(1+'10. Whatif Control pannel'!$B$6)*T102</f>
        <v>3477.2752</v>
      </c>
      <c r="V102" s="3" t="str">
        <f t="shared" si="21"/>
        <v>High</v>
      </c>
      <c r="W102" s="34">
        <v>0</v>
      </c>
      <c r="X102" s="24" t="str">
        <f t="shared" si="22"/>
        <v>Okay</v>
      </c>
      <c r="Y102" s="36">
        <f>IF(W102&lt;=0.25,W102,'10. Whatif Control pannel'!$B$2)</f>
        <v>0</v>
      </c>
      <c r="Z102" s="24">
        <v>17</v>
      </c>
      <c r="AA102" s="13">
        <f>(1+'10. Whatif Control pannel'!$B$10)*Z102</f>
        <v>20.4</v>
      </c>
      <c r="AB102" s="3">
        <f t="shared" si="23"/>
        <v>52780.07</v>
      </c>
      <c r="AC102" s="3">
        <f t="shared" si="28"/>
        <v>70936.41408</v>
      </c>
      <c r="AD102" s="3">
        <f t="shared" si="24"/>
        <v>21304.74</v>
      </c>
      <c r="AE102" s="3">
        <f t="shared" si="25"/>
        <v>31475.33</v>
      </c>
      <c r="AF102" s="3">
        <f t="shared" si="29"/>
        <v>49631.67408</v>
      </c>
      <c r="AG102">
        <f t="shared" si="26"/>
        <v>0.596348773315382</v>
      </c>
    </row>
    <row r="103" spans="1:33">
      <c r="A103" t="s">
        <v>301</v>
      </c>
      <c r="B103" s="20">
        <v>45304</v>
      </c>
      <c r="C103" s="2">
        <f t="shared" si="15"/>
        <v>1</v>
      </c>
      <c r="D103" s="21">
        <f t="shared" si="27"/>
        <v>45304</v>
      </c>
      <c r="E103" s="19" t="str">
        <f t="shared" si="16"/>
        <v>Quarter 1</v>
      </c>
      <c r="F103" s="19">
        <v>45313</v>
      </c>
      <c r="G103" s="19">
        <f t="shared" si="17"/>
        <v>45313</v>
      </c>
      <c r="H103" s="22">
        <f t="shared" si="18"/>
        <v>9</v>
      </c>
      <c r="I103" t="str">
        <f t="shared" si="19"/>
        <v>Delayed </v>
      </c>
      <c r="J103" t="s">
        <v>45</v>
      </c>
      <c r="K103" t="s">
        <v>60</v>
      </c>
      <c r="L103" t="s">
        <v>220</v>
      </c>
      <c r="M103" t="s">
        <v>105</v>
      </c>
      <c r="N103" t="s">
        <v>40</v>
      </c>
      <c r="O103" t="s">
        <v>29</v>
      </c>
      <c r="P103" t="s">
        <v>22</v>
      </c>
      <c r="Q103" t="s">
        <v>302</v>
      </c>
      <c r="R103" s="3">
        <v>313.6</v>
      </c>
      <c r="S103" s="3">
        <v>334.28</v>
      </c>
      <c r="T103" s="3">
        <f t="shared" si="20"/>
        <v>334.28</v>
      </c>
      <c r="U103" s="3">
        <f>(1+'10. Whatif Control pannel'!$B$6)*T103</f>
        <v>374.3936</v>
      </c>
      <c r="V103" s="3" t="str">
        <f t="shared" si="21"/>
        <v>Low</v>
      </c>
      <c r="W103" s="34">
        <v>0.14</v>
      </c>
      <c r="X103" s="24" t="str">
        <f t="shared" si="22"/>
        <v>Okay</v>
      </c>
      <c r="Y103" s="36">
        <f>IF(W103&lt;=0.25,W103,'10. Whatif Control pannel'!$B$2)</f>
        <v>0.14</v>
      </c>
      <c r="Z103" s="24">
        <v>22</v>
      </c>
      <c r="AA103" s="13">
        <f>(1+'10. Whatif Control pannel'!$B$10)*Z103</f>
        <v>26.4</v>
      </c>
      <c r="AB103" s="3">
        <f t="shared" si="23"/>
        <v>6324.5776</v>
      </c>
      <c r="AC103" s="3">
        <f t="shared" si="28"/>
        <v>8500.2322944</v>
      </c>
      <c r="AD103" s="3">
        <f t="shared" si="24"/>
        <v>6899.2</v>
      </c>
      <c r="AE103" s="3">
        <f t="shared" si="25"/>
        <v>-574.622400000001</v>
      </c>
      <c r="AF103" s="3">
        <f t="shared" si="29"/>
        <v>1601.0322944</v>
      </c>
      <c r="AG103">
        <f t="shared" si="26"/>
        <v>-0.0908554588689055</v>
      </c>
    </row>
    <row r="104" spans="1:33">
      <c r="A104" t="s">
        <v>303</v>
      </c>
      <c r="B104" s="20">
        <v>45747</v>
      </c>
      <c r="C104" s="2">
        <f t="shared" si="15"/>
        <v>3</v>
      </c>
      <c r="D104" s="21">
        <f t="shared" si="27"/>
        <v>45747</v>
      </c>
      <c r="E104" s="19" t="str">
        <f t="shared" si="16"/>
        <v>Quarter 1</v>
      </c>
      <c r="F104" s="19">
        <v>45751</v>
      </c>
      <c r="G104" s="19">
        <f t="shared" si="17"/>
        <v>45751</v>
      </c>
      <c r="H104" s="22">
        <f t="shared" si="18"/>
        <v>4</v>
      </c>
      <c r="I104" t="str">
        <f t="shared" si="19"/>
        <v>Ontime</v>
      </c>
      <c r="J104" t="s">
        <v>16</v>
      </c>
      <c r="K104" t="s">
        <v>17</v>
      </c>
      <c r="L104" t="s">
        <v>135</v>
      </c>
      <c r="M104" t="s">
        <v>19</v>
      </c>
      <c r="N104" t="s">
        <v>98</v>
      </c>
      <c r="O104" t="s">
        <v>21</v>
      </c>
      <c r="P104" t="s">
        <v>57</v>
      </c>
      <c r="Q104" t="s">
        <v>304</v>
      </c>
      <c r="R104" s="3">
        <v>862.08</v>
      </c>
      <c r="S104" s="3">
        <v>1952.83</v>
      </c>
      <c r="T104" s="3">
        <f t="shared" si="20"/>
        <v>1952.83</v>
      </c>
      <c r="U104" s="3">
        <f>(1+'10. Whatif Control pannel'!$B$6)*T104</f>
        <v>2187.1696</v>
      </c>
      <c r="V104" s="3" t="str">
        <f t="shared" si="21"/>
        <v>High</v>
      </c>
      <c r="W104" s="34">
        <v>0</v>
      </c>
      <c r="X104" s="24" t="str">
        <f t="shared" si="22"/>
        <v>Okay</v>
      </c>
      <c r="Y104" s="36">
        <f>IF(W104&lt;=0.25,W104,'10. Whatif Control pannel'!$B$2)</f>
        <v>0</v>
      </c>
      <c r="Z104" s="24">
        <v>7</v>
      </c>
      <c r="AA104" s="13">
        <f>(1+'10. Whatif Control pannel'!$B$10)*Z104</f>
        <v>8.4</v>
      </c>
      <c r="AB104" s="3">
        <f t="shared" si="23"/>
        <v>13669.81</v>
      </c>
      <c r="AC104" s="3">
        <f t="shared" si="28"/>
        <v>18372.22464</v>
      </c>
      <c r="AD104" s="3">
        <f t="shared" si="24"/>
        <v>6034.56</v>
      </c>
      <c r="AE104" s="3">
        <f t="shared" si="25"/>
        <v>7635.25</v>
      </c>
      <c r="AF104" s="3">
        <f t="shared" si="29"/>
        <v>12337.66464</v>
      </c>
      <c r="AG104">
        <f t="shared" si="26"/>
        <v>0.558548363144769</v>
      </c>
    </row>
    <row r="105" spans="1:33">
      <c r="A105" t="s">
        <v>305</v>
      </c>
      <c r="B105" s="20">
        <v>45631</v>
      </c>
      <c r="C105" s="2">
        <f t="shared" si="15"/>
        <v>12</v>
      </c>
      <c r="D105" s="21">
        <f t="shared" si="27"/>
        <v>45631</v>
      </c>
      <c r="E105" s="19" t="str">
        <f t="shared" si="16"/>
        <v>Quarter 4</v>
      </c>
      <c r="F105" s="19">
        <v>45654</v>
      </c>
      <c r="G105" s="19">
        <f t="shared" si="17"/>
        <v>45654</v>
      </c>
      <c r="H105" s="22">
        <f t="shared" si="18"/>
        <v>23</v>
      </c>
      <c r="I105" t="str">
        <f t="shared" si="19"/>
        <v>Delayed </v>
      </c>
      <c r="J105" t="s">
        <v>52</v>
      </c>
      <c r="K105" t="s">
        <v>53</v>
      </c>
      <c r="L105" t="s">
        <v>179</v>
      </c>
      <c r="M105" t="s">
        <v>19</v>
      </c>
      <c r="N105" t="s">
        <v>98</v>
      </c>
      <c r="O105" t="s">
        <v>84</v>
      </c>
      <c r="P105" t="s">
        <v>81</v>
      </c>
      <c r="Q105" t="s">
        <v>306</v>
      </c>
      <c r="R105" s="3">
        <v>107.03</v>
      </c>
      <c r="S105" s="3">
        <v>242.29</v>
      </c>
      <c r="T105" s="3">
        <f t="shared" si="20"/>
        <v>242.29</v>
      </c>
      <c r="U105" s="3">
        <f>(1+'10. Whatif Control pannel'!$B$6)*T105</f>
        <v>271.3648</v>
      </c>
      <c r="V105" s="3" t="str">
        <f t="shared" si="21"/>
        <v>Low</v>
      </c>
      <c r="W105" s="34">
        <v>0.18</v>
      </c>
      <c r="X105" s="24" t="str">
        <f t="shared" si="22"/>
        <v>Okay</v>
      </c>
      <c r="Y105" s="36">
        <f>IF(W105&lt;=0.25,W105,'10. Whatif Control pannel'!$B$2)</f>
        <v>0.18</v>
      </c>
      <c r="Z105" s="24">
        <v>30</v>
      </c>
      <c r="AA105" s="13">
        <f>(1+'10. Whatif Control pannel'!$B$10)*Z105</f>
        <v>36</v>
      </c>
      <c r="AB105" s="3">
        <f t="shared" si="23"/>
        <v>5960.334</v>
      </c>
      <c r="AC105" s="3">
        <f t="shared" si="28"/>
        <v>8010.688896</v>
      </c>
      <c r="AD105" s="3">
        <f t="shared" si="24"/>
        <v>3210.9</v>
      </c>
      <c r="AE105" s="3">
        <f t="shared" si="25"/>
        <v>2749.434</v>
      </c>
      <c r="AF105" s="3">
        <f t="shared" si="29"/>
        <v>4799.788896</v>
      </c>
      <c r="AG105">
        <f t="shared" si="26"/>
        <v>0.46128857879441</v>
      </c>
    </row>
    <row r="106" spans="1:33">
      <c r="A106" t="s">
        <v>307</v>
      </c>
      <c r="B106" s="20">
        <v>45549</v>
      </c>
      <c r="C106" s="2">
        <f t="shared" si="15"/>
        <v>9</v>
      </c>
      <c r="D106" s="21">
        <f t="shared" si="27"/>
        <v>45549</v>
      </c>
      <c r="E106" s="19" t="str">
        <f t="shared" si="16"/>
        <v>Quarter 3</v>
      </c>
      <c r="F106" s="19">
        <v>45570</v>
      </c>
      <c r="G106" s="19">
        <f t="shared" si="17"/>
        <v>45570</v>
      </c>
      <c r="H106" s="22">
        <f t="shared" si="18"/>
        <v>21</v>
      </c>
      <c r="I106" t="str">
        <f t="shared" si="19"/>
        <v>Delayed </v>
      </c>
      <c r="J106" t="s">
        <v>45</v>
      </c>
      <c r="K106" t="s">
        <v>116</v>
      </c>
      <c r="L106" t="s">
        <v>162</v>
      </c>
      <c r="M106" t="s">
        <v>62</v>
      </c>
      <c r="N106" t="s">
        <v>28</v>
      </c>
      <c r="O106" t="s">
        <v>92</v>
      </c>
      <c r="P106" t="s">
        <v>57</v>
      </c>
      <c r="Q106" t="s">
        <v>308</v>
      </c>
      <c r="R106" s="3">
        <v>1405.56</v>
      </c>
      <c r="S106" s="3">
        <v>2968.87</v>
      </c>
      <c r="T106" s="3">
        <f t="shared" si="20"/>
        <v>2968.87</v>
      </c>
      <c r="U106" s="3">
        <f>(1+'10. Whatif Control pannel'!$B$6)*T106</f>
        <v>3325.1344</v>
      </c>
      <c r="V106" s="3" t="str">
        <f t="shared" si="21"/>
        <v>High</v>
      </c>
      <c r="W106" s="34">
        <v>0.169</v>
      </c>
      <c r="X106" s="24" t="str">
        <f t="shared" si="22"/>
        <v>Okay</v>
      </c>
      <c r="Y106" s="36">
        <f>IF(W106&lt;=0.25,W106,'10. Whatif Control pannel'!$B$2)</f>
        <v>0.169</v>
      </c>
      <c r="Z106" s="24">
        <v>5</v>
      </c>
      <c r="AA106" s="13">
        <f>(1+'10. Whatif Control pannel'!$B$10)*Z106</f>
        <v>6</v>
      </c>
      <c r="AB106" s="3">
        <f t="shared" si="23"/>
        <v>12335.65485</v>
      </c>
      <c r="AC106" s="3">
        <f t="shared" si="28"/>
        <v>16579.1201184</v>
      </c>
      <c r="AD106" s="3">
        <f t="shared" si="24"/>
        <v>7027.8</v>
      </c>
      <c r="AE106" s="3">
        <f t="shared" si="25"/>
        <v>5307.85485</v>
      </c>
      <c r="AF106" s="3">
        <f t="shared" si="29"/>
        <v>9551.3201184</v>
      </c>
      <c r="AG106">
        <f t="shared" si="26"/>
        <v>0.430285616332723</v>
      </c>
    </row>
    <row r="107" spans="1:33">
      <c r="A107" t="s">
        <v>309</v>
      </c>
      <c r="B107" s="20">
        <v>45433</v>
      </c>
      <c r="C107" s="2">
        <f t="shared" si="15"/>
        <v>5</v>
      </c>
      <c r="D107" s="21">
        <f t="shared" si="27"/>
        <v>45433</v>
      </c>
      <c r="E107" s="19" t="str">
        <f t="shared" si="16"/>
        <v>Quarter 2</v>
      </c>
      <c r="F107" s="19">
        <v>45439</v>
      </c>
      <c r="G107" s="19">
        <f t="shared" si="17"/>
        <v>45439</v>
      </c>
      <c r="H107" s="22">
        <f t="shared" si="18"/>
        <v>6</v>
      </c>
      <c r="I107" t="str">
        <f t="shared" si="19"/>
        <v>Ontime</v>
      </c>
      <c r="J107" t="s">
        <v>16</v>
      </c>
      <c r="K107" t="s">
        <v>148</v>
      </c>
      <c r="L107" t="s">
        <v>149</v>
      </c>
      <c r="M107" t="s">
        <v>39</v>
      </c>
      <c r="N107" t="s">
        <v>28</v>
      </c>
      <c r="O107" t="s">
        <v>110</v>
      </c>
      <c r="P107" t="s">
        <v>22</v>
      </c>
      <c r="Q107" t="s">
        <v>310</v>
      </c>
      <c r="R107" s="3">
        <v>1157.51</v>
      </c>
      <c r="S107" s="3">
        <v>1394.3</v>
      </c>
      <c r="T107" s="3">
        <f t="shared" si="20"/>
        <v>1394.3</v>
      </c>
      <c r="U107" s="3">
        <f>(1+'10. Whatif Control pannel'!$B$6)*T107</f>
        <v>1561.616</v>
      </c>
      <c r="V107" s="3" t="str">
        <f t="shared" si="21"/>
        <v>Medium</v>
      </c>
      <c r="W107" s="34">
        <v>0.278</v>
      </c>
      <c r="X107" s="24" t="str">
        <f t="shared" si="22"/>
        <v>High Discount</v>
      </c>
      <c r="Y107" s="36">
        <f>IF(W107&lt;=0.25,W107,'10. Whatif Control pannel'!$B$2)</f>
        <v>0.23</v>
      </c>
      <c r="Z107" s="24">
        <v>12</v>
      </c>
      <c r="AA107" s="13">
        <f>(1+'10. Whatif Control pannel'!$B$10)*Z107</f>
        <v>14.4</v>
      </c>
      <c r="AB107" s="3">
        <f t="shared" si="23"/>
        <v>12080.2152</v>
      </c>
      <c r="AC107" s="3">
        <f t="shared" si="28"/>
        <v>17315.198208</v>
      </c>
      <c r="AD107" s="3">
        <f t="shared" si="24"/>
        <v>13890.12</v>
      </c>
      <c r="AE107" s="3">
        <f t="shared" si="25"/>
        <v>-1809.9048</v>
      </c>
      <c r="AF107" s="3">
        <f t="shared" si="29"/>
        <v>3425.078208</v>
      </c>
      <c r="AG107">
        <f t="shared" si="26"/>
        <v>-0.149823887243333</v>
      </c>
    </row>
    <row r="108" spans="1:33">
      <c r="A108" t="s">
        <v>311</v>
      </c>
      <c r="B108" s="20">
        <v>45057</v>
      </c>
      <c r="C108" s="2">
        <f t="shared" si="15"/>
        <v>5</v>
      </c>
      <c r="D108" s="21">
        <f t="shared" si="27"/>
        <v>45057</v>
      </c>
      <c r="E108" s="19" t="str">
        <f t="shared" si="16"/>
        <v>Quarter 2</v>
      </c>
      <c r="F108" s="19">
        <v>45084</v>
      </c>
      <c r="G108" s="19">
        <f t="shared" si="17"/>
        <v>45084</v>
      </c>
      <c r="H108" s="22">
        <f t="shared" si="18"/>
        <v>27</v>
      </c>
      <c r="I108" t="str">
        <f t="shared" si="19"/>
        <v>Delayed </v>
      </c>
      <c r="J108" t="s">
        <v>16</v>
      </c>
      <c r="K108" t="s">
        <v>17</v>
      </c>
      <c r="L108" t="s">
        <v>113</v>
      </c>
      <c r="M108" t="s">
        <v>19</v>
      </c>
      <c r="N108" t="s">
        <v>28</v>
      </c>
      <c r="O108" t="s">
        <v>29</v>
      </c>
      <c r="P108" t="s">
        <v>42</v>
      </c>
      <c r="Q108" t="s">
        <v>312</v>
      </c>
      <c r="R108" s="3">
        <v>12.85</v>
      </c>
      <c r="S108" s="3">
        <v>15.41</v>
      </c>
      <c r="T108" s="3">
        <f t="shared" si="20"/>
        <v>15.41</v>
      </c>
      <c r="U108" s="3">
        <f>(1+'10. Whatif Control pannel'!$B$6)*T108</f>
        <v>17.2592</v>
      </c>
      <c r="V108" s="3" t="str">
        <f t="shared" si="21"/>
        <v>Low</v>
      </c>
      <c r="W108" s="34">
        <v>0.137</v>
      </c>
      <c r="X108" s="24" t="str">
        <f t="shared" si="22"/>
        <v>Okay</v>
      </c>
      <c r="Y108" s="36">
        <f>IF(W108&lt;=0.25,W108,'10. Whatif Control pannel'!$B$2)</f>
        <v>0.137</v>
      </c>
      <c r="Z108" s="24">
        <v>39</v>
      </c>
      <c r="AA108" s="13">
        <f>(1+'10. Whatif Control pannel'!$B$10)*Z108</f>
        <v>46.8</v>
      </c>
      <c r="AB108" s="3">
        <f t="shared" si="23"/>
        <v>518.65437</v>
      </c>
      <c r="AC108" s="3">
        <f t="shared" si="28"/>
        <v>697.07147328</v>
      </c>
      <c r="AD108" s="3">
        <f t="shared" si="24"/>
        <v>501.15</v>
      </c>
      <c r="AE108" s="3">
        <f t="shared" si="25"/>
        <v>17.50437</v>
      </c>
      <c r="AF108" s="3">
        <f t="shared" si="29"/>
        <v>195.92147328</v>
      </c>
      <c r="AG108">
        <f t="shared" si="26"/>
        <v>0.0337495854898514</v>
      </c>
    </row>
    <row r="109" spans="1:33">
      <c r="A109" t="s">
        <v>313</v>
      </c>
      <c r="B109" s="20">
        <v>45518</v>
      </c>
      <c r="C109" s="2">
        <f t="shared" si="15"/>
        <v>8</v>
      </c>
      <c r="D109" s="21">
        <f t="shared" si="27"/>
        <v>45518</v>
      </c>
      <c r="E109" s="19" t="str">
        <f t="shared" si="16"/>
        <v>Quarter 3</v>
      </c>
      <c r="F109" s="19">
        <v>45539</v>
      </c>
      <c r="G109" s="19">
        <f t="shared" si="17"/>
        <v>45539</v>
      </c>
      <c r="H109" s="22">
        <f t="shared" si="18"/>
        <v>21</v>
      </c>
      <c r="I109" t="str">
        <f t="shared" si="19"/>
        <v>Delayed </v>
      </c>
      <c r="J109" t="s">
        <v>78</v>
      </c>
      <c r="K109" t="s">
        <v>108</v>
      </c>
      <c r="L109" t="s">
        <v>228</v>
      </c>
      <c r="M109" t="s">
        <v>39</v>
      </c>
      <c r="N109" t="s">
        <v>28</v>
      </c>
      <c r="O109" t="s">
        <v>29</v>
      </c>
      <c r="P109" t="s">
        <v>42</v>
      </c>
      <c r="Q109" t="s">
        <v>314</v>
      </c>
      <c r="R109" s="3">
        <v>1138.8</v>
      </c>
      <c r="S109" s="3">
        <v>2250.81</v>
      </c>
      <c r="T109" s="3">
        <f t="shared" si="20"/>
        <v>2250.81</v>
      </c>
      <c r="U109" s="3">
        <f>(1+'10. Whatif Control pannel'!$B$6)*T109</f>
        <v>2520.9072</v>
      </c>
      <c r="V109" s="3" t="str">
        <f t="shared" si="21"/>
        <v>High</v>
      </c>
      <c r="W109" s="34">
        <v>0.123</v>
      </c>
      <c r="X109" s="24" t="str">
        <f t="shared" si="22"/>
        <v>Okay</v>
      </c>
      <c r="Y109" s="36">
        <f>IF(W109&lt;=0.25,W109,'10. Whatif Control pannel'!$B$2)</f>
        <v>0.123</v>
      </c>
      <c r="Z109" s="24">
        <v>12</v>
      </c>
      <c r="AA109" s="13">
        <f>(1+'10. Whatif Control pannel'!$B$10)*Z109</f>
        <v>14.4</v>
      </c>
      <c r="AB109" s="3">
        <f t="shared" si="23"/>
        <v>23687.52444</v>
      </c>
      <c r="AC109" s="3">
        <f t="shared" si="28"/>
        <v>31836.03284736</v>
      </c>
      <c r="AD109" s="3">
        <f t="shared" si="24"/>
        <v>13665.6</v>
      </c>
      <c r="AE109" s="3">
        <f t="shared" si="25"/>
        <v>10021.92444</v>
      </c>
      <c r="AF109" s="3">
        <f t="shared" si="29"/>
        <v>18170.43284736</v>
      </c>
      <c r="AG109">
        <f t="shared" si="26"/>
        <v>0.423088721887563</v>
      </c>
    </row>
    <row r="110" spans="1:33">
      <c r="A110" t="s">
        <v>315</v>
      </c>
      <c r="B110" s="20">
        <v>45581</v>
      </c>
      <c r="C110" s="2">
        <f t="shared" si="15"/>
        <v>10</v>
      </c>
      <c r="D110" s="21">
        <f t="shared" si="27"/>
        <v>45581</v>
      </c>
      <c r="E110" s="19" t="str">
        <f t="shared" si="16"/>
        <v>Quarter 4</v>
      </c>
      <c r="F110" s="19">
        <v>45604</v>
      </c>
      <c r="G110" s="19">
        <f t="shared" si="17"/>
        <v>45604</v>
      </c>
      <c r="H110" s="22">
        <f t="shared" si="18"/>
        <v>23</v>
      </c>
      <c r="I110" t="str">
        <f t="shared" si="19"/>
        <v>Delayed </v>
      </c>
      <c r="J110" t="s">
        <v>45</v>
      </c>
      <c r="K110" t="s">
        <v>46</v>
      </c>
      <c r="L110" t="s">
        <v>47</v>
      </c>
      <c r="M110" t="s">
        <v>62</v>
      </c>
      <c r="N110" t="s">
        <v>20</v>
      </c>
      <c r="O110" t="s">
        <v>29</v>
      </c>
      <c r="P110" t="s">
        <v>35</v>
      </c>
      <c r="Q110" t="s">
        <v>316</v>
      </c>
      <c r="R110" s="3">
        <v>82.14</v>
      </c>
      <c r="S110" s="3">
        <v>166.04</v>
      </c>
      <c r="T110" s="3">
        <f t="shared" si="20"/>
        <v>166.04</v>
      </c>
      <c r="U110" s="3">
        <f>(1+'10. Whatif Control pannel'!$B$6)*T110</f>
        <v>185.9648</v>
      </c>
      <c r="V110" s="3" t="str">
        <f t="shared" si="21"/>
        <v>Low</v>
      </c>
      <c r="W110" s="34">
        <v>0</v>
      </c>
      <c r="X110" s="24" t="str">
        <f t="shared" si="22"/>
        <v>Okay</v>
      </c>
      <c r="Y110" s="36">
        <f>IF(W110&lt;=0.25,W110,'10. Whatif Control pannel'!$B$2)</f>
        <v>0</v>
      </c>
      <c r="Z110" s="24">
        <v>10</v>
      </c>
      <c r="AA110" s="13">
        <f>(1+'10. Whatif Control pannel'!$B$10)*Z110</f>
        <v>12</v>
      </c>
      <c r="AB110" s="3">
        <f t="shared" si="23"/>
        <v>1660.4</v>
      </c>
      <c r="AC110" s="3">
        <f t="shared" si="28"/>
        <v>2231.5776</v>
      </c>
      <c r="AD110" s="3">
        <f t="shared" si="24"/>
        <v>821.4</v>
      </c>
      <c r="AE110" s="3">
        <f t="shared" si="25"/>
        <v>839</v>
      </c>
      <c r="AF110" s="3">
        <f t="shared" si="29"/>
        <v>1410.1776</v>
      </c>
      <c r="AG110">
        <f t="shared" si="26"/>
        <v>0.505299927728258</v>
      </c>
    </row>
    <row r="111" spans="1:33">
      <c r="A111" t="s">
        <v>317</v>
      </c>
      <c r="B111" s="20">
        <v>45445</v>
      </c>
      <c r="C111" s="2">
        <f t="shared" si="15"/>
        <v>6</v>
      </c>
      <c r="D111" s="21">
        <f t="shared" si="27"/>
        <v>45445</v>
      </c>
      <c r="E111" s="19" t="str">
        <f t="shared" si="16"/>
        <v>Quarter 2</v>
      </c>
      <c r="F111" s="19">
        <v>45451</v>
      </c>
      <c r="G111" s="19">
        <f t="shared" si="17"/>
        <v>45451</v>
      </c>
      <c r="H111" s="22">
        <f t="shared" si="18"/>
        <v>6</v>
      </c>
      <c r="I111" t="str">
        <f t="shared" si="19"/>
        <v>Ontime</v>
      </c>
      <c r="J111" t="s">
        <v>16</v>
      </c>
      <c r="K111" t="s">
        <v>17</v>
      </c>
      <c r="L111" t="s">
        <v>18</v>
      </c>
      <c r="M111" t="s">
        <v>48</v>
      </c>
      <c r="N111" t="s">
        <v>40</v>
      </c>
      <c r="O111" t="s">
        <v>75</v>
      </c>
      <c r="P111" t="s">
        <v>81</v>
      </c>
      <c r="Q111" t="s">
        <v>318</v>
      </c>
      <c r="R111" s="3">
        <v>292.94</v>
      </c>
      <c r="S111" s="3">
        <v>356.55</v>
      </c>
      <c r="T111" s="3">
        <f t="shared" si="20"/>
        <v>356.55</v>
      </c>
      <c r="U111" s="3">
        <f>(1+'10. Whatif Control pannel'!$B$6)*T111</f>
        <v>399.336</v>
      </c>
      <c r="V111" s="3" t="str">
        <f t="shared" si="21"/>
        <v>Low</v>
      </c>
      <c r="W111" s="34">
        <v>0.229</v>
      </c>
      <c r="X111" s="24" t="str">
        <f t="shared" si="22"/>
        <v>High Discount</v>
      </c>
      <c r="Y111" s="36">
        <f>IF(W111&lt;=0.25,W111,'10. Whatif Control pannel'!$B$2)</f>
        <v>0.229</v>
      </c>
      <c r="Z111" s="24">
        <v>2</v>
      </c>
      <c r="AA111" s="13">
        <f>(1+'10. Whatif Control pannel'!$B$10)*Z111</f>
        <v>2.4</v>
      </c>
      <c r="AB111" s="3">
        <f t="shared" si="23"/>
        <v>549.8001</v>
      </c>
      <c r="AC111" s="3">
        <f t="shared" si="28"/>
        <v>738.9313344</v>
      </c>
      <c r="AD111" s="3">
        <f t="shared" si="24"/>
        <v>585.88</v>
      </c>
      <c r="AE111" s="3">
        <f t="shared" si="25"/>
        <v>-36.0799</v>
      </c>
      <c r="AF111" s="3">
        <f t="shared" si="29"/>
        <v>153.0513344</v>
      </c>
      <c r="AG111">
        <f t="shared" si="26"/>
        <v>-0.0656236694027519</v>
      </c>
    </row>
    <row r="112" spans="1:33">
      <c r="A112" t="s">
        <v>319</v>
      </c>
      <c r="B112" s="20">
        <v>45452</v>
      </c>
      <c r="C112" s="2">
        <f t="shared" si="15"/>
        <v>6</v>
      </c>
      <c r="D112" s="21">
        <f t="shared" si="27"/>
        <v>45452</v>
      </c>
      <c r="E112" s="19" t="str">
        <f t="shared" si="16"/>
        <v>Quarter 2</v>
      </c>
      <c r="F112" s="19">
        <v>45480</v>
      </c>
      <c r="G112" s="19">
        <f t="shared" si="17"/>
        <v>45480</v>
      </c>
      <c r="H112" s="22">
        <f t="shared" si="18"/>
        <v>28</v>
      </c>
      <c r="I112" t="str">
        <f t="shared" si="19"/>
        <v>Delayed </v>
      </c>
      <c r="J112" t="s">
        <v>45</v>
      </c>
      <c r="K112" t="s">
        <v>116</v>
      </c>
      <c r="L112" t="s">
        <v>117</v>
      </c>
      <c r="M112" t="s">
        <v>19</v>
      </c>
      <c r="N112" t="s">
        <v>28</v>
      </c>
      <c r="O112" t="s">
        <v>29</v>
      </c>
      <c r="P112" t="s">
        <v>22</v>
      </c>
      <c r="Q112" t="s">
        <v>320</v>
      </c>
      <c r="R112" s="3">
        <v>550.22</v>
      </c>
      <c r="S112" s="3">
        <v>1025.05</v>
      </c>
      <c r="T112" s="3">
        <f t="shared" si="20"/>
        <v>1025.05</v>
      </c>
      <c r="U112" s="3">
        <f>(1+'10. Whatif Control pannel'!$B$6)*T112</f>
        <v>1148.056</v>
      </c>
      <c r="V112" s="3" t="str">
        <f t="shared" si="21"/>
        <v>Medium</v>
      </c>
      <c r="W112" s="34">
        <v>0</v>
      </c>
      <c r="X112" s="24" t="str">
        <f t="shared" si="22"/>
        <v>Okay</v>
      </c>
      <c r="Y112" s="36">
        <f>IF(W112&lt;=0.25,W112,'10. Whatif Control pannel'!$B$2)</f>
        <v>0</v>
      </c>
      <c r="Z112" s="24">
        <v>27</v>
      </c>
      <c r="AA112" s="13">
        <f>(1+'10. Whatif Control pannel'!$B$10)*Z112</f>
        <v>32.4</v>
      </c>
      <c r="AB112" s="3">
        <f t="shared" si="23"/>
        <v>27676.35</v>
      </c>
      <c r="AC112" s="3">
        <f t="shared" si="28"/>
        <v>37197.0144</v>
      </c>
      <c r="AD112" s="3">
        <f t="shared" si="24"/>
        <v>14855.94</v>
      </c>
      <c r="AE112" s="3">
        <f t="shared" si="25"/>
        <v>12820.41</v>
      </c>
      <c r="AF112" s="3">
        <f t="shared" si="29"/>
        <v>22341.0744</v>
      </c>
      <c r="AG112">
        <f t="shared" si="26"/>
        <v>0.463226184088581</v>
      </c>
    </row>
    <row r="113" spans="1:33">
      <c r="A113" t="s">
        <v>321</v>
      </c>
      <c r="B113" s="20">
        <v>45453</v>
      </c>
      <c r="C113" s="2">
        <f t="shared" si="15"/>
        <v>6</v>
      </c>
      <c r="D113" s="21">
        <f t="shared" si="27"/>
        <v>45453</v>
      </c>
      <c r="E113" s="19" t="str">
        <f t="shared" si="16"/>
        <v>Quarter 2</v>
      </c>
      <c r="F113" s="19">
        <v>45454</v>
      </c>
      <c r="G113" s="19">
        <f t="shared" si="17"/>
        <v>45454</v>
      </c>
      <c r="H113" s="22">
        <f t="shared" si="18"/>
        <v>1</v>
      </c>
      <c r="I113" t="str">
        <f t="shared" si="19"/>
        <v>Ontime</v>
      </c>
      <c r="J113" t="s">
        <v>78</v>
      </c>
      <c r="K113" t="s">
        <v>108</v>
      </c>
      <c r="L113" t="s">
        <v>109</v>
      </c>
      <c r="M113" t="s">
        <v>62</v>
      </c>
      <c r="N113" t="s">
        <v>40</v>
      </c>
      <c r="O113" t="s">
        <v>110</v>
      </c>
      <c r="P113" t="s">
        <v>57</v>
      </c>
      <c r="Q113" t="s">
        <v>322</v>
      </c>
      <c r="R113" s="3">
        <v>1187.13</v>
      </c>
      <c r="S113" s="3">
        <v>1795.17</v>
      </c>
      <c r="T113" s="3">
        <f t="shared" si="20"/>
        <v>1795.17</v>
      </c>
      <c r="U113" s="3">
        <f>(1+'10. Whatif Control pannel'!$B$6)*T113</f>
        <v>2010.5904</v>
      </c>
      <c r="V113" s="3" t="str">
        <f t="shared" si="21"/>
        <v>High</v>
      </c>
      <c r="W113" s="34">
        <v>0.012</v>
      </c>
      <c r="X113" s="24" t="str">
        <f t="shared" si="22"/>
        <v>Okay</v>
      </c>
      <c r="Y113" s="36">
        <f>IF(W113&lt;=0.25,W113,'10. Whatif Control pannel'!$B$2)</f>
        <v>0.012</v>
      </c>
      <c r="Z113" s="24">
        <v>17</v>
      </c>
      <c r="AA113" s="13">
        <f>(1+'10. Whatif Control pannel'!$B$10)*Z113</f>
        <v>20.4</v>
      </c>
      <c r="AB113" s="3">
        <f t="shared" si="23"/>
        <v>30151.67532</v>
      </c>
      <c r="AC113" s="3">
        <f t="shared" si="28"/>
        <v>40523.85163008</v>
      </c>
      <c r="AD113" s="3">
        <f t="shared" si="24"/>
        <v>20181.21</v>
      </c>
      <c r="AE113" s="3">
        <f t="shared" si="25"/>
        <v>9970.46532</v>
      </c>
      <c r="AF113" s="3">
        <f t="shared" si="29"/>
        <v>20342.64163008</v>
      </c>
      <c r="AG113">
        <f t="shared" si="26"/>
        <v>0.330676992710467</v>
      </c>
    </row>
    <row r="114" spans="1:33">
      <c r="A114" t="s">
        <v>323</v>
      </c>
      <c r="B114" s="20">
        <v>45472</v>
      </c>
      <c r="C114" s="2">
        <f t="shared" si="15"/>
        <v>6</v>
      </c>
      <c r="D114" s="21">
        <f t="shared" si="27"/>
        <v>45472</v>
      </c>
      <c r="E114" s="19" t="str">
        <f t="shared" si="16"/>
        <v>Quarter 2</v>
      </c>
      <c r="F114" s="19">
        <v>45499</v>
      </c>
      <c r="G114" s="19">
        <f t="shared" si="17"/>
        <v>45499</v>
      </c>
      <c r="H114" s="22">
        <f t="shared" si="18"/>
        <v>27</v>
      </c>
      <c r="I114" t="str">
        <f t="shared" si="19"/>
        <v>Delayed </v>
      </c>
      <c r="J114" t="s">
        <v>16</v>
      </c>
      <c r="K114" t="s">
        <v>148</v>
      </c>
      <c r="L114" t="s">
        <v>172</v>
      </c>
      <c r="M114" t="s">
        <v>105</v>
      </c>
      <c r="N114" t="s">
        <v>55</v>
      </c>
      <c r="O114" t="s">
        <v>56</v>
      </c>
      <c r="P114" t="s">
        <v>35</v>
      </c>
      <c r="Q114" t="s">
        <v>324</v>
      </c>
      <c r="R114" s="3">
        <v>5.36</v>
      </c>
      <c r="S114" s="3">
        <v>4.37</v>
      </c>
      <c r="T114" s="3">
        <f t="shared" si="20"/>
        <v>4.37</v>
      </c>
      <c r="U114" s="3">
        <f>(1+'10. Whatif Control pannel'!$B$6)*T114</f>
        <v>4.8944</v>
      </c>
      <c r="V114" s="3" t="str">
        <f t="shared" si="21"/>
        <v>Low</v>
      </c>
      <c r="W114" s="34">
        <v>0.118</v>
      </c>
      <c r="X114" s="24" t="str">
        <f t="shared" si="22"/>
        <v>Okay</v>
      </c>
      <c r="Y114" s="36">
        <f>IF(W114&lt;=0.25,W114,'10. Whatif Control pannel'!$B$2)</f>
        <v>0.118</v>
      </c>
      <c r="Z114" s="24">
        <v>9</v>
      </c>
      <c r="AA114" s="13">
        <f>(1+'10. Whatif Control pannel'!$B$10)*Z114</f>
        <v>10.8</v>
      </c>
      <c r="AB114" s="3">
        <f t="shared" si="23"/>
        <v>34.68906</v>
      </c>
      <c r="AC114" s="3">
        <f t="shared" si="28"/>
        <v>46.62209664</v>
      </c>
      <c r="AD114" s="3">
        <f t="shared" si="24"/>
        <v>48.24</v>
      </c>
      <c r="AE114" s="3">
        <f t="shared" si="25"/>
        <v>-13.55094</v>
      </c>
      <c r="AF114" s="3">
        <f t="shared" si="29"/>
        <v>-1.61790336</v>
      </c>
      <c r="AG114">
        <f t="shared" si="26"/>
        <v>-0.390640161480305</v>
      </c>
    </row>
    <row r="115" spans="1:33">
      <c r="A115" t="s">
        <v>325</v>
      </c>
      <c r="B115" s="20">
        <v>45674</v>
      </c>
      <c r="C115" s="2">
        <f t="shared" si="15"/>
        <v>1</v>
      </c>
      <c r="D115" s="21">
        <f t="shared" si="27"/>
        <v>45674</v>
      </c>
      <c r="E115" s="19" t="str">
        <f t="shared" si="16"/>
        <v>Quarter 1</v>
      </c>
      <c r="F115" s="19">
        <v>45681</v>
      </c>
      <c r="G115" s="19">
        <f t="shared" si="17"/>
        <v>45681</v>
      </c>
      <c r="H115" s="22">
        <f t="shared" si="18"/>
        <v>7</v>
      </c>
      <c r="I115" t="str">
        <f t="shared" si="19"/>
        <v>Ontime</v>
      </c>
      <c r="J115" t="s">
        <v>52</v>
      </c>
      <c r="K115" t="s">
        <v>122</v>
      </c>
      <c r="L115" t="s">
        <v>326</v>
      </c>
      <c r="M115" t="s">
        <v>105</v>
      </c>
      <c r="N115" t="s">
        <v>28</v>
      </c>
      <c r="O115" t="s">
        <v>41</v>
      </c>
      <c r="P115" t="s">
        <v>81</v>
      </c>
      <c r="Q115" t="s">
        <v>327</v>
      </c>
      <c r="R115" s="3">
        <v>142.09</v>
      </c>
      <c r="S115" s="3">
        <v>218.5</v>
      </c>
      <c r="T115" s="3">
        <f t="shared" si="20"/>
        <v>218.5</v>
      </c>
      <c r="U115" s="3">
        <f>(1+'10. Whatif Control pannel'!$B$6)*T115</f>
        <v>244.72</v>
      </c>
      <c r="V115" s="3" t="str">
        <f t="shared" si="21"/>
        <v>Low</v>
      </c>
      <c r="W115" s="34">
        <v>0.119</v>
      </c>
      <c r="X115" s="24" t="str">
        <f t="shared" si="22"/>
        <v>Okay</v>
      </c>
      <c r="Y115" s="36">
        <f>IF(W115&lt;=0.25,W115,'10. Whatif Control pannel'!$B$2)</f>
        <v>0.119</v>
      </c>
      <c r="Z115" s="24">
        <v>11</v>
      </c>
      <c r="AA115" s="13">
        <f>(1+'10. Whatif Control pannel'!$B$10)*Z115</f>
        <v>13.2</v>
      </c>
      <c r="AB115" s="3">
        <f t="shared" si="23"/>
        <v>2117.4835</v>
      </c>
      <c r="AC115" s="3">
        <f t="shared" si="28"/>
        <v>2845.897824</v>
      </c>
      <c r="AD115" s="3">
        <f t="shared" si="24"/>
        <v>1562.99</v>
      </c>
      <c r="AE115" s="3">
        <f t="shared" si="25"/>
        <v>554.4935</v>
      </c>
      <c r="AF115" s="3">
        <f t="shared" si="29"/>
        <v>1282.907824</v>
      </c>
      <c r="AG115">
        <f t="shared" si="26"/>
        <v>0.261864378163986</v>
      </c>
    </row>
    <row r="116" spans="1:33">
      <c r="A116" t="s">
        <v>328</v>
      </c>
      <c r="B116" s="20">
        <v>45250</v>
      </c>
      <c r="C116" s="2">
        <f t="shared" si="15"/>
        <v>11</v>
      </c>
      <c r="D116" s="21">
        <f t="shared" si="27"/>
        <v>45250</v>
      </c>
      <c r="E116" s="19" t="str">
        <f t="shared" si="16"/>
        <v>Quarter 4</v>
      </c>
      <c r="F116" s="19">
        <v>45265</v>
      </c>
      <c r="G116" s="19">
        <f t="shared" si="17"/>
        <v>45265</v>
      </c>
      <c r="H116" s="22">
        <f t="shared" si="18"/>
        <v>15</v>
      </c>
      <c r="I116" t="str">
        <f t="shared" si="19"/>
        <v>Delayed </v>
      </c>
      <c r="J116" t="s">
        <v>45</v>
      </c>
      <c r="K116" t="s">
        <v>46</v>
      </c>
      <c r="L116" t="s">
        <v>214</v>
      </c>
      <c r="M116" t="s">
        <v>105</v>
      </c>
      <c r="N116" t="s">
        <v>20</v>
      </c>
      <c r="O116" t="s">
        <v>49</v>
      </c>
      <c r="P116" t="s">
        <v>35</v>
      </c>
      <c r="Q116" t="s">
        <v>329</v>
      </c>
      <c r="R116" s="3">
        <v>354.24</v>
      </c>
      <c r="S116" s="3">
        <v>249.87</v>
      </c>
      <c r="T116" s="3">
        <f t="shared" si="20"/>
        <v>249.87</v>
      </c>
      <c r="U116" s="3">
        <f>(1+'10. Whatif Control pannel'!$B$6)*T116</f>
        <v>279.8544</v>
      </c>
      <c r="V116" s="3" t="str">
        <f t="shared" si="21"/>
        <v>Low</v>
      </c>
      <c r="W116" s="34">
        <v>0</v>
      </c>
      <c r="X116" s="24" t="str">
        <f t="shared" si="22"/>
        <v>Okay</v>
      </c>
      <c r="Y116" s="36">
        <f>IF(W116&lt;=0.25,W116,'10. Whatif Control pannel'!$B$2)</f>
        <v>0</v>
      </c>
      <c r="Z116" s="24">
        <v>6</v>
      </c>
      <c r="AA116" s="13">
        <f>(1+'10. Whatif Control pannel'!$B$10)*Z116</f>
        <v>7.2</v>
      </c>
      <c r="AB116" s="3">
        <f t="shared" si="23"/>
        <v>1499.22</v>
      </c>
      <c r="AC116" s="3">
        <f t="shared" si="28"/>
        <v>2014.95168</v>
      </c>
      <c r="AD116" s="3">
        <f t="shared" si="24"/>
        <v>2125.44</v>
      </c>
      <c r="AE116" s="3">
        <f t="shared" si="25"/>
        <v>-626.22</v>
      </c>
      <c r="AF116" s="3">
        <f t="shared" si="29"/>
        <v>-110.48832</v>
      </c>
      <c r="AG116">
        <f t="shared" si="26"/>
        <v>-0.417697202545324</v>
      </c>
    </row>
    <row r="117" spans="1:33">
      <c r="A117" t="s">
        <v>330</v>
      </c>
      <c r="B117" s="20">
        <v>44987</v>
      </c>
      <c r="C117" s="2">
        <f t="shared" si="15"/>
        <v>3</v>
      </c>
      <c r="D117" s="21">
        <f t="shared" si="27"/>
        <v>44987</v>
      </c>
      <c r="E117" s="19" t="str">
        <f t="shared" si="16"/>
        <v>Quarter 1</v>
      </c>
      <c r="F117" s="19">
        <v>44990</v>
      </c>
      <c r="G117" s="19">
        <f t="shared" si="17"/>
        <v>44990</v>
      </c>
      <c r="H117" s="22">
        <f t="shared" si="18"/>
        <v>3</v>
      </c>
      <c r="I117" t="str">
        <f t="shared" si="19"/>
        <v>Ontime</v>
      </c>
      <c r="J117" t="s">
        <v>52</v>
      </c>
      <c r="K117" t="s">
        <v>73</v>
      </c>
      <c r="L117" t="s">
        <v>87</v>
      </c>
      <c r="M117" t="s">
        <v>105</v>
      </c>
      <c r="N117" t="s">
        <v>98</v>
      </c>
      <c r="O117" t="s">
        <v>41</v>
      </c>
      <c r="P117" t="s">
        <v>64</v>
      </c>
      <c r="Q117" t="s">
        <v>331</v>
      </c>
      <c r="R117" s="3">
        <v>1473.58</v>
      </c>
      <c r="S117" s="3">
        <v>3436.52</v>
      </c>
      <c r="T117" s="3">
        <f t="shared" si="20"/>
        <v>3436.52</v>
      </c>
      <c r="U117" s="3">
        <f>(1+'10. Whatif Control pannel'!$B$6)*T117</f>
        <v>3848.9024</v>
      </c>
      <c r="V117" s="3" t="str">
        <f t="shared" si="21"/>
        <v>High</v>
      </c>
      <c r="W117" s="34">
        <v>0.108</v>
      </c>
      <c r="X117" s="24" t="str">
        <f t="shared" si="22"/>
        <v>Okay</v>
      </c>
      <c r="Y117" s="36">
        <f>IF(W117&lt;=0.25,W117,'10. Whatif Control pannel'!$B$2)</f>
        <v>0.108</v>
      </c>
      <c r="Z117" s="24">
        <v>8</v>
      </c>
      <c r="AA117" s="13">
        <f>(1+'10. Whatif Control pannel'!$B$10)*Z117</f>
        <v>9.6</v>
      </c>
      <c r="AB117" s="3">
        <f t="shared" si="23"/>
        <v>24523.00672</v>
      </c>
      <c r="AC117" s="3">
        <f t="shared" si="28"/>
        <v>32958.92103168</v>
      </c>
      <c r="AD117" s="3">
        <f t="shared" si="24"/>
        <v>11788.64</v>
      </c>
      <c r="AE117" s="3">
        <f t="shared" si="25"/>
        <v>12734.36672</v>
      </c>
      <c r="AF117" s="3">
        <f t="shared" si="29"/>
        <v>21170.28103168</v>
      </c>
      <c r="AG117">
        <f t="shared" si="26"/>
        <v>0.519282438136526</v>
      </c>
    </row>
    <row r="118" spans="1:33">
      <c r="A118" t="s">
        <v>332</v>
      </c>
      <c r="B118" s="20">
        <v>45811</v>
      </c>
      <c r="C118" s="2">
        <f t="shared" si="15"/>
        <v>6</v>
      </c>
      <c r="D118" s="21">
        <f t="shared" si="27"/>
        <v>45811</v>
      </c>
      <c r="E118" s="19" t="str">
        <f t="shared" si="16"/>
        <v>Quarter 2</v>
      </c>
      <c r="F118" s="19">
        <v>45818</v>
      </c>
      <c r="G118" s="19">
        <f t="shared" si="17"/>
        <v>45818</v>
      </c>
      <c r="H118" s="22">
        <f t="shared" si="18"/>
        <v>7</v>
      </c>
      <c r="I118" t="str">
        <f t="shared" si="19"/>
        <v>Ontime</v>
      </c>
      <c r="J118" t="s">
        <v>52</v>
      </c>
      <c r="K118" t="s">
        <v>53</v>
      </c>
      <c r="L118" t="s">
        <v>54</v>
      </c>
      <c r="M118" t="s">
        <v>48</v>
      </c>
      <c r="N118" t="s">
        <v>55</v>
      </c>
      <c r="O118" t="s">
        <v>68</v>
      </c>
      <c r="P118" t="s">
        <v>30</v>
      </c>
      <c r="Q118" t="s">
        <v>333</v>
      </c>
      <c r="R118" s="3">
        <v>75.18</v>
      </c>
      <c r="S118" s="3">
        <v>53.45</v>
      </c>
      <c r="T118" s="3">
        <f t="shared" si="20"/>
        <v>53.45</v>
      </c>
      <c r="U118" s="3">
        <f>(1+'10. Whatif Control pannel'!$B$6)*T118</f>
        <v>59.864</v>
      </c>
      <c r="V118" s="3" t="str">
        <f t="shared" si="21"/>
        <v>Low</v>
      </c>
      <c r="W118" s="34">
        <v>0.157</v>
      </c>
      <c r="X118" s="24" t="str">
        <f t="shared" si="22"/>
        <v>Okay</v>
      </c>
      <c r="Y118" s="36">
        <f>IF(W118&lt;=0.25,W118,'10. Whatif Control pannel'!$B$2)</f>
        <v>0.157</v>
      </c>
      <c r="Z118" s="24">
        <v>17</v>
      </c>
      <c r="AA118" s="13">
        <f>(1+'10. Whatif Control pannel'!$B$10)*Z118</f>
        <v>20.4</v>
      </c>
      <c r="AB118" s="3">
        <f t="shared" si="23"/>
        <v>765.99195</v>
      </c>
      <c r="AC118" s="3">
        <f t="shared" si="28"/>
        <v>1029.4931808</v>
      </c>
      <c r="AD118" s="3">
        <f t="shared" si="24"/>
        <v>1278.06</v>
      </c>
      <c r="AE118" s="3">
        <f t="shared" si="25"/>
        <v>-512.06805</v>
      </c>
      <c r="AF118" s="3">
        <f t="shared" si="29"/>
        <v>-248.5668192</v>
      </c>
      <c r="AG118">
        <f t="shared" si="26"/>
        <v>-0.668503174217431</v>
      </c>
    </row>
    <row r="119" spans="1:33">
      <c r="A119" t="s">
        <v>334</v>
      </c>
      <c r="B119" s="20">
        <v>45653</v>
      </c>
      <c r="C119" s="2">
        <f t="shared" si="15"/>
        <v>12</v>
      </c>
      <c r="D119" s="21">
        <f t="shared" si="27"/>
        <v>45653</v>
      </c>
      <c r="E119" s="19" t="str">
        <f t="shared" si="16"/>
        <v>Quarter 4</v>
      </c>
      <c r="F119" s="19">
        <v>45659</v>
      </c>
      <c r="G119" s="19">
        <f t="shared" si="17"/>
        <v>45659</v>
      </c>
      <c r="H119" s="22">
        <f t="shared" si="18"/>
        <v>6</v>
      </c>
      <c r="I119" t="str">
        <f t="shared" si="19"/>
        <v>Ontime</v>
      </c>
      <c r="J119" t="s">
        <v>78</v>
      </c>
      <c r="K119" t="s">
        <v>79</v>
      </c>
      <c r="L119" t="s">
        <v>335</v>
      </c>
      <c r="M119" t="s">
        <v>27</v>
      </c>
      <c r="N119" t="s">
        <v>98</v>
      </c>
      <c r="O119" t="s">
        <v>84</v>
      </c>
      <c r="P119" t="s">
        <v>57</v>
      </c>
      <c r="Q119" t="s">
        <v>336</v>
      </c>
      <c r="R119" s="3">
        <v>1391.99</v>
      </c>
      <c r="S119" s="3">
        <v>3469.7</v>
      </c>
      <c r="T119" s="3">
        <f t="shared" si="20"/>
        <v>3469.7</v>
      </c>
      <c r="U119" s="3">
        <f>(1+'10. Whatif Control pannel'!$B$6)*T119</f>
        <v>3886.064</v>
      </c>
      <c r="V119" s="3" t="str">
        <f t="shared" si="21"/>
        <v>High</v>
      </c>
      <c r="W119" s="34">
        <v>0.184</v>
      </c>
      <c r="X119" s="24" t="str">
        <f t="shared" si="22"/>
        <v>Okay</v>
      </c>
      <c r="Y119" s="36">
        <f>IF(W119&lt;=0.25,W119,'10. Whatif Control pannel'!$B$2)</f>
        <v>0.184</v>
      </c>
      <c r="Z119" s="24">
        <v>23</v>
      </c>
      <c r="AA119" s="13">
        <f>(1+'10. Whatif Control pannel'!$B$10)*Z119</f>
        <v>27.6</v>
      </c>
      <c r="AB119" s="3">
        <f t="shared" si="23"/>
        <v>65119.3296</v>
      </c>
      <c r="AC119" s="3">
        <f t="shared" si="28"/>
        <v>87520.3789824</v>
      </c>
      <c r="AD119" s="3">
        <f t="shared" si="24"/>
        <v>32015.77</v>
      </c>
      <c r="AE119" s="3">
        <f t="shared" si="25"/>
        <v>33103.5596</v>
      </c>
      <c r="AF119" s="3">
        <f t="shared" si="29"/>
        <v>55504.6089824</v>
      </c>
      <c r="AG119">
        <f t="shared" si="26"/>
        <v>0.50835227886007</v>
      </c>
    </row>
    <row r="120" spans="1:33">
      <c r="A120" t="s">
        <v>337</v>
      </c>
      <c r="B120" s="20">
        <v>45086</v>
      </c>
      <c r="C120" s="2">
        <f t="shared" si="15"/>
        <v>6</v>
      </c>
      <c r="D120" s="21">
        <f t="shared" si="27"/>
        <v>45086</v>
      </c>
      <c r="E120" s="19" t="str">
        <f t="shared" si="16"/>
        <v>Quarter 2</v>
      </c>
      <c r="F120" s="19">
        <v>45096</v>
      </c>
      <c r="G120" s="19">
        <f t="shared" si="17"/>
        <v>45096</v>
      </c>
      <c r="H120" s="22">
        <f t="shared" si="18"/>
        <v>10</v>
      </c>
      <c r="I120" t="str">
        <f t="shared" si="19"/>
        <v>Delayed </v>
      </c>
      <c r="J120" t="s">
        <v>45</v>
      </c>
      <c r="K120" t="s">
        <v>116</v>
      </c>
      <c r="L120" t="s">
        <v>338</v>
      </c>
      <c r="M120" t="s">
        <v>105</v>
      </c>
      <c r="N120" t="s">
        <v>20</v>
      </c>
      <c r="O120" t="s">
        <v>84</v>
      </c>
      <c r="P120" t="s">
        <v>64</v>
      </c>
      <c r="Q120" t="s">
        <v>339</v>
      </c>
      <c r="R120" s="3">
        <v>339.61</v>
      </c>
      <c r="S120" s="3">
        <v>621.02</v>
      </c>
      <c r="T120" s="3">
        <f t="shared" si="20"/>
        <v>621.02</v>
      </c>
      <c r="U120" s="3">
        <f>(1+'10. Whatif Control pannel'!$B$6)*T120</f>
        <v>695.5424</v>
      </c>
      <c r="V120" s="3" t="str">
        <f t="shared" si="21"/>
        <v>Low</v>
      </c>
      <c r="W120" s="34">
        <v>0.071</v>
      </c>
      <c r="X120" s="24" t="str">
        <f t="shared" si="22"/>
        <v>Okay</v>
      </c>
      <c r="Y120" s="36">
        <f>IF(W120&lt;=0.25,W120,'10. Whatif Control pannel'!$B$2)</f>
        <v>0.071</v>
      </c>
      <c r="Z120" s="24">
        <v>10</v>
      </c>
      <c r="AA120" s="13">
        <f>(1+'10. Whatif Control pannel'!$B$10)*Z120</f>
        <v>12</v>
      </c>
      <c r="AB120" s="3">
        <f t="shared" si="23"/>
        <v>5769.2758</v>
      </c>
      <c r="AC120" s="3">
        <f t="shared" si="28"/>
        <v>7753.9066752</v>
      </c>
      <c r="AD120" s="3">
        <f t="shared" si="24"/>
        <v>3396.1</v>
      </c>
      <c r="AE120" s="3">
        <f t="shared" si="25"/>
        <v>2373.1758</v>
      </c>
      <c r="AF120" s="3">
        <f t="shared" si="29"/>
        <v>4357.8066752</v>
      </c>
      <c r="AG120">
        <f t="shared" si="26"/>
        <v>0.41134726129751</v>
      </c>
    </row>
    <row r="121" spans="1:33">
      <c r="A121" t="s">
        <v>340</v>
      </c>
      <c r="B121" s="20">
        <v>45847</v>
      </c>
      <c r="C121" s="2">
        <f t="shared" si="15"/>
        <v>7</v>
      </c>
      <c r="D121" s="21">
        <f t="shared" si="27"/>
        <v>45847</v>
      </c>
      <c r="E121" s="19" t="str">
        <f t="shared" si="16"/>
        <v>Quarter 3</v>
      </c>
      <c r="F121" s="19">
        <v>45856</v>
      </c>
      <c r="G121" s="19">
        <f t="shared" si="17"/>
        <v>45856</v>
      </c>
      <c r="H121" s="22">
        <f t="shared" si="18"/>
        <v>9</v>
      </c>
      <c r="I121" t="str">
        <f t="shared" si="19"/>
        <v>Delayed </v>
      </c>
      <c r="J121" t="s">
        <v>52</v>
      </c>
      <c r="K121" t="s">
        <v>53</v>
      </c>
      <c r="L121" t="s">
        <v>179</v>
      </c>
      <c r="M121" t="s">
        <v>27</v>
      </c>
      <c r="N121" t="s">
        <v>55</v>
      </c>
      <c r="O121" t="s">
        <v>34</v>
      </c>
      <c r="P121" t="s">
        <v>57</v>
      </c>
      <c r="Q121" t="s">
        <v>341</v>
      </c>
      <c r="R121" s="3">
        <v>57.96</v>
      </c>
      <c r="S121" s="3">
        <v>88.51</v>
      </c>
      <c r="T121" s="3">
        <f t="shared" si="20"/>
        <v>88.51</v>
      </c>
      <c r="U121" s="3">
        <f>(1+'10. Whatif Control pannel'!$B$6)*T121</f>
        <v>99.1312</v>
      </c>
      <c r="V121" s="3" t="str">
        <f t="shared" si="21"/>
        <v>Low</v>
      </c>
      <c r="W121" s="34">
        <v>0.043</v>
      </c>
      <c r="X121" s="24" t="str">
        <f t="shared" si="22"/>
        <v>Okay</v>
      </c>
      <c r="Y121" s="36">
        <f>IF(W121&lt;=0.25,W121,'10. Whatif Control pannel'!$B$2)</f>
        <v>0.043</v>
      </c>
      <c r="Z121" s="24">
        <v>7</v>
      </c>
      <c r="AA121" s="13">
        <f>(1+'10. Whatif Control pannel'!$B$10)*Z121</f>
        <v>8.4</v>
      </c>
      <c r="AB121" s="3">
        <f t="shared" si="23"/>
        <v>592.92849</v>
      </c>
      <c r="AC121" s="3">
        <f t="shared" si="28"/>
        <v>796.89589056</v>
      </c>
      <c r="AD121" s="3">
        <f t="shared" si="24"/>
        <v>405.72</v>
      </c>
      <c r="AE121" s="3">
        <f t="shared" si="25"/>
        <v>187.20849</v>
      </c>
      <c r="AF121" s="3">
        <f t="shared" si="29"/>
        <v>391.17589056</v>
      </c>
      <c r="AG121">
        <f t="shared" si="26"/>
        <v>0.315735359587798</v>
      </c>
    </row>
    <row r="122" spans="1:33">
      <c r="A122" t="s">
        <v>342</v>
      </c>
      <c r="B122" s="20">
        <v>45827</v>
      </c>
      <c r="C122" s="2">
        <f t="shared" si="15"/>
        <v>6</v>
      </c>
      <c r="D122" s="21">
        <f t="shared" si="27"/>
        <v>45827</v>
      </c>
      <c r="E122" s="19" t="str">
        <f t="shared" si="16"/>
        <v>Quarter 2</v>
      </c>
      <c r="F122" s="19">
        <v>45850</v>
      </c>
      <c r="G122" s="19">
        <f t="shared" si="17"/>
        <v>45850</v>
      </c>
      <c r="H122" s="22">
        <f t="shared" si="18"/>
        <v>23</v>
      </c>
      <c r="I122" t="str">
        <f t="shared" si="19"/>
        <v>Delayed </v>
      </c>
      <c r="J122" t="s">
        <v>78</v>
      </c>
      <c r="K122" t="s">
        <v>108</v>
      </c>
      <c r="L122" t="s">
        <v>1443</v>
      </c>
      <c r="M122" t="s">
        <v>39</v>
      </c>
      <c r="N122" t="s">
        <v>98</v>
      </c>
      <c r="O122" t="s">
        <v>1442</v>
      </c>
      <c r="P122" t="s">
        <v>35</v>
      </c>
      <c r="Q122" t="s">
        <v>343</v>
      </c>
      <c r="R122" s="3">
        <v>801.24</v>
      </c>
      <c r="S122" s="3">
        <v>1959.09</v>
      </c>
      <c r="T122" s="3">
        <f t="shared" si="20"/>
        <v>1959.09</v>
      </c>
      <c r="U122" s="3">
        <f>(1+'10. Whatif Control pannel'!$B$6)*T122</f>
        <v>2194.1808</v>
      </c>
      <c r="V122" s="3" t="str">
        <f t="shared" si="21"/>
        <v>High</v>
      </c>
      <c r="W122" s="34">
        <v>0.123</v>
      </c>
      <c r="X122" s="24" t="str">
        <f t="shared" si="22"/>
        <v>Okay</v>
      </c>
      <c r="Y122" s="36">
        <f>IF(W122&lt;=0.25,W122,'10. Whatif Control pannel'!$B$2)</f>
        <v>0.123</v>
      </c>
      <c r="Z122" s="24">
        <v>23</v>
      </c>
      <c r="AA122" s="13">
        <f>(1+'10. Whatif Control pannel'!$B$10)*Z122</f>
        <v>27.6</v>
      </c>
      <c r="AB122" s="3">
        <f t="shared" si="23"/>
        <v>39516.80439</v>
      </c>
      <c r="AC122" s="3">
        <f t="shared" si="28"/>
        <v>53110.58510016</v>
      </c>
      <c r="AD122" s="3">
        <f t="shared" si="24"/>
        <v>18428.52</v>
      </c>
      <c r="AE122" s="3">
        <f t="shared" si="25"/>
        <v>21088.28439</v>
      </c>
      <c r="AF122" s="3">
        <f t="shared" si="29"/>
        <v>34682.06510016</v>
      </c>
      <c r="AG122">
        <f t="shared" si="26"/>
        <v>0.533653586506518</v>
      </c>
    </row>
    <row r="123" spans="1:33">
      <c r="A123" t="s">
        <v>344</v>
      </c>
      <c r="B123" s="20">
        <v>45249</v>
      </c>
      <c r="C123" s="2">
        <f t="shared" si="15"/>
        <v>11</v>
      </c>
      <c r="D123" s="21">
        <f t="shared" si="27"/>
        <v>45249</v>
      </c>
      <c r="E123" s="19" t="str">
        <f t="shared" si="16"/>
        <v>Quarter 4</v>
      </c>
      <c r="F123" s="19">
        <v>45273</v>
      </c>
      <c r="G123" s="19">
        <f t="shared" si="17"/>
        <v>45273</v>
      </c>
      <c r="H123" s="22">
        <f t="shared" si="18"/>
        <v>24</v>
      </c>
      <c r="I123" t="str">
        <f t="shared" si="19"/>
        <v>Delayed </v>
      </c>
      <c r="J123" t="s">
        <v>78</v>
      </c>
      <c r="K123" t="s">
        <v>90</v>
      </c>
      <c r="L123" t="s">
        <v>138</v>
      </c>
      <c r="M123" t="s">
        <v>39</v>
      </c>
      <c r="N123" t="s">
        <v>98</v>
      </c>
      <c r="O123" t="s">
        <v>92</v>
      </c>
      <c r="P123" t="s">
        <v>64</v>
      </c>
      <c r="Q123" t="s">
        <v>345</v>
      </c>
      <c r="R123" s="3">
        <v>1297.42</v>
      </c>
      <c r="S123" s="3">
        <v>2742.97</v>
      </c>
      <c r="T123" s="3">
        <f t="shared" si="20"/>
        <v>2742.97</v>
      </c>
      <c r="U123" s="3">
        <f>(1+'10. Whatif Control pannel'!$B$6)*T123</f>
        <v>3072.1264</v>
      </c>
      <c r="V123" s="3" t="str">
        <f t="shared" si="21"/>
        <v>High</v>
      </c>
      <c r="W123" s="34">
        <v>0.069</v>
      </c>
      <c r="X123" s="24" t="str">
        <f t="shared" si="22"/>
        <v>Okay</v>
      </c>
      <c r="Y123" s="36">
        <f>IF(W123&lt;=0.25,W123,'10. Whatif Control pannel'!$B$2)</f>
        <v>0.069</v>
      </c>
      <c r="Z123" s="24">
        <v>9</v>
      </c>
      <c r="AA123" s="13">
        <f>(1+'10. Whatif Control pannel'!$B$10)*Z123</f>
        <v>10.8</v>
      </c>
      <c r="AB123" s="3">
        <f t="shared" si="23"/>
        <v>22983.34563</v>
      </c>
      <c r="AC123" s="3">
        <f t="shared" si="28"/>
        <v>30889.61652672</v>
      </c>
      <c r="AD123" s="3">
        <f t="shared" si="24"/>
        <v>11676.78</v>
      </c>
      <c r="AE123" s="3">
        <f t="shared" si="25"/>
        <v>11306.56563</v>
      </c>
      <c r="AF123" s="3">
        <f t="shared" si="29"/>
        <v>19212.83652672</v>
      </c>
      <c r="AG123">
        <f t="shared" si="26"/>
        <v>0.491946029617273</v>
      </c>
    </row>
    <row r="124" spans="1:33">
      <c r="A124" t="s">
        <v>346</v>
      </c>
      <c r="B124" s="20">
        <v>45289</v>
      </c>
      <c r="C124" s="2">
        <f t="shared" si="15"/>
        <v>12</v>
      </c>
      <c r="D124" s="21">
        <f t="shared" si="27"/>
        <v>45289</v>
      </c>
      <c r="E124" s="19" t="str">
        <f t="shared" si="16"/>
        <v>Quarter 4</v>
      </c>
      <c r="F124" s="19">
        <v>45311</v>
      </c>
      <c r="G124" s="19">
        <f t="shared" si="17"/>
        <v>45311</v>
      </c>
      <c r="H124" s="22">
        <f t="shared" si="18"/>
        <v>22</v>
      </c>
      <c r="I124" t="str">
        <f t="shared" si="19"/>
        <v>Delayed </v>
      </c>
      <c r="J124" t="s">
        <v>16</v>
      </c>
      <c r="K124" t="s">
        <v>17</v>
      </c>
      <c r="L124" t="s">
        <v>18</v>
      </c>
      <c r="M124" t="s">
        <v>19</v>
      </c>
      <c r="N124" t="s">
        <v>98</v>
      </c>
      <c r="O124" t="s">
        <v>49</v>
      </c>
      <c r="P124" t="s">
        <v>42</v>
      </c>
      <c r="Q124" t="s">
        <v>347</v>
      </c>
      <c r="R124" s="3">
        <v>1395.49</v>
      </c>
      <c r="S124" s="3">
        <v>1679.42</v>
      </c>
      <c r="T124" s="3">
        <f t="shared" si="20"/>
        <v>1679.42</v>
      </c>
      <c r="U124" s="3">
        <f>(1+'10. Whatif Control pannel'!$B$6)*T124</f>
        <v>1880.9504</v>
      </c>
      <c r="V124" s="3" t="str">
        <f t="shared" si="21"/>
        <v>High</v>
      </c>
      <c r="W124" s="34">
        <v>0.203</v>
      </c>
      <c r="X124" s="24" t="str">
        <f t="shared" si="22"/>
        <v>High Discount</v>
      </c>
      <c r="Y124" s="36">
        <f>IF(W124&lt;=0.25,W124,'10. Whatif Control pannel'!$B$2)</f>
        <v>0.203</v>
      </c>
      <c r="Z124" s="24">
        <v>12</v>
      </c>
      <c r="AA124" s="13">
        <f>(1+'10. Whatif Control pannel'!$B$10)*Z124</f>
        <v>14.4</v>
      </c>
      <c r="AB124" s="3">
        <f t="shared" si="23"/>
        <v>16061.97288</v>
      </c>
      <c r="AC124" s="3">
        <f t="shared" si="28"/>
        <v>21587.29155072</v>
      </c>
      <c r="AD124" s="3">
        <f t="shared" si="24"/>
        <v>16745.88</v>
      </c>
      <c r="AE124" s="3">
        <f t="shared" si="25"/>
        <v>-683.907120000002</v>
      </c>
      <c r="AF124" s="3">
        <f t="shared" si="29"/>
        <v>4841.41155072</v>
      </c>
      <c r="AG124">
        <f t="shared" si="26"/>
        <v>-0.0425792724909645</v>
      </c>
    </row>
    <row r="125" spans="1:33">
      <c r="A125" t="s">
        <v>348</v>
      </c>
      <c r="B125" s="20">
        <v>45598</v>
      </c>
      <c r="C125" s="2">
        <f t="shared" si="15"/>
        <v>11</v>
      </c>
      <c r="D125" s="21">
        <f t="shared" si="27"/>
        <v>45598</v>
      </c>
      <c r="E125" s="19" t="str">
        <f t="shared" si="16"/>
        <v>Quarter 4</v>
      </c>
      <c r="F125" s="19">
        <v>45625</v>
      </c>
      <c r="G125" s="19">
        <f t="shared" si="17"/>
        <v>45625</v>
      </c>
      <c r="H125" s="22">
        <f t="shared" si="18"/>
        <v>27</v>
      </c>
      <c r="I125" t="str">
        <f t="shared" si="19"/>
        <v>Delayed </v>
      </c>
      <c r="J125" t="s">
        <v>52</v>
      </c>
      <c r="K125" t="s">
        <v>73</v>
      </c>
      <c r="L125" t="s">
        <v>87</v>
      </c>
      <c r="M125" t="s">
        <v>62</v>
      </c>
      <c r="N125" t="s">
        <v>98</v>
      </c>
      <c r="O125" t="s">
        <v>34</v>
      </c>
      <c r="P125" t="s">
        <v>35</v>
      </c>
      <c r="Q125" t="s">
        <v>349</v>
      </c>
      <c r="R125" s="3">
        <v>1363.51</v>
      </c>
      <c r="S125" s="3">
        <v>1433.9</v>
      </c>
      <c r="T125" s="3">
        <f t="shared" si="20"/>
        <v>1433.9</v>
      </c>
      <c r="U125" s="3">
        <f>(1+'10. Whatif Control pannel'!$B$6)*T125</f>
        <v>1605.968</v>
      </c>
      <c r="V125" s="3" t="str">
        <f t="shared" si="21"/>
        <v>Medium</v>
      </c>
      <c r="W125" s="34">
        <v>0.057</v>
      </c>
      <c r="X125" s="24" t="str">
        <f t="shared" si="22"/>
        <v>Okay</v>
      </c>
      <c r="Y125" s="36">
        <f>IF(W125&lt;=0.25,W125,'10. Whatif Control pannel'!$B$2)</f>
        <v>0.057</v>
      </c>
      <c r="Z125" s="24">
        <v>8</v>
      </c>
      <c r="AA125" s="13">
        <f>(1+'10. Whatif Control pannel'!$B$10)*Z125</f>
        <v>9.6</v>
      </c>
      <c r="AB125" s="3">
        <f t="shared" si="23"/>
        <v>10817.3416</v>
      </c>
      <c r="AC125" s="3">
        <f t="shared" si="28"/>
        <v>14538.5071104</v>
      </c>
      <c r="AD125" s="3">
        <f t="shared" si="24"/>
        <v>10908.08</v>
      </c>
      <c r="AE125" s="3">
        <f t="shared" si="25"/>
        <v>-90.7384000000002</v>
      </c>
      <c r="AF125" s="3">
        <f t="shared" si="29"/>
        <v>3630.4271104</v>
      </c>
      <c r="AG125">
        <f t="shared" si="26"/>
        <v>-0.00838823468420376</v>
      </c>
    </row>
    <row r="126" spans="1:33">
      <c r="A126" t="s">
        <v>350</v>
      </c>
      <c r="B126" s="20">
        <v>45159</v>
      </c>
      <c r="C126" s="2">
        <f t="shared" si="15"/>
        <v>8</v>
      </c>
      <c r="D126" s="21">
        <f t="shared" si="27"/>
        <v>45159</v>
      </c>
      <c r="E126" s="19" t="str">
        <f t="shared" si="16"/>
        <v>Quarter 3</v>
      </c>
      <c r="F126" s="19">
        <v>45173</v>
      </c>
      <c r="G126" s="19">
        <f t="shared" si="17"/>
        <v>45173</v>
      </c>
      <c r="H126" s="22">
        <f t="shared" si="18"/>
        <v>14</v>
      </c>
      <c r="I126" t="str">
        <f t="shared" si="19"/>
        <v>Delayed </v>
      </c>
      <c r="J126" t="s">
        <v>52</v>
      </c>
      <c r="K126" t="s">
        <v>53</v>
      </c>
      <c r="L126" t="s">
        <v>144</v>
      </c>
      <c r="M126" t="s">
        <v>27</v>
      </c>
      <c r="N126" t="s">
        <v>55</v>
      </c>
      <c r="O126" t="s">
        <v>84</v>
      </c>
      <c r="P126" t="s">
        <v>22</v>
      </c>
      <c r="Q126" t="s">
        <v>351</v>
      </c>
      <c r="R126" s="3">
        <v>178.19</v>
      </c>
      <c r="S126" s="3">
        <v>284.43</v>
      </c>
      <c r="T126" s="3">
        <f t="shared" si="20"/>
        <v>284.43</v>
      </c>
      <c r="U126" s="3">
        <f>(1+'10. Whatif Control pannel'!$B$6)*T126</f>
        <v>318.5616</v>
      </c>
      <c r="V126" s="3" t="str">
        <f t="shared" si="21"/>
        <v>Low</v>
      </c>
      <c r="W126" s="34">
        <v>0.089</v>
      </c>
      <c r="X126" s="24" t="str">
        <f t="shared" si="22"/>
        <v>Okay</v>
      </c>
      <c r="Y126" s="36">
        <f>IF(W126&lt;=0.25,W126,'10. Whatif Control pannel'!$B$2)</f>
        <v>0.089</v>
      </c>
      <c r="Z126" s="24">
        <v>8</v>
      </c>
      <c r="AA126" s="13">
        <f>(1+'10. Whatif Control pannel'!$B$10)*Z126</f>
        <v>9.6</v>
      </c>
      <c r="AB126" s="3">
        <f t="shared" si="23"/>
        <v>2072.92584</v>
      </c>
      <c r="AC126" s="3">
        <f t="shared" si="28"/>
        <v>2786.01232896</v>
      </c>
      <c r="AD126" s="3">
        <f t="shared" si="24"/>
        <v>1425.52</v>
      </c>
      <c r="AE126" s="3">
        <f t="shared" si="25"/>
        <v>647.40584</v>
      </c>
      <c r="AF126" s="3">
        <f t="shared" si="29"/>
        <v>1360.49232896</v>
      </c>
      <c r="AG126">
        <f t="shared" si="26"/>
        <v>0.312315003029727</v>
      </c>
    </row>
    <row r="127" spans="1:33">
      <c r="A127" t="s">
        <v>352</v>
      </c>
      <c r="B127" s="20">
        <v>45150</v>
      </c>
      <c r="C127" s="2">
        <f t="shared" si="15"/>
        <v>8</v>
      </c>
      <c r="D127" s="21">
        <f t="shared" si="27"/>
        <v>45150</v>
      </c>
      <c r="E127" s="19" t="str">
        <f t="shared" si="16"/>
        <v>Quarter 3</v>
      </c>
      <c r="F127" s="19">
        <v>45175</v>
      </c>
      <c r="G127" s="19">
        <f t="shared" si="17"/>
        <v>45175</v>
      </c>
      <c r="H127" s="22">
        <f t="shared" si="18"/>
        <v>25</v>
      </c>
      <c r="I127" t="str">
        <f t="shared" si="19"/>
        <v>Delayed </v>
      </c>
      <c r="J127" t="s">
        <v>45</v>
      </c>
      <c r="K127" t="s">
        <v>116</v>
      </c>
      <c r="L127" t="s">
        <v>162</v>
      </c>
      <c r="M127" t="s">
        <v>62</v>
      </c>
      <c r="N127" t="s">
        <v>20</v>
      </c>
      <c r="O127" t="s">
        <v>56</v>
      </c>
      <c r="P127" t="s">
        <v>22</v>
      </c>
      <c r="Q127" t="s">
        <v>353</v>
      </c>
      <c r="R127" s="3">
        <v>950.77</v>
      </c>
      <c r="S127" s="3">
        <v>694.78</v>
      </c>
      <c r="T127" s="3">
        <f t="shared" si="20"/>
        <v>694.78</v>
      </c>
      <c r="U127" s="3">
        <f>(1+'10. Whatif Control pannel'!$B$6)*T127</f>
        <v>778.1536</v>
      </c>
      <c r="V127" s="3" t="str">
        <f t="shared" si="21"/>
        <v>Low</v>
      </c>
      <c r="W127" s="34">
        <v>0.084</v>
      </c>
      <c r="X127" s="24" t="str">
        <f t="shared" si="22"/>
        <v>Okay</v>
      </c>
      <c r="Y127" s="36">
        <f>IF(W127&lt;=0.25,W127,'10. Whatif Control pannel'!$B$2)</f>
        <v>0.084</v>
      </c>
      <c r="Z127" s="24">
        <v>14</v>
      </c>
      <c r="AA127" s="13">
        <f>(1+'10. Whatif Control pannel'!$B$10)*Z127</f>
        <v>16.8</v>
      </c>
      <c r="AB127" s="3">
        <f t="shared" si="23"/>
        <v>8909.85872</v>
      </c>
      <c r="AC127" s="3">
        <f t="shared" si="28"/>
        <v>11974.85011968</v>
      </c>
      <c r="AD127" s="3">
        <f t="shared" si="24"/>
        <v>13310.78</v>
      </c>
      <c r="AE127" s="3">
        <f t="shared" si="25"/>
        <v>-4400.92128</v>
      </c>
      <c r="AF127" s="3">
        <f t="shared" si="29"/>
        <v>-1335.92988032</v>
      </c>
      <c r="AG127">
        <f t="shared" si="26"/>
        <v>-0.493938390978213</v>
      </c>
    </row>
    <row r="128" spans="1:33">
      <c r="A128" t="s">
        <v>354</v>
      </c>
      <c r="B128" s="20">
        <v>45450</v>
      </c>
      <c r="C128" s="2">
        <f t="shared" si="15"/>
        <v>6</v>
      </c>
      <c r="D128" s="21">
        <f t="shared" si="27"/>
        <v>45450</v>
      </c>
      <c r="E128" s="19" t="str">
        <f t="shared" si="16"/>
        <v>Quarter 2</v>
      </c>
      <c r="F128" s="19">
        <v>45469</v>
      </c>
      <c r="G128" s="19">
        <f t="shared" si="17"/>
        <v>45469</v>
      </c>
      <c r="H128" s="22">
        <f t="shared" si="18"/>
        <v>19</v>
      </c>
      <c r="I128" t="str">
        <f t="shared" si="19"/>
        <v>Delayed </v>
      </c>
      <c r="J128" t="s">
        <v>78</v>
      </c>
      <c r="K128" t="s">
        <v>79</v>
      </c>
      <c r="L128" t="s">
        <v>80</v>
      </c>
      <c r="M128" t="s">
        <v>39</v>
      </c>
      <c r="N128" t="s">
        <v>40</v>
      </c>
      <c r="O128" t="s">
        <v>110</v>
      </c>
      <c r="P128" t="s">
        <v>22</v>
      </c>
      <c r="Q128" t="s">
        <v>355</v>
      </c>
      <c r="R128" s="3">
        <v>1064.32</v>
      </c>
      <c r="S128" s="3">
        <v>1848.39</v>
      </c>
      <c r="T128" s="3">
        <f t="shared" si="20"/>
        <v>1848.39</v>
      </c>
      <c r="U128" s="3">
        <f>(1+'10. Whatif Control pannel'!$B$6)*T128</f>
        <v>2070.1968</v>
      </c>
      <c r="V128" s="3" t="str">
        <f t="shared" si="21"/>
        <v>High</v>
      </c>
      <c r="W128" s="34">
        <v>0.073</v>
      </c>
      <c r="X128" s="24" t="str">
        <f t="shared" si="22"/>
        <v>Okay</v>
      </c>
      <c r="Y128" s="36">
        <f>IF(W128&lt;=0.25,W128,'10. Whatif Control pannel'!$B$2)</f>
        <v>0.073</v>
      </c>
      <c r="Z128" s="24">
        <v>38</v>
      </c>
      <c r="AA128" s="13">
        <f>(1+'10. Whatif Control pannel'!$B$10)*Z128</f>
        <v>45.6</v>
      </c>
      <c r="AB128" s="3">
        <f t="shared" si="23"/>
        <v>65111.38614</v>
      </c>
      <c r="AC128" s="3">
        <f t="shared" si="28"/>
        <v>87509.70297216</v>
      </c>
      <c r="AD128" s="3">
        <f t="shared" si="24"/>
        <v>40444.16</v>
      </c>
      <c r="AE128" s="3">
        <f t="shared" si="25"/>
        <v>24667.22614</v>
      </c>
      <c r="AF128" s="3">
        <f t="shared" si="29"/>
        <v>47065.54297216</v>
      </c>
      <c r="AG128">
        <f t="shared" si="26"/>
        <v>0.378846582792163</v>
      </c>
    </row>
    <row r="129" spans="1:33">
      <c r="A129" t="s">
        <v>356</v>
      </c>
      <c r="B129" s="20">
        <v>45874</v>
      </c>
      <c r="C129" s="2">
        <f t="shared" si="15"/>
        <v>8</v>
      </c>
      <c r="D129" s="21">
        <f t="shared" si="27"/>
        <v>45874</v>
      </c>
      <c r="E129" s="19" t="str">
        <f t="shared" si="16"/>
        <v>Quarter 3</v>
      </c>
      <c r="F129" s="19">
        <v>45883</v>
      </c>
      <c r="G129" s="19">
        <f t="shared" si="17"/>
        <v>45883</v>
      </c>
      <c r="H129" s="22">
        <f t="shared" si="18"/>
        <v>9</v>
      </c>
      <c r="I129" t="str">
        <f t="shared" si="19"/>
        <v>Delayed </v>
      </c>
      <c r="J129" t="s">
        <v>78</v>
      </c>
      <c r="K129" t="s">
        <v>108</v>
      </c>
      <c r="L129" t="s">
        <v>152</v>
      </c>
      <c r="M129" t="s">
        <v>39</v>
      </c>
      <c r="N129" t="s">
        <v>98</v>
      </c>
      <c r="O129" t="s">
        <v>63</v>
      </c>
      <c r="P129" t="s">
        <v>22</v>
      </c>
      <c r="Q129" t="s">
        <v>357</v>
      </c>
      <c r="R129" s="3">
        <v>41.76</v>
      </c>
      <c r="S129" s="3">
        <v>45.19</v>
      </c>
      <c r="T129" s="3">
        <f t="shared" si="20"/>
        <v>45.19</v>
      </c>
      <c r="U129" s="3">
        <f>(1+'10. Whatif Control pannel'!$B$6)*T129</f>
        <v>50.6128</v>
      </c>
      <c r="V129" s="3" t="str">
        <f t="shared" si="21"/>
        <v>Low</v>
      </c>
      <c r="W129" s="34">
        <v>0.179</v>
      </c>
      <c r="X129" s="24" t="str">
        <f t="shared" si="22"/>
        <v>Okay</v>
      </c>
      <c r="Y129" s="36">
        <f>IF(W129&lt;=0.25,W129,'10. Whatif Control pannel'!$B$2)</f>
        <v>0.179</v>
      </c>
      <c r="Z129" s="24">
        <v>23</v>
      </c>
      <c r="AA129" s="13">
        <f>(1+'10. Whatif Control pannel'!$B$10)*Z129</f>
        <v>27.6</v>
      </c>
      <c r="AB129" s="3">
        <f t="shared" si="23"/>
        <v>853.32277</v>
      </c>
      <c r="AC129" s="3">
        <f t="shared" si="28"/>
        <v>1146.86580288</v>
      </c>
      <c r="AD129" s="3">
        <f t="shared" si="24"/>
        <v>960.48</v>
      </c>
      <c r="AE129" s="3">
        <f t="shared" si="25"/>
        <v>-107.15723</v>
      </c>
      <c r="AF129" s="3">
        <f t="shared" si="29"/>
        <v>186.38580288</v>
      </c>
      <c r="AG129">
        <f t="shared" si="26"/>
        <v>-0.125576433405146</v>
      </c>
    </row>
    <row r="130" spans="1:33">
      <c r="A130" t="s">
        <v>358</v>
      </c>
      <c r="B130" s="20">
        <v>45442</v>
      </c>
      <c r="C130" s="2">
        <f t="shared" ref="C130:C193" si="30">MONTH(B130)</f>
        <v>5</v>
      </c>
      <c r="D130" s="21">
        <f t="shared" si="27"/>
        <v>45442</v>
      </c>
      <c r="E130" s="19" t="str">
        <f t="shared" ref="E130:E193" si="31">IF(AND(MONTH(B130)&gt;=1,MONTH(B130)&lt;=3),"Quarter 1",IF(AND(MONTH(B130)&gt;=4,MONTH(B130)&lt;=6),"Quarter 2",IF(AND(MONTH(B130)&gt;=7,MONTH(B130)&lt;=9),"Quarter 3",IF(AND(MONTH(B130)&gt;=10,MONTH(B130)&lt;=12),"Quarter 4"))))</f>
        <v>Quarter 2</v>
      </c>
      <c r="F130" s="19">
        <v>45456</v>
      </c>
      <c r="G130" s="19">
        <f t="shared" ref="G130:G193" si="32">IF(B130&gt;F130,B130+7,F130)</f>
        <v>45456</v>
      </c>
      <c r="H130" s="22">
        <f t="shared" ref="H130:H193" si="33">G130-B130</f>
        <v>14</v>
      </c>
      <c r="I130" t="str">
        <f t="shared" ref="I130:I193" si="34">IF(H130&lt;=7,"Ontime","Delayed ")</f>
        <v>Delayed </v>
      </c>
      <c r="J130" t="s">
        <v>52</v>
      </c>
      <c r="K130" t="s">
        <v>122</v>
      </c>
      <c r="L130" t="s">
        <v>167</v>
      </c>
      <c r="M130" t="s">
        <v>62</v>
      </c>
      <c r="N130" t="s">
        <v>20</v>
      </c>
      <c r="O130" t="s">
        <v>84</v>
      </c>
      <c r="P130" t="s">
        <v>42</v>
      </c>
      <c r="Q130" t="s">
        <v>359</v>
      </c>
      <c r="R130" s="3">
        <v>157.78</v>
      </c>
      <c r="S130" s="3">
        <v>361.1</v>
      </c>
      <c r="T130" s="3">
        <f t="shared" ref="T130:T193" si="35">IF(S130&lt;=0,R130,S130)</f>
        <v>361.1</v>
      </c>
      <c r="U130" s="3">
        <f>(1+'10. Whatif Control pannel'!$B$6)*T130</f>
        <v>404.432</v>
      </c>
      <c r="V130" s="3" t="str">
        <f t="shared" ref="V130:V193" si="36">IF(T130&lt;=_xlfn.PERCENTILE.INC(T130:T761,33%),"Low",IF(T130&lt;=_xlfn.PERCENTILE.INC(T130:T761,67%),"Medium","High"))</f>
        <v>Low</v>
      </c>
      <c r="W130" s="34">
        <v>0.187</v>
      </c>
      <c r="X130" s="24" t="str">
        <f t="shared" ref="X130:X193" si="37">IF(W130&gt;0.2,"High Discount","Okay")</f>
        <v>Okay</v>
      </c>
      <c r="Y130" s="36">
        <f>IF(W130&lt;=0.25,W130,'10. Whatif Control pannel'!$B$2)</f>
        <v>0.187</v>
      </c>
      <c r="Z130" s="24">
        <v>9</v>
      </c>
      <c r="AA130" s="13">
        <f>(1+'10. Whatif Control pannel'!$B$10)*Z130</f>
        <v>10.8</v>
      </c>
      <c r="AB130" s="3">
        <f t="shared" ref="AB130:AB193" si="38">T130*Z130*(1-W130)</f>
        <v>2642.1687</v>
      </c>
      <c r="AC130" s="3">
        <f t="shared" si="28"/>
        <v>3551.0747328</v>
      </c>
      <c r="AD130" s="3">
        <f t="shared" ref="AD130:AD193" si="39">R130*Z130</f>
        <v>1420.02</v>
      </c>
      <c r="AE130" s="3">
        <f t="shared" ref="AE130:AE193" si="40">AB130-AD130</f>
        <v>1222.1487</v>
      </c>
      <c r="AF130" s="3">
        <f t="shared" si="29"/>
        <v>2131.0547328</v>
      </c>
      <c r="AG130">
        <f t="shared" ref="AG130:AG193" si="41">IF(AB130=0,0,AE130/AB130)</f>
        <v>0.462555135105491</v>
      </c>
    </row>
    <row r="131" spans="1:33">
      <c r="A131" t="s">
        <v>360</v>
      </c>
      <c r="B131" s="20">
        <v>44948</v>
      </c>
      <c r="C131" s="2">
        <f t="shared" si="30"/>
        <v>1</v>
      </c>
      <c r="D131" s="21">
        <f t="shared" ref="D131:D194" si="42">B131</f>
        <v>44948</v>
      </c>
      <c r="E131" s="19" t="str">
        <f t="shared" si="31"/>
        <v>Quarter 1</v>
      </c>
      <c r="F131" s="19">
        <v>44956</v>
      </c>
      <c r="G131" s="19">
        <f t="shared" si="32"/>
        <v>44956</v>
      </c>
      <c r="H131" s="22">
        <f t="shared" si="33"/>
        <v>8</v>
      </c>
      <c r="I131" t="str">
        <f t="shared" si="34"/>
        <v>Delayed </v>
      </c>
      <c r="J131" t="s">
        <v>52</v>
      </c>
      <c r="K131" t="s">
        <v>122</v>
      </c>
      <c r="L131" t="s">
        <v>167</v>
      </c>
      <c r="M131" t="s">
        <v>62</v>
      </c>
      <c r="N131" t="s">
        <v>28</v>
      </c>
      <c r="O131" t="s">
        <v>75</v>
      </c>
      <c r="P131" t="s">
        <v>35</v>
      </c>
      <c r="Q131" t="s">
        <v>361</v>
      </c>
      <c r="R131" s="3">
        <v>413.52</v>
      </c>
      <c r="S131" s="3">
        <v>1004.34</v>
      </c>
      <c r="T131" s="3">
        <f t="shared" si="35"/>
        <v>1004.34</v>
      </c>
      <c r="U131" s="3">
        <f>(1+'10. Whatif Control pannel'!$B$6)*T131</f>
        <v>1124.8608</v>
      </c>
      <c r="V131" s="3" t="str">
        <f t="shared" si="36"/>
        <v>Medium</v>
      </c>
      <c r="W131" s="34">
        <v>0.111</v>
      </c>
      <c r="X131" s="24" t="str">
        <f t="shared" si="37"/>
        <v>Okay</v>
      </c>
      <c r="Y131" s="36">
        <f>IF(W131&lt;=0.25,W131,'10. Whatif Control pannel'!$B$2)</f>
        <v>0.111</v>
      </c>
      <c r="Z131" s="24">
        <v>18</v>
      </c>
      <c r="AA131" s="13">
        <f>(1+'10. Whatif Control pannel'!$B$10)*Z131</f>
        <v>21.6</v>
      </c>
      <c r="AB131" s="3">
        <f t="shared" si="38"/>
        <v>16071.44868</v>
      </c>
      <c r="AC131" s="3">
        <f t="shared" ref="AC131:AC194" si="43">U131*AA131*(1-Y131)</f>
        <v>21600.02702592</v>
      </c>
      <c r="AD131" s="3">
        <f t="shared" si="39"/>
        <v>7443.36</v>
      </c>
      <c r="AE131" s="3">
        <f t="shared" si="40"/>
        <v>8628.08868</v>
      </c>
      <c r="AF131" s="3">
        <f t="shared" ref="AF131:AF194" si="44">AC131-AD131</f>
        <v>14156.66702592</v>
      </c>
      <c r="AG131">
        <f t="shared" si="41"/>
        <v>0.536858179483046</v>
      </c>
    </row>
    <row r="132" spans="1:33">
      <c r="A132" t="s">
        <v>362</v>
      </c>
      <c r="B132" s="20">
        <v>45700</v>
      </c>
      <c r="C132" s="2">
        <f t="shared" si="30"/>
        <v>2</v>
      </c>
      <c r="D132" s="21">
        <f t="shared" si="42"/>
        <v>45700</v>
      </c>
      <c r="E132" s="19" t="str">
        <f t="shared" si="31"/>
        <v>Quarter 1</v>
      </c>
      <c r="F132" s="19">
        <v>45716</v>
      </c>
      <c r="G132" s="19">
        <f t="shared" si="32"/>
        <v>45716</v>
      </c>
      <c r="H132" s="22">
        <f t="shared" si="33"/>
        <v>16</v>
      </c>
      <c r="I132" t="str">
        <f t="shared" si="34"/>
        <v>Delayed </v>
      </c>
      <c r="J132" t="s">
        <v>52</v>
      </c>
      <c r="K132" t="s">
        <v>73</v>
      </c>
      <c r="L132" t="s">
        <v>74</v>
      </c>
      <c r="M132" t="s">
        <v>39</v>
      </c>
      <c r="N132" t="s">
        <v>98</v>
      </c>
      <c r="O132" t="s">
        <v>56</v>
      </c>
      <c r="P132" t="s">
        <v>64</v>
      </c>
      <c r="Q132" t="s">
        <v>363</v>
      </c>
      <c r="R132" s="3">
        <v>414.95</v>
      </c>
      <c r="S132" s="3">
        <v>1027.73</v>
      </c>
      <c r="T132" s="3">
        <f t="shared" si="35"/>
        <v>1027.73</v>
      </c>
      <c r="U132" s="3">
        <f>(1+'10. Whatif Control pannel'!$B$6)*T132</f>
        <v>1151.0576</v>
      </c>
      <c r="V132" s="3" t="str">
        <f t="shared" si="36"/>
        <v>Medium</v>
      </c>
      <c r="W132" s="34">
        <v>0.063</v>
      </c>
      <c r="X132" s="24" t="str">
        <f t="shared" si="37"/>
        <v>Okay</v>
      </c>
      <c r="Y132" s="36">
        <f>IF(W132&lt;=0.25,W132,'10. Whatif Control pannel'!$B$2)</f>
        <v>0.063</v>
      </c>
      <c r="Z132" s="24">
        <v>8</v>
      </c>
      <c r="AA132" s="13">
        <f>(1+'10. Whatif Control pannel'!$B$10)*Z132</f>
        <v>9.6</v>
      </c>
      <c r="AB132" s="3">
        <f t="shared" si="38"/>
        <v>7703.86408</v>
      </c>
      <c r="AC132" s="3">
        <f t="shared" si="43"/>
        <v>10353.99332352</v>
      </c>
      <c r="AD132" s="3">
        <f t="shared" si="39"/>
        <v>3319.6</v>
      </c>
      <c r="AE132" s="3">
        <f t="shared" si="40"/>
        <v>4384.26408</v>
      </c>
      <c r="AF132" s="3">
        <f t="shared" si="44"/>
        <v>7034.39332352</v>
      </c>
      <c r="AG132">
        <f t="shared" si="41"/>
        <v>0.569099355138156</v>
      </c>
    </row>
    <row r="133" spans="1:33">
      <c r="A133" t="s">
        <v>364</v>
      </c>
      <c r="B133" s="20">
        <v>45719</v>
      </c>
      <c r="C133" s="2">
        <f t="shared" si="30"/>
        <v>3</v>
      </c>
      <c r="D133" s="21">
        <f t="shared" si="42"/>
        <v>45719</v>
      </c>
      <c r="E133" s="19" t="str">
        <f t="shared" si="31"/>
        <v>Quarter 1</v>
      </c>
      <c r="F133" s="19">
        <v>45740</v>
      </c>
      <c r="G133" s="19">
        <f t="shared" si="32"/>
        <v>45740</v>
      </c>
      <c r="H133" s="22">
        <f t="shared" si="33"/>
        <v>21</v>
      </c>
      <c r="I133" t="str">
        <f t="shared" si="34"/>
        <v>Delayed </v>
      </c>
      <c r="J133" t="s">
        <v>16</v>
      </c>
      <c r="K133" t="s">
        <v>25</v>
      </c>
      <c r="L133" t="s">
        <v>67</v>
      </c>
      <c r="M133" t="s">
        <v>105</v>
      </c>
      <c r="N133" t="s">
        <v>98</v>
      </c>
      <c r="O133" t="s">
        <v>92</v>
      </c>
      <c r="P133" t="s">
        <v>81</v>
      </c>
      <c r="Q133" t="s">
        <v>365</v>
      </c>
      <c r="R133" s="3">
        <v>555.95</v>
      </c>
      <c r="S133" s="3">
        <v>468.09</v>
      </c>
      <c r="T133" s="3">
        <f t="shared" si="35"/>
        <v>468.09</v>
      </c>
      <c r="U133" s="3">
        <f>(1+'10. Whatif Control pannel'!$B$6)*T133</f>
        <v>524.2608</v>
      </c>
      <c r="V133" s="3" t="str">
        <f t="shared" si="36"/>
        <v>Low</v>
      </c>
      <c r="W133" s="34">
        <v>0.142</v>
      </c>
      <c r="X133" s="24" t="str">
        <f t="shared" si="37"/>
        <v>Okay</v>
      </c>
      <c r="Y133" s="36">
        <f>IF(W133&lt;=0.25,W133,'10. Whatif Control pannel'!$B$2)</f>
        <v>0.142</v>
      </c>
      <c r="Z133" s="24">
        <v>11</v>
      </c>
      <c r="AA133" s="13">
        <f>(1+'10. Whatif Control pannel'!$B$10)*Z133</f>
        <v>13.2</v>
      </c>
      <c r="AB133" s="3">
        <f t="shared" si="38"/>
        <v>4417.83342</v>
      </c>
      <c r="AC133" s="3">
        <f t="shared" si="43"/>
        <v>5937.56811648</v>
      </c>
      <c r="AD133" s="3">
        <f t="shared" si="39"/>
        <v>6115.45</v>
      </c>
      <c r="AE133" s="3">
        <f t="shared" si="40"/>
        <v>-1697.61658</v>
      </c>
      <c r="AF133" s="3">
        <f t="shared" si="44"/>
        <v>-177.881883520001</v>
      </c>
      <c r="AG133">
        <f t="shared" si="41"/>
        <v>-0.384264506740954</v>
      </c>
    </row>
    <row r="134" spans="1:33">
      <c r="A134" t="s">
        <v>366</v>
      </c>
      <c r="B134" s="20">
        <v>44953</v>
      </c>
      <c r="C134" s="2">
        <f t="shared" si="30"/>
        <v>1</v>
      </c>
      <c r="D134" s="21">
        <f t="shared" si="42"/>
        <v>44953</v>
      </c>
      <c r="E134" s="19" t="str">
        <f t="shared" si="31"/>
        <v>Quarter 1</v>
      </c>
      <c r="F134" s="19">
        <v>44957</v>
      </c>
      <c r="G134" s="19">
        <f t="shared" si="32"/>
        <v>44957</v>
      </c>
      <c r="H134" s="22">
        <f t="shared" si="33"/>
        <v>4</v>
      </c>
      <c r="I134" t="str">
        <f t="shared" si="34"/>
        <v>Ontime</v>
      </c>
      <c r="J134" t="s">
        <v>78</v>
      </c>
      <c r="K134" t="s">
        <v>108</v>
      </c>
      <c r="L134" t="s">
        <v>228</v>
      </c>
      <c r="M134" t="s">
        <v>105</v>
      </c>
      <c r="N134" t="s">
        <v>28</v>
      </c>
      <c r="O134" t="s">
        <v>126</v>
      </c>
      <c r="P134" t="s">
        <v>57</v>
      </c>
      <c r="Q134" t="s">
        <v>367</v>
      </c>
      <c r="R134" s="3">
        <v>941.2</v>
      </c>
      <c r="S134" s="3">
        <v>668.02</v>
      </c>
      <c r="T134" s="3">
        <f t="shared" si="35"/>
        <v>668.02</v>
      </c>
      <c r="U134" s="3">
        <f>(1+'10. Whatif Control pannel'!$B$6)*T134</f>
        <v>748.1824</v>
      </c>
      <c r="V134" s="3" t="str">
        <f t="shared" si="36"/>
        <v>Low</v>
      </c>
      <c r="W134" s="34">
        <v>0.22</v>
      </c>
      <c r="X134" s="24" t="str">
        <f t="shared" si="37"/>
        <v>High Discount</v>
      </c>
      <c r="Y134" s="36">
        <f>IF(W134&lt;=0.25,W134,'10. Whatif Control pannel'!$B$2)</f>
        <v>0.22</v>
      </c>
      <c r="Z134" s="24">
        <v>16</v>
      </c>
      <c r="AA134" s="13">
        <f>(1+'10. Whatif Control pannel'!$B$10)*Z134</f>
        <v>19.2</v>
      </c>
      <c r="AB134" s="3">
        <f t="shared" si="38"/>
        <v>8336.8896</v>
      </c>
      <c r="AC134" s="3">
        <f t="shared" si="43"/>
        <v>11204.7796224</v>
      </c>
      <c r="AD134" s="3">
        <f t="shared" si="39"/>
        <v>15059.2</v>
      </c>
      <c r="AE134" s="3">
        <f t="shared" si="40"/>
        <v>-6722.3104</v>
      </c>
      <c r="AF134" s="3">
        <f t="shared" si="44"/>
        <v>-3854.4203776</v>
      </c>
      <c r="AG134">
        <f t="shared" si="41"/>
        <v>-0.806333143718252</v>
      </c>
    </row>
    <row r="135" spans="1:33">
      <c r="A135" t="s">
        <v>368</v>
      </c>
      <c r="B135" s="20">
        <v>45666</v>
      </c>
      <c r="C135" s="2">
        <f t="shared" si="30"/>
        <v>1</v>
      </c>
      <c r="D135" s="21">
        <f t="shared" si="42"/>
        <v>45666</v>
      </c>
      <c r="E135" s="19" t="str">
        <f t="shared" si="31"/>
        <v>Quarter 1</v>
      </c>
      <c r="F135" s="19">
        <v>45672</v>
      </c>
      <c r="G135" s="19">
        <f t="shared" si="32"/>
        <v>45672</v>
      </c>
      <c r="H135" s="22">
        <f t="shared" si="33"/>
        <v>6</v>
      </c>
      <c r="I135" t="str">
        <f t="shared" si="34"/>
        <v>Ontime</v>
      </c>
      <c r="J135" t="s">
        <v>45</v>
      </c>
      <c r="K135" t="s">
        <v>116</v>
      </c>
      <c r="L135" t="s">
        <v>338</v>
      </c>
      <c r="M135" t="s">
        <v>27</v>
      </c>
      <c r="N135" t="s">
        <v>28</v>
      </c>
      <c r="O135" t="s">
        <v>21</v>
      </c>
      <c r="P135" t="s">
        <v>42</v>
      </c>
      <c r="Q135" t="s">
        <v>369</v>
      </c>
      <c r="R135" s="3">
        <v>304.78</v>
      </c>
      <c r="S135" s="3">
        <v>537.27</v>
      </c>
      <c r="T135" s="3">
        <f t="shared" si="35"/>
        <v>537.27</v>
      </c>
      <c r="U135" s="3">
        <f>(1+'10. Whatif Control pannel'!$B$6)*T135</f>
        <v>601.7424</v>
      </c>
      <c r="V135" s="3" t="str">
        <f t="shared" si="36"/>
        <v>Low</v>
      </c>
      <c r="W135" s="34">
        <v>0.187</v>
      </c>
      <c r="X135" s="24" t="str">
        <f t="shared" si="37"/>
        <v>Okay</v>
      </c>
      <c r="Y135" s="36">
        <f>IF(W135&lt;=0.25,W135,'10. Whatif Control pannel'!$B$2)</f>
        <v>0.187</v>
      </c>
      <c r="Z135" s="24">
        <v>8</v>
      </c>
      <c r="AA135" s="13">
        <f>(1+'10. Whatif Control pannel'!$B$10)*Z135</f>
        <v>9.6</v>
      </c>
      <c r="AB135" s="3">
        <f t="shared" si="38"/>
        <v>3494.40408</v>
      </c>
      <c r="AC135" s="3">
        <f t="shared" si="43"/>
        <v>4696.47908352</v>
      </c>
      <c r="AD135" s="3">
        <f t="shared" si="39"/>
        <v>2438.24</v>
      </c>
      <c r="AE135" s="3">
        <f t="shared" si="40"/>
        <v>1056.16408</v>
      </c>
      <c r="AF135" s="3">
        <f t="shared" si="44"/>
        <v>2258.23908352</v>
      </c>
      <c r="AG135">
        <f t="shared" si="41"/>
        <v>0.302244404430755</v>
      </c>
    </row>
    <row r="136" spans="1:33">
      <c r="A136" t="s">
        <v>370</v>
      </c>
      <c r="B136" s="20">
        <v>45647</v>
      </c>
      <c r="C136" s="2">
        <f t="shared" si="30"/>
        <v>12</v>
      </c>
      <c r="D136" s="21">
        <f t="shared" si="42"/>
        <v>45647</v>
      </c>
      <c r="E136" s="19" t="str">
        <f t="shared" si="31"/>
        <v>Quarter 4</v>
      </c>
      <c r="F136" s="19">
        <v>45652</v>
      </c>
      <c r="G136" s="19">
        <f t="shared" si="32"/>
        <v>45652</v>
      </c>
      <c r="H136" s="22">
        <f t="shared" si="33"/>
        <v>5</v>
      </c>
      <c r="I136" t="str">
        <f t="shared" si="34"/>
        <v>Ontime</v>
      </c>
      <c r="J136" t="s">
        <v>52</v>
      </c>
      <c r="K136" t="s">
        <v>122</v>
      </c>
      <c r="L136" t="s">
        <v>167</v>
      </c>
      <c r="M136" t="s">
        <v>48</v>
      </c>
      <c r="N136" t="s">
        <v>40</v>
      </c>
      <c r="O136" t="s">
        <v>110</v>
      </c>
      <c r="P136" t="s">
        <v>30</v>
      </c>
      <c r="Q136" t="s">
        <v>371</v>
      </c>
      <c r="R136" s="3">
        <v>699.57</v>
      </c>
      <c r="S136" s="3">
        <v>572.71</v>
      </c>
      <c r="T136" s="3">
        <f t="shared" si="35"/>
        <v>572.71</v>
      </c>
      <c r="U136" s="3">
        <f>(1+'10. Whatif Control pannel'!$B$6)*T136</f>
        <v>641.4352</v>
      </c>
      <c r="V136" s="3" t="str">
        <f t="shared" si="36"/>
        <v>Low</v>
      </c>
      <c r="W136" s="34">
        <v>0.192</v>
      </c>
      <c r="X136" s="24" t="str">
        <f t="shared" si="37"/>
        <v>Okay</v>
      </c>
      <c r="Y136" s="36">
        <f>IF(W136&lt;=0.25,W136,'10. Whatif Control pannel'!$B$2)</f>
        <v>0.192</v>
      </c>
      <c r="Z136" s="24">
        <v>26</v>
      </c>
      <c r="AA136" s="13">
        <f>(1+'10. Whatif Control pannel'!$B$10)*Z136</f>
        <v>31.2</v>
      </c>
      <c r="AB136" s="3">
        <f t="shared" si="38"/>
        <v>12031.49168</v>
      </c>
      <c r="AC136" s="3">
        <f t="shared" si="43"/>
        <v>16170.32481792</v>
      </c>
      <c r="AD136" s="3">
        <f t="shared" si="39"/>
        <v>18188.82</v>
      </c>
      <c r="AE136" s="3">
        <f t="shared" si="40"/>
        <v>-6157.32832</v>
      </c>
      <c r="AF136" s="3">
        <f t="shared" si="44"/>
        <v>-2018.49518208</v>
      </c>
      <c r="AG136">
        <f t="shared" si="41"/>
        <v>-0.511767658056511</v>
      </c>
    </row>
    <row r="137" spans="1:33">
      <c r="A137" t="s">
        <v>372</v>
      </c>
      <c r="B137" s="20">
        <v>45028</v>
      </c>
      <c r="C137" s="2">
        <f t="shared" si="30"/>
        <v>4</v>
      </c>
      <c r="D137" s="21">
        <f t="shared" si="42"/>
        <v>45028</v>
      </c>
      <c r="E137" s="19" t="str">
        <f t="shared" si="31"/>
        <v>Quarter 2</v>
      </c>
      <c r="F137" s="19">
        <v>45033</v>
      </c>
      <c r="G137" s="19">
        <f t="shared" si="32"/>
        <v>45033</v>
      </c>
      <c r="H137" s="22">
        <f t="shared" si="33"/>
        <v>5</v>
      </c>
      <c r="I137" t="str">
        <f t="shared" si="34"/>
        <v>Ontime</v>
      </c>
      <c r="J137" t="s">
        <v>78</v>
      </c>
      <c r="K137" t="s">
        <v>90</v>
      </c>
      <c r="L137" t="s">
        <v>138</v>
      </c>
      <c r="M137" t="s">
        <v>105</v>
      </c>
      <c r="N137" t="s">
        <v>98</v>
      </c>
      <c r="O137" t="s">
        <v>63</v>
      </c>
      <c r="P137" t="s">
        <v>64</v>
      </c>
      <c r="Q137" t="s">
        <v>373</v>
      </c>
      <c r="R137" s="3">
        <v>1087.81</v>
      </c>
      <c r="S137" s="3">
        <v>2323.87</v>
      </c>
      <c r="T137" s="3">
        <f t="shared" si="35"/>
        <v>2323.87</v>
      </c>
      <c r="U137" s="3">
        <f>(1+'10. Whatif Control pannel'!$B$6)*T137</f>
        <v>2602.7344</v>
      </c>
      <c r="V137" s="3" t="str">
        <f t="shared" si="36"/>
        <v>High</v>
      </c>
      <c r="W137" s="34">
        <v>0.094</v>
      </c>
      <c r="X137" s="24" t="str">
        <f t="shared" si="37"/>
        <v>Okay</v>
      </c>
      <c r="Y137" s="36">
        <f>IF(W137&lt;=0.25,W137,'10. Whatif Control pannel'!$B$2)</f>
        <v>0.094</v>
      </c>
      <c r="Z137" s="24">
        <v>13</v>
      </c>
      <c r="AA137" s="13">
        <f>(1+'10. Whatif Control pannel'!$B$10)*Z137</f>
        <v>15.6</v>
      </c>
      <c r="AB137" s="3">
        <f t="shared" si="38"/>
        <v>27370.54086</v>
      </c>
      <c r="AC137" s="3">
        <f t="shared" si="43"/>
        <v>36786.00691584</v>
      </c>
      <c r="AD137" s="3">
        <f t="shared" si="39"/>
        <v>14141.53</v>
      </c>
      <c r="AE137" s="3">
        <f t="shared" si="40"/>
        <v>13229.01086</v>
      </c>
      <c r="AF137" s="3">
        <f t="shared" si="44"/>
        <v>22644.47691584</v>
      </c>
      <c r="AG137">
        <f t="shared" si="41"/>
        <v>0.483330268395727</v>
      </c>
    </row>
    <row r="138" spans="1:33">
      <c r="A138" t="s">
        <v>374</v>
      </c>
      <c r="B138" s="20">
        <v>45640</v>
      </c>
      <c r="C138" s="2">
        <f t="shared" si="30"/>
        <v>12</v>
      </c>
      <c r="D138" s="21">
        <f t="shared" si="42"/>
        <v>45640</v>
      </c>
      <c r="E138" s="19" t="str">
        <f t="shared" si="31"/>
        <v>Quarter 4</v>
      </c>
      <c r="F138" s="19">
        <v>45669</v>
      </c>
      <c r="G138" s="19">
        <f t="shared" si="32"/>
        <v>45669</v>
      </c>
      <c r="H138" s="22">
        <f t="shared" si="33"/>
        <v>29</v>
      </c>
      <c r="I138" t="str">
        <f t="shared" si="34"/>
        <v>Delayed </v>
      </c>
      <c r="J138" t="s">
        <v>45</v>
      </c>
      <c r="K138" t="s">
        <v>116</v>
      </c>
      <c r="L138" t="s">
        <v>117</v>
      </c>
      <c r="M138" t="s">
        <v>27</v>
      </c>
      <c r="N138" t="s">
        <v>28</v>
      </c>
      <c r="O138" t="s">
        <v>29</v>
      </c>
      <c r="P138" t="s">
        <v>22</v>
      </c>
      <c r="Q138" t="s">
        <v>375</v>
      </c>
      <c r="R138" s="3">
        <v>1412.15</v>
      </c>
      <c r="S138" s="3">
        <v>1631.04</v>
      </c>
      <c r="T138" s="3">
        <f t="shared" si="35"/>
        <v>1631.04</v>
      </c>
      <c r="U138" s="3">
        <f>(1+'10. Whatif Control pannel'!$B$6)*T138</f>
        <v>1826.7648</v>
      </c>
      <c r="V138" s="3" t="str">
        <f t="shared" si="36"/>
        <v>High</v>
      </c>
      <c r="W138" s="34">
        <v>0.009</v>
      </c>
      <c r="X138" s="24" t="str">
        <f t="shared" si="37"/>
        <v>Okay</v>
      </c>
      <c r="Y138" s="36">
        <f>IF(W138&lt;=0.25,W138,'10. Whatif Control pannel'!$B$2)</f>
        <v>0.009</v>
      </c>
      <c r="Z138" s="24">
        <v>6</v>
      </c>
      <c r="AA138" s="13">
        <f>(1+'10. Whatif Control pannel'!$B$10)*Z138</f>
        <v>7.2</v>
      </c>
      <c r="AB138" s="3">
        <f t="shared" si="38"/>
        <v>9698.16384</v>
      </c>
      <c r="AC138" s="3">
        <f t="shared" si="43"/>
        <v>13034.33220096</v>
      </c>
      <c r="AD138" s="3">
        <f t="shared" si="39"/>
        <v>8472.9</v>
      </c>
      <c r="AE138" s="3">
        <f t="shared" si="40"/>
        <v>1225.26384</v>
      </c>
      <c r="AF138" s="3">
        <f t="shared" si="44"/>
        <v>4561.43220096</v>
      </c>
      <c r="AG138">
        <f t="shared" si="41"/>
        <v>0.126339775262035</v>
      </c>
    </row>
    <row r="139" spans="1:33">
      <c r="A139" t="s">
        <v>376</v>
      </c>
      <c r="B139" s="20">
        <v>45016</v>
      </c>
      <c r="C139" s="2">
        <f t="shared" si="30"/>
        <v>3</v>
      </c>
      <c r="D139" s="21">
        <f t="shared" si="42"/>
        <v>45016</v>
      </c>
      <c r="E139" s="19" t="str">
        <f t="shared" si="31"/>
        <v>Quarter 1</v>
      </c>
      <c r="F139" s="19">
        <v>45028</v>
      </c>
      <c r="G139" s="19">
        <f t="shared" si="32"/>
        <v>45028</v>
      </c>
      <c r="H139" s="22">
        <f t="shared" si="33"/>
        <v>12</v>
      </c>
      <c r="I139" t="str">
        <f t="shared" si="34"/>
        <v>Delayed </v>
      </c>
      <c r="J139" t="s">
        <v>16</v>
      </c>
      <c r="K139" t="s">
        <v>17</v>
      </c>
      <c r="L139" t="s">
        <v>113</v>
      </c>
      <c r="M139" t="s">
        <v>62</v>
      </c>
      <c r="N139" t="s">
        <v>28</v>
      </c>
      <c r="O139" t="s">
        <v>21</v>
      </c>
      <c r="P139" t="s">
        <v>42</v>
      </c>
      <c r="Q139" t="s">
        <v>377</v>
      </c>
      <c r="R139" s="3">
        <v>304.22</v>
      </c>
      <c r="S139" s="3">
        <v>393.31</v>
      </c>
      <c r="T139" s="3">
        <f t="shared" si="35"/>
        <v>393.31</v>
      </c>
      <c r="U139" s="3">
        <f>(1+'10. Whatif Control pannel'!$B$6)*T139</f>
        <v>440.5072</v>
      </c>
      <c r="V139" s="3" t="str">
        <f t="shared" si="36"/>
        <v>Low</v>
      </c>
      <c r="W139" s="34">
        <v>0.265</v>
      </c>
      <c r="X139" s="24" t="str">
        <f t="shared" si="37"/>
        <v>High Discount</v>
      </c>
      <c r="Y139" s="36">
        <f>IF(W139&lt;=0.25,W139,'10. Whatif Control pannel'!$B$2)</f>
        <v>0.23</v>
      </c>
      <c r="Z139" s="24">
        <v>15</v>
      </c>
      <c r="AA139" s="13">
        <f>(1+'10. Whatif Control pannel'!$B$10)*Z139</f>
        <v>18</v>
      </c>
      <c r="AB139" s="3">
        <f t="shared" si="38"/>
        <v>4336.24275</v>
      </c>
      <c r="AC139" s="3">
        <f t="shared" si="43"/>
        <v>6105.429792</v>
      </c>
      <c r="AD139" s="3">
        <f t="shared" si="39"/>
        <v>4563.3</v>
      </c>
      <c r="AE139" s="3">
        <f t="shared" si="40"/>
        <v>-227.057250000001</v>
      </c>
      <c r="AF139" s="3">
        <f t="shared" si="44"/>
        <v>1542.129792</v>
      </c>
      <c r="AG139">
        <f t="shared" si="41"/>
        <v>-0.052362670424759</v>
      </c>
    </row>
    <row r="140" spans="1:33">
      <c r="A140" t="s">
        <v>378</v>
      </c>
      <c r="B140" s="20">
        <v>45616</v>
      </c>
      <c r="C140" s="2">
        <f t="shared" si="30"/>
        <v>11</v>
      </c>
      <c r="D140" s="21">
        <f t="shared" si="42"/>
        <v>45616</v>
      </c>
      <c r="E140" s="19" t="str">
        <f t="shared" si="31"/>
        <v>Quarter 4</v>
      </c>
      <c r="F140" s="19">
        <v>45641</v>
      </c>
      <c r="G140" s="19">
        <f t="shared" si="32"/>
        <v>45641</v>
      </c>
      <c r="H140" s="22">
        <f t="shared" si="33"/>
        <v>25</v>
      </c>
      <c r="I140" t="str">
        <f t="shared" si="34"/>
        <v>Delayed </v>
      </c>
      <c r="J140" t="s">
        <v>78</v>
      </c>
      <c r="K140" t="s">
        <v>90</v>
      </c>
      <c r="L140" t="s">
        <v>217</v>
      </c>
      <c r="M140" t="s">
        <v>19</v>
      </c>
      <c r="N140" t="s">
        <v>28</v>
      </c>
      <c r="O140" t="s">
        <v>41</v>
      </c>
      <c r="P140" t="s">
        <v>30</v>
      </c>
      <c r="Q140" t="s">
        <v>379</v>
      </c>
      <c r="R140" s="3">
        <v>1203.58</v>
      </c>
      <c r="S140" s="3">
        <v>1856.16</v>
      </c>
      <c r="T140" s="3">
        <f t="shared" si="35"/>
        <v>1856.16</v>
      </c>
      <c r="U140" s="3">
        <f>(1+'10. Whatif Control pannel'!$B$6)*T140</f>
        <v>2078.8992</v>
      </c>
      <c r="V140" s="3" t="str">
        <f t="shared" si="36"/>
        <v>High</v>
      </c>
      <c r="W140" s="34">
        <v>0.129</v>
      </c>
      <c r="X140" s="24" t="str">
        <f t="shared" si="37"/>
        <v>Okay</v>
      </c>
      <c r="Y140" s="36">
        <f>IF(W140&lt;=0.25,W140,'10. Whatif Control pannel'!$B$2)</f>
        <v>0.129</v>
      </c>
      <c r="Z140" s="24">
        <v>22</v>
      </c>
      <c r="AA140" s="13">
        <f>(1+'10. Whatif Control pannel'!$B$10)*Z140</f>
        <v>26.4</v>
      </c>
      <c r="AB140" s="3">
        <f t="shared" si="38"/>
        <v>35567.73792</v>
      </c>
      <c r="AC140" s="3">
        <f t="shared" si="43"/>
        <v>47803.03976448</v>
      </c>
      <c r="AD140" s="3">
        <f t="shared" si="39"/>
        <v>26478.76</v>
      </c>
      <c r="AE140" s="3">
        <f t="shared" si="40"/>
        <v>9088.97792000001</v>
      </c>
      <c r="AF140" s="3">
        <f t="shared" si="44"/>
        <v>21324.27976448</v>
      </c>
      <c r="AG140">
        <f t="shared" si="41"/>
        <v>0.25553994860295</v>
      </c>
    </row>
    <row r="141" spans="1:33">
      <c r="A141" t="s">
        <v>380</v>
      </c>
      <c r="B141" s="20">
        <v>45336</v>
      </c>
      <c r="C141" s="2">
        <f t="shared" si="30"/>
        <v>2</v>
      </c>
      <c r="D141" s="21">
        <f t="shared" si="42"/>
        <v>45336</v>
      </c>
      <c r="E141" s="19" t="str">
        <f t="shared" si="31"/>
        <v>Quarter 1</v>
      </c>
      <c r="F141" s="19">
        <v>45336</v>
      </c>
      <c r="G141" s="19">
        <f t="shared" si="32"/>
        <v>45336</v>
      </c>
      <c r="H141" s="22">
        <f t="shared" si="33"/>
        <v>0</v>
      </c>
      <c r="I141" t="str">
        <f t="shared" si="34"/>
        <v>Ontime</v>
      </c>
      <c r="J141" t="s">
        <v>45</v>
      </c>
      <c r="K141" t="s">
        <v>116</v>
      </c>
      <c r="L141" t="s">
        <v>338</v>
      </c>
      <c r="M141" t="s">
        <v>19</v>
      </c>
      <c r="N141" t="s">
        <v>55</v>
      </c>
      <c r="O141" t="s">
        <v>49</v>
      </c>
      <c r="P141" t="s">
        <v>81</v>
      </c>
      <c r="Q141" t="s">
        <v>381</v>
      </c>
      <c r="R141" s="3">
        <v>65.93</v>
      </c>
      <c r="S141" s="3">
        <v>84.9</v>
      </c>
      <c r="T141" s="3">
        <f t="shared" si="35"/>
        <v>84.9</v>
      </c>
      <c r="U141" s="3">
        <f>(1+'10. Whatif Control pannel'!$B$6)*T141</f>
        <v>95.088</v>
      </c>
      <c r="V141" s="3" t="str">
        <f t="shared" si="36"/>
        <v>Low</v>
      </c>
      <c r="W141" s="34">
        <v>0.259</v>
      </c>
      <c r="X141" s="24" t="str">
        <f t="shared" si="37"/>
        <v>High Discount</v>
      </c>
      <c r="Y141" s="36">
        <f>IF(W141&lt;=0.25,W141,'10. Whatif Control pannel'!$B$2)</f>
        <v>0.23</v>
      </c>
      <c r="Z141" s="24">
        <v>23</v>
      </c>
      <c r="AA141" s="13">
        <f>(1+'10. Whatif Control pannel'!$B$10)*Z141</f>
        <v>27.6</v>
      </c>
      <c r="AB141" s="3">
        <f t="shared" si="38"/>
        <v>1446.9507</v>
      </c>
      <c r="AC141" s="3">
        <f t="shared" si="43"/>
        <v>2020.810176</v>
      </c>
      <c r="AD141" s="3">
        <f t="shared" si="39"/>
        <v>1516.39</v>
      </c>
      <c r="AE141" s="3">
        <f t="shared" si="40"/>
        <v>-69.4393</v>
      </c>
      <c r="AF141" s="3">
        <f t="shared" si="44"/>
        <v>504.420176</v>
      </c>
      <c r="AG141">
        <f t="shared" si="41"/>
        <v>-0.0479900939264897</v>
      </c>
    </row>
    <row r="142" spans="1:33">
      <c r="A142" t="s">
        <v>382</v>
      </c>
      <c r="B142" s="20">
        <v>45048</v>
      </c>
      <c r="C142" s="2">
        <f t="shared" si="30"/>
        <v>5</v>
      </c>
      <c r="D142" s="21">
        <f t="shared" si="42"/>
        <v>45048</v>
      </c>
      <c r="E142" s="19" t="str">
        <f t="shared" si="31"/>
        <v>Quarter 2</v>
      </c>
      <c r="F142" s="19">
        <v>45064</v>
      </c>
      <c r="G142" s="19">
        <f t="shared" si="32"/>
        <v>45064</v>
      </c>
      <c r="H142" s="22">
        <f t="shared" si="33"/>
        <v>16</v>
      </c>
      <c r="I142" t="str">
        <f t="shared" si="34"/>
        <v>Delayed </v>
      </c>
      <c r="J142" t="s">
        <v>45</v>
      </c>
      <c r="K142" t="s">
        <v>60</v>
      </c>
      <c r="L142" t="s">
        <v>141</v>
      </c>
      <c r="M142" t="s">
        <v>62</v>
      </c>
      <c r="N142" t="s">
        <v>40</v>
      </c>
      <c r="O142" t="s">
        <v>95</v>
      </c>
      <c r="P142" t="s">
        <v>64</v>
      </c>
      <c r="Q142" t="s">
        <v>383</v>
      </c>
      <c r="R142" s="3">
        <v>1463.92</v>
      </c>
      <c r="S142" s="3">
        <v>2252.24</v>
      </c>
      <c r="T142" s="3">
        <f t="shared" si="35"/>
        <v>2252.24</v>
      </c>
      <c r="U142" s="3">
        <f>(1+'10. Whatif Control pannel'!$B$6)*T142</f>
        <v>2522.5088</v>
      </c>
      <c r="V142" s="3" t="str">
        <f t="shared" si="36"/>
        <v>High</v>
      </c>
      <c r="W142" s="34">
        <v>0.118</v>
      </c>
      <c r="X142" s="24" t="str">
        <f t="shared" si="37"/>
        <v>Okay</v>
      </c>
      <c r="Y142" s="36">
        <f>IF(W142&lt;=0.25,W142,'10. Whatif Control pannel'!$B$2)</f>
        <v>0.118</v>
      </c>
      <c r="Z142" s="24">
        <v>44</v>
      </c>
      <c r="AA142" s="13">
        <f>(1+'10. Whatif Control pannel'!$B$10)*Z142</f>
        <v>52.8</v>
      </c>
      <c r="AB142" s="3">
        <f t="shared" si="38"/>
        <v>87404.92992</v>
      </c>
      <c r="AC142" s="3">
        <f t="shared" si="43"/>
        <v>117472.22581248</v>
      </c>
      <c r="AD142" s="3">
        <f t="shared" si="39"/>
        <v>64412.48</v>
      </c>
      <c r="AE142" s="3">
        <f t="shared" si="40"/>
        <v>22992.44992</v>
      </c>
      <c r="AF142" s="3">
        <f t="shared" si="44"/>
        <v>53059.74581248</v>
      </c>
      <c r="AG142">
        <f t="shared" si="41"/>
        <v>0.263056671300401</v>
      </c>
    </row>
    <row r="143" spans="1:33">
      <c r="A143" t="s">
        <v>384</v>
      </c>
      <c r="B143" s="20">
        <v>45649</v>
      </c>
      <c r="C143" s="2">
        <f t="shared" si="30"/>
        <v>12</v>
      </c>
      <c r="D143" s="21">
        <f t="shared" si="42"/>
        <v>45649</v>
      </c>
      <c r="E143" s="19" t="str">
        <f t="shared" si="31"/>
        <v>Quarter 4</v>
      </c>
      <c r="F143" s="19">
        <v>45668</v>
      </c>
      <c r="G143" s="19">
        <f t="shared" si="32"/>
        <v>45668</v>
      </c>
      <c r="H143" s="22">
        <f t="shared" si="33"/>
        <v>19</v>
      </c>
      <c r="I143" t="str">
        <f t="shared" si="34"/>
        <v>Delayed </v>
      </c>
      <c r="J143" t="s">
        <v>78</v>
      </c>
      <c r="K143" t="s">
        <v>79</v>
      </c>
      <c r="L143" t="s">
        <v>80</v>
      </c>
      <c r="M143" t="s">
        <v>27</v>
      </c>
      <c r="N143" t="s">
        <v>20</v>
      </c>
      <c r="O143" t="s">
        <v>95</v>
      </c>
      <c r="P143" t="s">
        <v>42</v>
      </c>
      <c r="Q143" t="s">
        <v>385</v>
      </c>
      <c r="R143" s="3">
        <v>501.81</v>
      </c>
      <c r="S143" s="3">
        <v>921.62</v>
      </c>
      <c r="T143" s="3">
        <f t="shared" si="35"/>
        <v>921.62</v>
      </c>
      <c r="U143" s="3">
        <f>(1+'10. Whatif Control pannel'!$B$6)*T143</f>
        <v>1032.2144</v>
      </c>
      <c r="V143" s="3" t="str">
        <f t="shared" si="36"/>
        <v>Medium</v>
      </c>
      <c r="W143" s="34">
        <v>0.01</v>
      </c>
      <c r="X143" s="24" t="str">
        <f t="shared" si="37"/>
        <v>Okay</v>
      </c>
      <c r="Y143" s="36">
        <f>IF(W143&lt;=0.25,W143,'10. Whatif Control pannel'!$B$2)</f>
        <v>0.01</v>
      </c>
      <c r="Z143" s="24">
        <v>9</v>
      </c>
      <c r="AA143" s="13">
        <f>(1+'10. Whatif Control pannel'!$B$10)*Z143</f>
        <v>10.8</v>
      </c>
      <c r="AB143" s="3">
        <f t="shared" si="38"/>
        <v>8211.6342</v>
      </c>
      <c r="AC143" s="3">
        <f t="shared" si="43"/>
        <v>11036.4363648</v>
      </c>
      <c r="AD143" s="3">
        <f t="shared" si="39"/>
        <v>4516.29</v>
      </c>
      <c r="AE143" s="3">
        <f t="shared" si="40"/>
        <v>3695.3442</v>
      </c>
      <c r="AF143" s="3">
        <f t="shared" si="44"/>
        <v>6520.1463648</v>
      </c>
      <c r="AG143">
        <f t="shared" si="41"/>
        <v>0.45001325071202</v>
      </c>
    </row>
    <row r="144" spans="1:33">
      <c r="A144" t="s">
        <v>386</v>
      </c>
      <c r="B144" s="20">
        <v>45133</v>
      </c>
      <c r="C144" s="2">
        <f t="shared" si="30"/>
        <v>7</v>
      </c>
      <c r="D144" s="21">
        <f t="shared" si="42"/>
        <v>45133</v>
      </c>
      <c r="E144" s="19" t="str">
        <f t="shared" si="31"/>
        <v>Quarter 3</v>
      </c>
      <c r="F144" s="19">
        <v>45163</v>
      </c>
      <c r="G144" s="19">
        <f t="shared" si="32"/>
        <v>45163</v>
      </c>
      <c r="H144" s="22">
        <f t="shared" si="33"/>
        <v>30</v>
      </c>
      <c r="I144" t="str">
        <f t="shared" si="34"/>
        <v>Delayed </v>
      </c>
      <c r="J144" t="s">
        <v>52</v>
      </c>
      <c r="K144" t="s">
        <v>122</v>
      </c>
      <c r="L144" t="s">
        <v>387</v>
      </c>
      <c r="M144" t="s">
        <v>48</v>
      </c>
      <c r="N144" t="s">
        <v>20</v>
      </c>
      <c r="O144" t="s">
        <v>110</v>
      </c>
      <c r="P144" t="s">
        <v>81</v>
      </c>
      <c r="Q144" t="s">
        <v>388</v>
      </c>
      <c r="R144" s="3">
        <v>1261.48</v>
      </c>
      <c r="S144" s="3">
        <v>1643.18</v>
      </c>
      <c r="T144" s="3">
        <f t="shared" si="35"/>
        <v>1643.18</v>
      </c>
      <c r="U144" s="3">
        <f>(1+'10. Whatif Control pannel'!$B$6)*T144</f>
        <v>1840.3616</v>
      </c>
      <c r="V144" s="3" t="str">
        <f t="shared" si="36"/>
        <v>High</v>
      </c>
      <c r="W144" s="34">
        <v>0.151</v>
      </c>
      <c r="X144" s="24" t="str">
        <f t="shared" si="37"/>
        <v>Okay</v>
      </c>
      <c r="Y144" s="36">
        <f>IF(W144&lt;=0.25,W144,'10. Whatif Control pannel'!$B$2)</f>
        <v>0.151</v>
      </c>
      <c r="Z144" s="24">
        <v>23</v>
      </c>
      <c r="AA144" s="13">
        <f>(1+'10. Whatif Control pannel'!$B$10)*Z144</f>
        <v>27.6</v>
      </c>
      <c r="AB144" s="3">
        <f t="shared" si="38"/>
        <v>32086.37586</v>
      </c>
      <c r="AC144" s="3">
        <f t="shared" si="43"/>
        <v>43124.08915584</v>
      </c>
      <c r="AD144" s="3">
        <f t="shared" si="39"/>
        <v>29014.04</v>
      </c>
      <c r="AE144" s="3">
        <f t="shared" si="40"/>
        <v>3072.33586</v>
      </c>
      <c r="AF144" s="3">
        <f t="shared" si="44"/>
        <v>14110.04915584</v>
      </c>
      <c r="AG144">
        <f t="shared" si="41"/>
        <v>0.095752037357079</v>
      </c>
    </row>
    <row r="145" spans="1:33">
      <c r="A145" t="s">
        <v>389</v>
      </c>
      <c r="B145" s="20">
        <v>45458</v>
      </c>
      <c r="C145" s="2">
        <f t="shared" si="30"/>
        <v>6</v>
      </c>
      <c r="D145" s="21">
        <f t="shared" si="42"/>
        <v>45458</v>
      </c>
      <c r="E145" s="19" t="str">
        <f t="shared" si="31"/>
        <v>Quarter 2</v>
      </c>
      <c r="F145" s="19">
        <v>45479</v>
      </c>
      <c r="G145" s="19">
        <f t="shared" si="32"/>
        <v>45479</v>
      </c>
      <c r="H145" s="22">
        <f t="shared" si="33"/>
        <v>21</v>
      </c>
      <c r="I145" t="str">
        <f t="shared" si="34"/>
        <v>Delayed </v>
      </c>
      <c r="J145" t="s">
        <v>52</v>
      </c>
      <c r="K145" t="s">
        <v>53</v>
      </c>
      <c r="L145" t="s">
        <v>54</v>
      </c>
      <c r="M145" t="s">
        <v>105</v>
      </c>
      <c r="N145" t="s">
        <v>55</v>
      </c>
      <c r="O145" t="s">
        <v>49</v>
      </c>
      <c r="P145" t="s">
        <v>30</v>
      </c>
      <c r="Q145" t="s">
        <v>390</v>
      </c>
      <c r="R145" s="3">
        <v>817.23</v>
      </c>
      <c r="S145" s="3">
        <v>1467.17</v>
      </c>
      <c r="T145" s="3">
        <f t="shared" si="35"/>
        <v>1467.17</v>
      </c>
      <c r="U145" s="3">
        <f>(1+'10. Whatif Control pannel'!$B$6)*T145</f>
        <v>1643.2304</v>
      </c>
      <c r="V145" s="3" t="str">
        <f t="shared" si="36"/>
        <v>Medium</v>
      </c>
      <c r="W145" s="34">
        <v>0.245</v>
      </c>
      <c r="X145" s="24" t="str">
        <f t="shared" si="37"/>
        <v>High Discount</v>
      </c>
      <c r="Y145" s="36">
        <f>IF(W145&lt;=0.25,W145,'10. Whatif Control pannel'!$B$2)</f>
        <v>0.245</v>
      </c>
      <c r="Z145" s="24">
        <v>9</v>
      </c>
      <c r="AA145" s="13">
        <f>(1+'10. Whatif Control pannel'!$B$10)*Z145</f>
        <v>10.8</v>
      </c>
      <c r="AB145" s="3">
        <f t="shared" si="38"/>
        <v>9969.42015</v>
      </c>
      <c r="AC145" s="3">
        <f t="shared" si="43"/>
        <v>13398.9006816</v>
      </c>
      <c r="AD145" s="3">
        <f t="shared" si="39"/>
        <v>7355.07</v>
      </c>
      <c r="AE145" s="3">
        <f t="shared" si="40"/>
        <v>2614.35015</v>
      </c>
      <c r="AF145" s="3">
        <f t="shared" si="44"/>
        <v>6043.8306816</v>
      </c>
      <c r="AG145">
        <f t="shared" si="41"/>
        <v>0.262236931603289</v>
      </c>
    </row>
    <row r="146" spans="1:33">
      <c r="A146" t="s">
        <v>391</v>
      </c>
      <c r="B146" s="20">
        <v>45112</v>
      </c>
      <c r="C146" s="2">
        <f t="shared" si="30"/>
        <v>7</v>
      </c>
      <c r="D146" s="21">
        <f t="shared" si="42"/>
        <v>45112</v>
      </c>
      <c r="E146" s="19" t="str">
        <f t="shared" si="31"/>
        <v>Quarter 3</v>
      </c>
      <c r="F146" s="19">
        <v>45121</v>
      </c>
      <c r="G146" s="19">
        <f t="shared" si="32"/>
        <v>45121</v>
      </c>
      <c r="H146" s="22">
        <f t="shared" si="33"/>
        <v>9</v>
      </c>
      <c r="I146" t="str">
        <f t="shared" si="34"/>
        <v>Delayed </v>
      </c>
      <c r="J146" t="s">
        <v>52</v>
      </c>
      <c r="K146" t="s">
        <v>73</v>
      </c>
      <c r="L146" t="s">
        <v>87</v>
      </c>
      <c r="M146" t="s">
        <v>105</v>
      </c>
      <c r="N146" t="s">
        <v>98</v>
      </c>
      <c r="O146" t="s">
        <v>56</v>
      </c>
      <c r="P146" t="s">
        <v>35</v>
      </c>
      <c r="Q146" t="s">
        <v>392</v>
      </c>
      <c r="R146" s="3">
        <v>578.85</v>
      </c>
      <c r="S146" s="3">
        <v>998.76</v>
      </c>
      <c r="T146" s="3">
        <f t="shared" si="35"/>
        <v>998.76</v>
      </c>
      <c r="U146" s="3">
        <f>(1+'10. Whatif Control pannel'!$B$6)*T146</f>
        <v>1118.6112</v>
      </c>
      <c r="V146" s="3" t="str">
        <f t="shared" si="36"/>
        <v>Medium</v>
      </c>
      <c r="W146" s="34">
        <v>0.082</v>
      </c>
      <c r="X146" s="24" t="str">
        <f t="shared" si="37"/>
        <v>Okay</v>
      </c>
      <c r="Y146" s="36">
        <f>IF(W146&lt;=0.25,W146,'10. Whatif Control pannel'!$B$2)</f>
        <v>0.082</v>
      </c>
      <c r="Z146" s="24">
        <v>28</v>
      </c>
      <c r="AA146" s="13">
        <f>(1+'10. Whatif Control pannel'!$B$10)*Z146</f>
        <v>33.6</v>
      </c>
      <c r="AB146" s="3">
        <f t="shared" si="38"/>
        <v>25672.12704</v>
      </c>
      <c r="AC146" s="3">
        <f t="shared" si="43"/>
        <v>34503.33874176</v>
      </c>
      <c r="AD146" s="3">
        <f t="shared" si="39"/>
        <v>16207.8</v>
      </c>
      <c r="AE146" s="3">
        <f t="shared" si="40"/>
        <v>9464.32704</v>
      </c>
      <c r="AF146" s="3">
        <f t="shared" si="44"/>
        <v>18295.53874176</v>
      </c>
      <c r="AG146">
        <f t="shared" si="41"/>
        <v>0.368661584809608</v>
      </c>
    </row>
    <row r="147" spans="1:33">
      <c r="A147" t="s">
        <v>393</v>
      </c>
      <c r="B147" s="20">
        <v>45260</v>
      </c>
      <c r="C147" s="2">
        <f t="shared" si="30"/>
        <v>11</v>
      </c>
      <c r="D147" s="21">
        <f t="shared" si="42"/>
        <v>45260</v>
      </c>
      <c r="E147" s="19" t="str">
        <f t="shared" si="31"/>
        <v>Quarter 4</v>
      </c>
      <c r="F147" s="19">
        <v>45259</v>
      </c>
      <c r="G147" s="19">
        <f t="shared" si="32"/>
        <v>45267</v>
      </c>
      <c r="H147" s="22">
        <f t="shared" si="33"/>
        <v>7</v>
      </c>
      <c r="I147" t="str">
        <f t="shared" si="34"/>
        <v>Ontime</v>
      </c>
      <c r="J147" t="s">
        <v>16</v>
      </c>
      <c r="K147" t="s">
        <v>148</v>
      </c>
      <c r="L147" t="s">
        <v>172</v>
      </c>
      <c r="M147" t="s">
        <v>62</v>
      </c>
      <c r="N147" t="s">
        <v>40</v>
      </c>
      <c r="O147" t="s">
        <v>63</v>
      </c>
      <c r="P147" t="s">
        <v>57</v>
      </c>
      <c r="Q147" t="s">
        <v>394</v>
      </c>
      <c r="R147" s="3">
        <v>275.56</v>
      </c>
      <c r="S147" s="3">
        <v>630.72</v>
      </c>
      <c r="T147" s="3">
        <f t="shared" si="35"/>
        <v>630.72</v>
      </c>
      <c r="U147" s="3">
        <f>(1+'10. Whatif Control pannel'!$B$6)*T147</f>
        <v>706.4064</v>
      </c>
      <c r="V147" s="3" t="str">
        <f t="shared" si="36"/>
        <v>Low</v>
      </c>
      <c r="W147" s="34">
        <v>0.107</v>
      </c>
      <c r="X147" s="24" t="str">
        <f t="shared" si="37"/>
        <v>Okay</v>
      </c>
      <c r="Y147" s="36">
        <f>IF(W147&lt;=0.25,W147,'10. Whatif Control pannel'!$B$2)</f>
        <v>0.107</v>
      </c>
      <c r="Z147" s="24">
        <v>23</v>
      </c>
      <c r="AA147" s="13">
        <f>(1+'10. Whatif Control pannel'!$B$10)*Z147</f>
        <v>27.6</v>
      </c>
      <c r="AB147" s="3">
        <f t="shared" si="38"/>
        <v>12954.35808</v>
      </c>
      <c r="AC147" s="3">
        <f t="shared" si="43"/>
        <v>17410.65725952</v>
      </c>
      <c r="AD147" s="3">
        <f t="shared" si="39"/>
        <v>6337.88</v>
      </c>
      <c r="AE147" s="3">
        <f t="shared" si="40"/>
        <v>6616.47808</v>
      </c>
      <c r="AF147" s="3">
        <f t="shared" si="44"/>
        <v>11072.77725952</v>
      </c>
      <c r="AG147">
        <f t="shared" si="41"/>
        <v>0.510753063883193</v>
      </c>
    </row>
    <row r="148" spans="1:33">
      <c r="A148" t="s">
        <v>395</v>
      </c>
      <c r="B148" s="20">
        <v>45911</v>
      </c>
      <c r="C148" s="2">
        <f t="shared" si="30"/>
        <v>9</v>
      </c>
      <c r="D148" s="21">
        <f t="shared" si="42"/>
        <v>45911</v>
      </c>
      <c r="E148" s="19" t="str">
        <f t="shared" si="31"/>
        <v>Quarter 3</v>
      </c>
      <c r="F148" s="19">
        <v>45928</v>
      </c>
      <c r="G148" s="19">
        <f t="shared" si="32"/>
        <v>45928</v>
      </c>
      <c r="H148" s="22">
        <f t="shared" si="33"/>
        <v>17</v>
      </c>
      <c r="I148" t="str">
        <f t="shared" si="34"/>
        <v>Delayed </v>
      </c>
      <c r="J148" t="s">
        <v>16</v>
      </c>
      <c r="K148" t="s">
        <v>17</v>
      </c>
      <c r="L148" t="s">
        <v>33</v>
      </c>
      <c r="M148" t="s">
        <v>39</v>
      </c>
      <c r="N148" t="s">
        <v>55</v>
      </c>
      <c r="O148" t="s">
        <v>29</v>
      </c>
      <c r="P148" t="s">
        <v>57</v>
      </c>
      <c r="Q148" t="s">
        <v>396</v>
      </c>
      <c r="R148" s="3">
        <v>891.46</v>
      </c>
      <c r="S148" s="3">
        <v>728.61</v>
      </c>
      <c r="T148" s="3">
        <f t="shared" si="35"/>
        <v>728.61</v>
      </c>
      <c r="U148" s="3">
        <f>(1+'10. Whatif Control pannel'!$B$6)*T148</f>
        <v>816.0432</v>
      </c>
      <c r="V148" s="3" t="str">
        <f t="shared" si="36"/>
        <v>Low</v>
      </c>
      <c r="W148" s="34">
        <v>0.185</v>
      </c>
      <c r="X148" s="24" t="str">
        <f t="shared" si="37"/>
        <v>Okay</v>
      </c>
      <c r="Y148" s="36">
        <f>IF(W148&lt;=0.25,W148,'10. Whatif Control pannel'!$B$2)</f>
        <v>0.185</v>
      </c>
      <c r="Z148" s="24">
        <v>6</v>
      </c>
      <c r="AA148" s="13">
        <f>(1+'10. Whatif Control pannel'!$B$10)*Z148</f>
        <v>7.2</v>
      </c>
      <c r="AB148" s="3">
        <f t="shared" si="38"/>
        <v>3562.9029</v>
      </c>
      <c r="AC148" s="3">
        <f t="shared" si="43"/>
        <v>4788.5414976</v>
      </c>
      <c r="AD148" s="3">
        <f t="shared" si="39"/>
        <v>5348.76</v>
      </c>
      <c r="AE148" s="3">
        <f t="shared" si="40"/>
        <v>-1785.8571</v>
      </c>
      <c r="AF148" s="3">
        <f t="shared" si="44"/>
        <v>-560.2185024</v>
      </c>
      <c r="AG148">
        <f t="shared" si="41"/>
        <v>-0.501236533838742</v>
      </c>
    </row>
    <row r="149" spans="1:33">
      <c r="A149" t="s">
        <v>397</v>
      </c>
      <c r="B149" s="20">
        <v>45386</v>
      </c>
      <c r="C149" s="2">
        <f t="shared" si="30"/>
        <v>4</v>
      </c>
      <c r="D149" s="21">
        <f t="shared" si="42"/>
        <v>45386</v>
      </c>
      <c r="E149" s="19" t="str">
        <f t="shared" si="31"/>
        <v>Quarter 2</v>
      </c>
      <c r="F149" s="19">
        <v>45406</v>
      </c>
      <c r="G149" s="19">
        <f t="shared" si="32"/>
        <v>45406</v>
      </c>
      <c r="H149" s="22">
        <f t="shared" si="33"/>
        <v>20</v>
      </c>
      <c r="I149" t="str">
        <f t="shared" si="34"/>
        <v>Delayed </v>
      </c>
      <c r="J149" t="s">
        <v>78</v>
      </c>
      <c r="K149" t="s">
        <v>79</v>
      </c>
      <c r="L149" t="s">
        <v>335</v>
      </c>
      <c r="M149" t="s">
        <v>39</v>
      </c>
      <c r="N149" t="s">
        <v>98</v>
      </c>
      <c r="O149" t="s">
        <v>68</v>
      </c>
      <c r="P149" t="s">
        <v>81</v>
      </c>
      <c r="Q149" t="s">
        <v>398</v>
      </c>
      <c r="R149" s="3">
        <v>683.42</v>
      </c>
      <c r="S149" s="3">
        <v>951.51</v>
      </c>
      <c r="T149" s="3">
        <f t="shared" si="35"/>
        <v>951.51</v>
      </c>
      <c r="U149" s="3">
        <f>(1+'10. Whatif Control pannel'!$B$6)*T149</f>
        <v>1065.6912</v>
      </c>
      <c r="V149" s="3" t="str">
        <f t="shared" si="36"/>
        <v>Medium</v>
      </c>
      <c r="W149" s="34">
        <v>0</v>
      </c>
      <c r="X149" s="24" t="str">
        <f t="shared" si="37"/>
        <v>Okay</v>
      </c>
      <c r="Y149" s="36">
        <f>IF(W149&lt;=0.25,W149,'10. Whatif Control pannel'!$B$2)</f>
        <v>0</v>
      </c>
      <c r="Z149" s="24">
        <v>14</v>
      </c>
      <c r="AA149" s="13">
        <f>(1+'10. Whatif Control pannel'!$B$10)*Z149</f>
        <v>16.8</v>
      </c>
      <c r="AB149" s="3">
        <f t="shared" si="38"/>
        <v>13321.14</v>
      </c>
      <c r="AC149" s="3">
        <f t="shared" si="43"/>
        <v>17903.61216</v>
      </c>
      <c r="AD149" s="3">
        <f t="shared" si="39"/>
        <v>9567.88</v>
      </c>
      <c r="AE149" s="3">
        <f t="shared" si="40"/>
        <v>3753.26</v>
      </c>
      <c r="AF149" s="3">
        <f t="shared" si="44"/>
        <v>8335.73216</v>
      </c>
      <c r="AG149">
        <f t="shared" si="41"/>
        <v>0.281752162352471</v>
      </c>
    </row>
    <row r="150" spans="1:33">
      <c r="A150" t="s">
        <v>399</v>
      </c>
      <c r="B150" s="20">
        <v>45183</v>
      </c>
      <c r="C150" s="2">
        <f t="shared" si="30"/>
        <v>9</v>
      </c>
      <c r="D150" s="21">
        <f t="shared" si="42"/>
        <v>45183</v>
      </c>
      <c r="E150" s="19" t="str">
        <f t="shared" si="31"/>
        <v>Quarter 3</v>
      </c>
      <c r="F150" s="19">
        <v>45185</v>
      </c>
      <c r="G150" s="19">
        <f t="shared" si="32"/>
        <v>45185</v>
      </c>
      <c r="H150" s="22">
        <f t="shared" si="33"/>
        <v>2</v>
      </c>
      <c r="I150" t="str">
        <f t="shared" si="34"/>
        <v>Ontime</v>
      </c>
      <c r="J150" t="s">
        <v>78</v>
      </c>
      <c r="K150" t="s">
        <v>90</v>
      </c>
      <c r="L150" t="s">
        <v>138</v>
      </c>
      <c r="M150" t="s">
        <v>39</v>
      </c>
      <c r="N150" t="s">
        <v>98</v>
      </c>
      <c r="O150" t="s">
        <v>56</v>
      </c>
      <c r="P150" t="s">
        <v>30</v>
      </c>
      <c r="Q150" t="s">
        <v>400</v>
      </c>
      <c r="R150" s="3">
        <v>376.83</v>
      </c>
      <c r="S150" s="3">
        <v>732.88</v>
      </c>
      <c r="T150" s="3">
        <f t="shared" si="35"/>
        <v>732.88</v>
      </c>
      <c r="U150" s="3">
        <f>(1+'10. Whatif Control pannel'!$B$6)*T150</f>
        <v>820.8256</v>
      </c>
      <c r="V150" s="3" t="str">
        <f t="shared" si="36"/>
        <v>Low</v>
      </c>
      <c r="W150" s="34">
        <v>0.188</v>
      </c>
      <c r="X150" s="24" t="str">
        <f t="shared" si="37"/>
        <v>Okay</v>
      </c>
      <c r="Y150" s="36">
        <f>IF(W150&lt;=0.25,W150,'10. Whatif Control pannel'!$B$2)</f>
        <v>0.188</v>
      </c>
      <c r="Z150" s="24">
        <v>25</v>
      </c>
      <c r="AA150" s="13">
        <f>(1+'10. Whatif Control pannel'!$B$10)*Z150</f>
        <v>30</v>
      </c>
      <c r="AB150" s="3">
        <f t="shared" si="38"/>
        <v>14877.464</v>
      </c>
      <c r="AC150" s="3">
        <f t="shared" si="43"/>
        <v>19995.311616</v>
      </c>
      <c r="AD150" s="3">
        <f t="shared" si="39"/>
        <v>9420.75</v>
      </c>
      <c r="AE150" s="3">
        <f t="shared" si="40"/>
        <v>5456.714</v>
      </c>
      <c r="AF150" s="3">
        <f t="shared" si="44"/>
        <v>10574.561616</v>
      </c>
      <c r="AG150">
        <f t="shared" si="41"/>
        <v>0.366777160408521</v>
      </c>
    </row>
    <row r="151" spans="1:33">
      <c r="A151" t="s">
        <v>401</v>
      </c>
      <c r="B151" s="20">
        <v>45558</v>
      </c>
      <c r="C151" s="2">
        <f t="shared" si="30"/>
        <v>9</v>
      </c>
      <c r="D151" s="21">
        <f t="shared" si="42"/>
        <v>45558</v>
      </c>
      <c r="E151" s="19" t="str">
        <f t="shared" si="31"/>
        <v>Quarter 3</v>
      </c>
      <c r="F151" s="19">
        <v>45583</v>
      </c>
      <c r="G151" s="19">
        <f t="shared" si="32"/>
        <v>45583</v>
      </c>
      <c r="H151" s="22">
        <f t="shared" si="33"/>
        <v>25</v>
      </c>
      <c r="I151" t="str">
        <f t="shared" si="34"/>
        <v>Delayed </v>
      </c>
      <c r="J151" t="s">
        <v>52</v>
      </c>
      <c r="K151" t="s">
        <v>53</v>
      </c>
      <c r="L151" t="s">
        <v>179</v>
      </c>
      <c r="M151" t="s">
        <v>62</v>
      </c>
      <c r="N151" t="s">
        <v>28</v>
      </c>
      <c r="O151" t="s">
        <v>126</v>
      </c>
      <c r="P151" t="s">
        <v>42</v>
      </c>
      <c r="Q151" t="s">
        <v>402</v>
      </c>
      <c r="R151" s="3">
        <v>1297</v>
      </c>
      <c r="S151" s="3">
        <v>2411.52</v>
      </c>
      <c r="T151" s="3">
        <f t="shared" si="35"/>
        <v>2411.52</v>
      </c>
      <c r="U151" s="3">
        <f>(1+'10. Whatif Control pannel'!$B$6)*T151</f>
        <v>2700.9024</v>
      </c>
      <c r="V151" s="3" t="str">
        <f t="shared" si="36"/>
        <v>High</v>
      </c>
      <c r="W151" s="34">
        <v>0.021</v>
      </c>
      <c r="X151" s="24" t="str">
        <f t="shared" si="37"/>
        <v>Okay</v>
      </c>
      <c r="Y151" s="36">
        <f>IF(W151&lt;=0.25,W151,'10. Whatif Control pannel'!$B$2)</f>
        <v>0.021</v>
      </c>
      <c r="Z151" s="24">
        <v>18</v>
      </c>
      <c r="AA151" s="13">
        <f>(1+'10. Whatif Control pannel'!$B$10)*Z151</f>
        <v>21.6</v>
      </c>
      <c r="AB151" s="3">
        <f t="shared" si="38"/>
        <v>42495.80544</v>
      </c>
      <c r="AC151" s="3">
        <f t="shared" si="43"/>
        <v>57114.36251136</v>
      </c>
      <c r="AD151" s="3">
        <f t="shared" si="39"/>
        <v>23346</v>
      </c>
      <c r="AE151" s="3">
        <f t="shared" si="40"/>
        <v>19149.80544</v>
      </c>
      <c r="AF151" s="3">
        <f t="shared" si="44"/>
        <v>33768.36251136</v>
      </c>
      <c r="AG151">
        <f t="shared" si="41"/>
        <v>0.450628132393859</v>
      </c>
    </row>
    <row r="152" spans="1:33">
      <c r="A152" t="s">
        <v>403</v>
      </c>
      <c r="B152" s="20">
        <v>45763</v>
      </c>
      <c r="C152" s="2">
        <f t="shared" si="30"/>
        <v>4</v>
      </c>
      <c r="D152" s="21">
        <f t="shared" si="42"/>
        <v>45763</v>
      </c>
      <c r="E152" s="19" t="str">
        <f t="shared" si="31"/>
        <v>Quarter 2</v>
      </c>
      <c r="F152" s="19">
        <v>45793</v>
      </c>
      <c r="G152" s="19">
        <f t="shared" si="32"/>
        <v>45793</v>
      </c>
      <c r="H152" s="22">
        <f t="shared" si="33"/>
        <v>30</v>
      </c>
      <c r="I152" t="str">
        <f t="shared" si="34"/>
        <v>Delayed </v>
      </c>
      <c r="J152" t="s">
        <v>52</v>
      </c>
      <c r="K152" t="s">
        <v>53</v>
      </c>
      <c r="L152" t="s">
        <v>144</v>
      </c>
      <c r="M152" t="s">
        <v>105</v>
      </c>
      <c r="N152" t="s">
        <v>55</v>
      </c>
      <c r="O152" t="s">
        <v>95</v>
      </c>
      <c r="P152" t="s">
        <v>30</v>
      </c>
      <c r="Q152" t="s">
        <v>404</v>
      </c>
      <c r="R152" s="3">
        <v>763.32</v>
      </c>
      <c r="S152" s="3">
        <v>568.29</v>
      </c>
      <c r="T152" s="3">
        <f t="shared" si="35"/>
        <v>568.29</v>
      </c>
      <c r="U152" s="3">
        <f>(1+'10. Whatif Control pannel'!$B$6)*T152</f>
        <v>636.4848</v>
      </c>
      <c r="V152" s="3" t="str">
        <f t="shared" si="36"/>
        <v>Low</v>
      </c>
      <c r="W152" s="34">
        <v>0.131</v>
      </c>
      <c r="X152" s="24" t="str">
        <f t="shared" si="37"/>
        <v>Okay</v>
      </c>
      <c r="Y152" s="36">
        <f>IF(W152&lt;=0.25,W152,'10. Whatif Control pannel'!$B$2)</f>
        <v>0.131</v>
      </c>
      <c r="Z152" s="24">
        <v>16</v>
      </c>
      <c r="AA152" s="13">
        <f>(1+'10. Whatif Control pannel'!$B$10)*Z152</f>
        <v>19.2</v>
      </c>
      <c r="AB152" s="3">
        <f t="shared" si="38"/>
        <v>7901.50416</v>
      </c>
      <c r="AC152" s="3">
        <f t="shared" si="43"/>
        <v>10619.62159104</v>
      </c>
      <c r="AD152" s="3">
        <f t="shared" si="39"/>
        <v>12213.12</v>
      </c>
      <c r="AE152" s="3">
        <f t="shared" si="40"/>
        <v>-4311.61584</v>
      </c>
      <c r="AF152" s="3">
        <f t="shared" si="44"/>
        <v>-1593.49840896</v>
      </c>
      <c r="AG152">
        <f t="shared" si="41"/>
        <v>-0.545670261344266</v>
      </c>
    </row>
    <row r="153" spans="1:33">
      <c r="A153" t="s">
        <v>405</v>
      </c>
      <c r="B153" s="20">
        <v>45110</v>
      </c>
      <c r="C153" s="2">
        <f t="shared" si="30"/>
        <v>7</v>
      </c>
      <c r="D153" s="21">
        <f t="shared" si="42"/>
        <v>45110</v>
      </c>
      <c r="E153" s="19" t="str">
        <f t="shared" si="31"/>
        <v>Quarter 3</v>
      </c>
      <c r="F153" s="19">
        <v>45130</v>
      </c>
      <c r="G153" s="19">
        <f t="shared" si="32"/>
        <v>45130</v>
      </c>
      <c r="H153" s="22">
        <f t="shared" si="33"/>
        <v>20</v>
      </c>
      <c r="I153" t="str">
        <f t="shared" si="34"/>
        <v>Delayed </v>
      </c>
      <c r="J153" t="s">
        <v>16</v>
      </c>
      <c r="K153" t="s">
        <v>148</v>
      </c>
      <c r="L153" t="s">
        <v>149</v>
      </c>
      <c r="M153" t="s">
        <v>62</v>
      </c>
      <c r="N153" t="s">
        <v>55</v>
      </c>
      <c r="O153" t="s">
        <v>84</v>
      </c>
      <c r="P153" t="s">
        <v>57</v>
      </c>
      <c r="Q153" t="s">
        <v>406</v>
      </c>
      <c r="R153" s="3">
        <v>1001.96</v>
      </c>
      <c r="S153" s="3">
        <v>1254.95</v>
      </c>
      <c r="T153" s="3">
        <f t="shared" si="35"/>
        <v>1254.95</v>
      </c>
      <c r="U153" s="3">
        <f>(1+'10. Whatif Control pannel'!$B$6)*T153</f>
        <v>1405.544</v>
      </c>
      <c r="V153" s="3" t="str">
        <f t="shared" si="36"/>
        <v>Medium</v>
      </c>
      <c r="W153" s="34">
        <v>0.045</v>
      </c>
      <c r="X153" s="24" t="str">
        <f t="shared" si="37"/>
        <v>Okay</v>
      </c>
      <c r="Y153" s="36">
        <f>IF(W153&lt;=0.25,W153,'10. Whatif Control pannel'!$B$2)</f>
        <v>0.045</v>
      </c>
      <c r="Z153" s="24">
        <v>18</v>
      </c>
      <c r="AA153" s="13">
        <f>(1+'10. Whatif Control pannel'!$B$10)*Z153</f>
        <v>21.6</v>
      </c>
      <c r="AB153" s="3">
        <f t="shared" si="38"/>
        <v>21572.5905</v>
      </c>
      <c r="AC153" s="3">
        <f t="shared" si="43"/>
        <v>28993.561632</v>
      </c>
      <c r="AD153" s="3">
        <f t="shared" si="39"/>
        <v>18035.28</v>
      </c>
      <c r="AE153" s="3">
        <f t="shared" si="40"/>
        <v>3537.3105</v>
      </c>
      <c r="AF153" s="3">
        <f t="shared" si="44"/>
        <v>10958.281632</v>
      </c>
      <c r="AG153">
        <f t="shared" si="41"/>
        <v>0.163972449205857</v>
      </c>
    </row>
    <row r="154" spans="1:33">
      <c r="A154" t="s">
        <v>407</v>
      </c>
      <c r="B154" s="20">
        <v>45267</v>
      </c>
      <c r="C154" s="2">
        <f t="shared" si="30"/>
        <v>12</v>
      </c>
      <c r="D154" s="21">
        <f t="shared" si="42"/>
        <v>45267</v>
      </c>
      <c r="E154" s="19" t="str">
        <f t="shared" si="31"/>
        <v>Quarter 4</v>
      </c>
      <c r="F154" s="19">
        <v>45265</v>
      </c>
      <c r="G154" s="19">
        <f t="shared" si="32"/>
        <v>45274</v>
      </c>
      <c r="H154" s="22">
        <f t="shared" si="33"/>
        <v>7</v>
      </c>
      <c r="I154" t="str">
        <f t="shared" si="34"/>
        <v>Ontime</v>
      </c>
      <c r="J154" t="s">
        <v>45</v>
      </c>
      <c r="K154" t="s">
        <v>46</v>
      </c>
      <c r="L154" t="s">
        <v>214</v>
      </c>
      <c r="M154" t="s">
        <v>39</v>
      </c>
      <c r="N154" t="s">
        <v>40</v>
      </c>
      <c r="O154" t="s">
        <v>92</v>
      </c>
      <c r="P154" t="s">
        <v>30</v>
      </c>
      <c r="Q154" t="s">
        <v>408</v>
      </c>
      <c r="R154" s="3">
        <v>1097.59</v>
      </c>
      <c r="S154" s="3">
        <v>845.55</v>
      </c>
      <c r="T154" s="3">
        <f t="shared" si="35"/>
        <v>845.55</v>
      </c>
      <c r="U154" s="3">
        <f>(1+'10. Whatif Control pannel'!$B$6)*T154</f>
        <v>947.016</v>
      </c>
      <c r="V154" s="3" t="str">
        <f t="shared" si="36"/>
        <v>Low</v>
      </c>
      <c r="W154" s="34">
        <v>0.184</v>
      </c>
      <c r="X154" s="24" t="str">
        <f t="shared" si="37"/>
        <v>Okay</v>
      </c>
      <c r="Y154" s="36">
        <f>IF(W154&lt;=0.25,W154,'10. Whatif Control pannel'!$B$2)</f>
        <v>0.184</v>
      </c>
      <c r="Z154" s="24">
        <v>6</v>
      </c>
      <c r="AA154" s="13">
        <f>(1+'10. Whatif Control pannel'!$B$10)*Z154</f>
        <v>7.2</v>
      </c>
      <c r="AB154" s="3">
        <f t="shared" si="38"/>
        <v>4139.8128</v>
      </c>
      <c r="AC154" s="3">
        <f t="shared" si="43"/>
        <v>5563.9084032</v>
      </c>
      <c r="AD154" s="3">
        <f t="shared" si="39"/>
        <v>6585.54</v>
      </c>
      <c r="AE154" s="3">
        <f t="shared" si="40"/>
        <v>-2445.7272</v>
      </c>
      <c r="AF154" s="3">
        <f t="shared" si="44"/>
        <v>-1021.6315968</v>
      </c>
      <c r="AG154">
        <f t="shared" si="41"/>
        <v>-0.590782075943144</v>
      </c>
    </row>
    <row r="155" spans="1:33">
      <c r="A155" t="s">
        <v>409</v>
      </c>
      <c r="B155" s="20">
        <v>45340</v>
      </c>
      <c r="C155" s="2">
        <f t="shared" si="30"/>
        <v>2</v>
      </c>
      <c r="D155" s="21">
        <f t="shared" si="42"/>
        <v>45340</v>
      </c>
      <c r="E155" s="19" t="str">
        <f t="shared" si="31"/>
        <v>Quarter 1</v>
      </c>
      <c r="F155" s="19">
        <v>45355</v>
      </c>
      <c r="G155" s="19">
        <f t="shared" si="32"/>
        <v>45355</v>
      </c>
      <c r="H155" s="22">
        <f t="shared" si="33"/>
        <v>15</v>
      </c>
      <c r="I155" t="str">
        <f t="shared" si="34"/>
        <v>Delayed </v>
      </c>
      <c r="J155" t="s">
        <v>16</v>
      </c>
      <c r="K155" t="s">
        <v>17</v>
      </c>
      <c r="L155" t="s">
        <v>18</v>
      </c>
      <c r="M155" t="s">
        <v>27</v>
      </c>
      <c r="N155" t="s">
        <v>98</v>
      </c>
      <c r="O155" t="s">
        <v>95</v>
      </c>
      <c r="P155" t="s">
        <v>30</v>
      </c>
      <c r="Q155" t="s">
        <v>410</v>
      </c>
      <c r="R155" s="3">
        <v>928.68</v>
      </c>
      <c r="S155" s="3">
        <v>2145.17</v>
      </c>
      <c r="T155" s="3">
        <f t="shared" si="35"/>
        <v>2145.17</v>
      </c>
      <c r="U155" s="3">
        <f>(1+'10. Whatif Control pannel'!$B$6)*T155</f>
        <v>2402.5904</v>
      </c>
      <c r="V155" s="3" t="str">
        <f t="shared" si="36"/>
        <v>High</v>
      </c>
      <c r="W155" s="34">
        <v>0.136</v>
      </c>
      <c r="X155" s="24" t="str">
        <f t="shared" si="37"/>
        <v>Okay</v>
      </c>
      <c r="Y155" s="36">
        <f>IF(W155&lt;=0.25,W155,'10. Whatif Control pannel'!$B$2)</f>
        <v>0.136</v>
      </c>
      <c r="Z155" s="24">
        <v>16</v>
      </c>
      <c r="AA155" s="13">
        <f>(1+'10. Whatif Control pannel'!$B$10)*Z155</f>
        <v>19.2</v>
      </c>
      <c r="AB155" s="3">
        <f t="shared" si="38"/>
        <v>29654.83008</v>
      </c>
      <c r="AC155" s="3">
        <f t="shared" si="43"/>
        <v>39856.09162752</v>
      </c>
      <c r="AD155" s="3">
        <f t="shared" si="39"/>
        <v>14858.88</v>
      </c>
      <c r="AE155" s="3">
        <f t="shared" si="40"/>
        <v>14795.95008</v>
      </c>
      <c r="AF155" s="3">
        <f t="shared" si="44"/>
        <v>24997.21162752</v>
      </c>
      <c r="AG155">
        <f t="shared" si="41"/>
        <v>0.498938960030622</v>
      </c>
    </row>
    <row r="156" spans="1:33">
      <c r="A156" t="s">
        <v>411</v>
      </c>
      <c r="B156" s="20">
        <v>45230</v>
      </c>
      <c r="C156" s="2">
        <f t="shared" si="30"/>
        <v>10</v>
      </c>
      <c r="D156" s="21">
        <f t="shared" si="42"/>
        <v>45230</v>
      </c>
      <c r="E156" s="19" t="str">
        <f t="shared" si="31"/>
        <v>Quarter 4</v>
      </c>
      <c r="F156" s="19">
        <v>45232</v>
      </c>
      <c r="G156" s="19">
        <f t="shared" si="32"/>
        <v>45232</v>
      </c>
      <c r="H156" s="22">
        <f t="shared" si="33"/>
        <v>2</v>
      </c>
      <c r="I156" t="str">
        <f t="shared" si="34"/>
        <v>Ontime</v>
      </c>
      <c r="J156" t="s">
        <v>16</v>
      </c>
      <c r="K156" t="s">
        <v>17</v>
      </c>
      <c r="L156" t="s">
        <v>18</v>
      </c>
      <c r="M156" t="s">
        <v>27</v>
      </c>
      <c r="N156" t="s">
        <v>20</v>
      </c>
      <c r="O156" t="s">
        <v>68</v>
      </c>
      <c r="P156" t="s">
        <v>81</v>
      </c>
      <c r="Q156" t="s">
        <v>412</v>
      </c>
      <c r="R156" s="3">
        <v>867.89</v>
      </c>
      <c r="S156" s="3">
        <v>1349.94</v>
      </c>
      <c r="T156" s="3">
        <f t="shared" si="35"/>
        <v>1349.94</v>
      </c>
      <c r="U156" s="3">
        <f>(1+'10. Whatif Control pannel'!$B$6)*T156</f>
        <v>1511.9328</v>
      </c>
      <c r="V156" s="3" t="str">
        <f t="shared" si="36"/>
        <v>Medium</v>
      </c>
      <c r="W156" s="34">
        <v>0.184</v>
      </c>
      <c r="X156" s="24" t="str">
        <f t="shared" si="37"/>
        <v>Okay</v>
      </c>
      <c r="Y156" s="36">
        <f>IF(W156&lt;=0.25,W156,'10. Whatif Control pannel'!$B$2)</f>
        <v>0.184</v>
      </c>
      <c r="Z156" s="24">
        <v>10</v>
      </c>
      <c r="AA156" s="13">
        <f>(1+'10. Whatif Control pannel'!$B$10)*Z156</f>
        <v>12</v>
      </c>
      <c r="AB156" s="3">
        <f t="shared" si="38"/>
        <v>11015.5104</v>
      </c>
      <c r="AC156" s="3">
        <f t="shared" si="43"/>
        <v>14804.8459776</v>
      </c>
      <c r="AD156" s="3">
        <f t="shared" si="39"/>
        <v>8678.9</v>
      </c>
      <c r="AE156" s="3">
        <f t="shared" si="40"/>
        <v>2336.6104</v>
      </c>
      <c r="AF156" s="3">
        <f t="shared" si="44"/>
        <v>6125.9459776</v>
      </c>
      <c r="AG156">
        <f t="shared" si="41"/>
        <v>0.212120030316526</v>
      </c>
    </row>
    <row r="157" spans="1:33">
      <c r="A157" t="s">
        <v>413</v>
      </c>
      <c r="B157" s="20">
        <v>45511</v>
      </c>
      <c r="C157" s="2">
        <f t="shared" si="30"/>
        <v>8</v>
      </c>
      <c r="D157" s="21">
        <f t="shared" si="42"/>
        <v>45511</v>
      </c>
      <c r="E157" s="19" t="str">
        <f t="shared" si="31"/>
        <v>Quarter 3</v>
      </c>
      <c r="F157" s="19">
        <v>45521</v>
      </c>
      <c r="G157" s="19">
        <f t="shared" si="32"/>
        <v>45521</v>
      </c>
      <c r="H157" s="22">
        <f t="shared" si="33"/>
        <v>10</v>
      </c>
      <c r="I157" t="str">
        <f t="shared" si="34"/>
        <v>Delayed </v>
      </c>
      <c r="J157" t="s">
        <v>45</v>
      </c>
      <c r="K157" t="s">
        <v>46</v>
      </c>
      <c r="L157" t="s">
        <v>47</v>
      </c>
      <c r="M157" t="s">
        <v>48</v>
      </c>
      <c r="N157" t="s">
        <v>28</v>
      </c>
      <c r="O157" t="s">
        <v>95</v>
      </c>
      <c r="P157" t="s">
        <v>35</v>
      </c>
      <c r="Q157" t="s">
        <v>414</v>
      </c>
      <c r="R157" s="3">
        <v>436.58</v>
      </c>
      <c r="S157" s="3">
        <v>527.48</v>
      </c>
      <c r="T157" s="3">
        <f t="shared" si="35"/>
        <v>527.48</v>
      </c>
      <c r="U157" s="3">
        <f>(1+'10. Whatif Control pannel'!$B$6)*T157</f>
        <v>590.7776</v>
      </c>
      <c r="V157" s="3" t="str">
        <f t="shared" si="36"/>
        <v>Low</v>
      </c>
      <c r="W157" s="34">
        <v>0.111</v>
      </c>
      <c r="X157" s="24" t="str">
        <f t="shared" si="37"/>
        <v>Okay</v>
      </c>
      <c r="Y157" s="36">
        <f>IF(W157&lt;=0.25,W157,'10. Whatif Control pannel'!$B$2)</f>
        <v>0.111</v>
      </c>
      <c r="Z157" s="24">
        <v>19</v>
      </c>
      <c r="AA157" s="13">
        <f>(1+'10. Whatif Control pannel'!$B$10)*Z157</f>
        <v>22.8</v>
      </c>
      <c r="AB157" s="3">
        <f t="shared" si="38"/>
        <v>8909.66468</v>
      </c>
      <c r="AC157" s="3">
        <f t="shared" si="43"/>
        <v>11974.58932992</v>
      </c>
      <c r="AD157" s="3">
        <f t="shared" si="39"/>
        <v>8295.02</v>
      </c>
      <c r="AE157" s="3">
        <f t="shared" si="40"/>
        <v>614.644680000001</v>
      </c>
      <c r="AF157" s="3">
        <f t="shared" si="44"/>
        <v>3679.56932992</v>
      </c>
      <c r="AG157">
        <f t="shared" si="41"/>
        <v>0.0689862864738026</v>
      </c>
    </row>
    <row r="158" spans="1:33">
      <c r="A158" t="s">
        <v>415</v>
      </c>
      <c r="B158" s="20">
        <v>45323</v>
      </c>
      <c r="C158" s="2">
        <f t="shared" si="30"/>
        <v>2</v>
      </c>
      <c r="D158" s="21">
        <f t="shared" si="42"/>
        <v>45323</v>
      </c>
      <c r="E158" s="19" t="str">
        <f t="shared" si="31"/>
        <v>Quarter 1</v>
      </c>
      <c r="F158" s="19">
        <v>45343</v>
      </c>
      <c r="G158" s="19">
        <f t="shared" si="32"/>
        <v>45343</v>
      </c>
      <c r="H158" s="22">
        <f t="shared" si="33"/>
        <v>20</v>
      </c>
      <c r="I158" t="str">
        <f t="shared" si="34"/>
        <v>Delayed </v>
      </c>
      <c r="J158" t="s">
        <v>78</v>
      </c>
      <c r="K158" t="s">
        <v>90</v>
      </c>
      <c r="L158" t="s">
        <v>217</v>
      </c>
      <c r="M158" t="s">
        <v>62</v>
      </c>
      <c r="N158" t="s">
        <v>40</v>
      </c>
      <c r="O158" t="s">
        <v>75</v>
      </c>
      <c r="P158" t="s">
        <v>35</v>
      </c>
      <c r="Q158" t="s">
        <v>416</v>
      </c>
      <c r="R158" s="3">
        <v>656.2</v>
      </c>
      <c r="S158" s="3">
        <v>1467.17</v>
      </c>
      <c r="T158" s="3">
        <f t="shared" si="35"/>
        <v>1467.17</v>
      </c>
      <c r="U158" s="3">
        <f>(1+'10. Whatif Control pannel'!$B$6)*T158</f>
        <v>1643.2304</v>
      </c>
      <c r="V158" s="3" t="str">
        <f t="shared" si="36"/>
        <v>Medium</v>
      </c>
      <c r="W158" s="34">
        <v>0.018</v>
      </c>
      <c r="X158" s="24" t="str">
        <f t="shared" si="37"/>
        <v>Okay</v>
      </c>
      <c r="Y158" s="36">
        <f>IF(W158&lt;=0.25,W158,'10. Whatif Control pannel'!$B$2)</f>
        <v>0.018</v>
      </c>
      <c r="Z158" s="24">
        <v>5</v>
      </c>
      <c r="AA158" s="13">
        <f>(1+'10. Whatif Control pannel'!$B$10)*Z158</f>
        <v>6</v>
      </c>
      <c r="AB158" s="3">
        <f t="shared" si="38"/>
        <v>7203.8047</v>
      </c>
      <c r="AC158" s="3">
        <f t="shared" si="43"/>
        <v>9681.9135168</v>
      </c>
      <c r="AD158" s="3">
        <f t="shared" si="39"/>
        <v>3281</v>
      </c>
      <c r="AE158" s="3">
        <f t="shared" si="40"/>
        <v>3922.8047</v>
      </c>
      <c r="AF158" s="3">
        <f t="shared" si="44"/>
        <v>6400.9135168</v>
      </c>
      <c r="AG158">
        <f t="shared" si="41"/>
        <v>0.544546231243609</v>
      </c>
    </row>
    <row r="159" spans="1:33">
      <c r="A159" t="s">
        <v>417</v>
      </c>
      <c r="B159" s="20">
        <v>45531</v>
      </c>
      <c r="C159" s="2">
        <f t="shared" si="30"/>
        <v>8</v>
      </c>
      <c r="D159" s="21">
        <f t="shared" si="42"/>
        <v>45531</v>
      </c>
      <c r="E159" s="19" t="str">
        <f t="shared" si="31"/>
        <v>Quarter 3</v>
      </c>
      <c r="F159" s="19">
        <v>45553</v>
      </c>
      <c r="G159" s="19">
        <f t="shared" si="32"/>
        <v>45553</v>
      </c>
      <c r="H159" s="22">
        <f t="shared" si="33"/>
        <v>22</v>
      </c>
      <c r="I159" t="str">
        <f t="shared" si="34"/>
        <v>Delayed </v>
      </c>
      <c r="J159" t="s">
        <v>45</v>
      </c>
      <c r="K159" t="s">
        <v>60</v>
      </c>
      <c r="L159" t="s">
        <v>141</v>
      </c>
      <c r="M159" t="s">
        <v>48</v>
      </c>
      <c r="N159" t="s">
        <v>98</v>
      </c>
      <c r="O159" t="s">
        <v>56</v>
      </c>
      <c r="P159" t="s">
        <v>22</v>
      </c>
      <c r="Q159" t="s">
        <v>418</v>
      </c>
      <c r="R159" s="3">
        <v>896.75</v>
      </c>
      <c r="S159" s="3">
        <v>1651.14</v>
      </c>
      <c r="T159" s="3">
        <f t="shared" si="35"/>
        <v>1651.14</v>
      </c>
      <c r="U159" s="3">
        <f>(1+'10. Whatif Control pannel'!$B$6)*T159</f>
        <v>1849.2768</v>
      </c>
      <c r="V159" s="3" t="str">
        <f t="shared" si="36"/>
        <v>High</v>
      </c>
      <c r="W159" s="34">
        <v>0.025</v>
      </c>
      <c r="X159" s="24" t="str">
        <f t="shared" si="37"/>
        <v>Okay</v>
      </c>
      <c r="Y159" s="36">
        <f>IF(W159&lt;=0.25,W159,'10. Whatif Control pannel'!$B$2)</f>
        <v>0.025</v>
      </c>
      <c r="Z159" s="24">
        <v>15</v>
      </c>
      <c r="AA159" s="13">
        <f>(1+'10. Whatif Control pannel'!$B$10)*Z159</f>
        <v>18</v>
      </c>
      <c r="AB159" s="3">
        <f t="shared" si="38"/>
        <v>24147.9225</v>
      </c>
      <c r="AC159" s="3">
        <f t="shared" si="43"/>
        <v>32454.80784</v>
      </c>
      <c r="AD159" s="3">
        <f t="shared" si="39"/>
        <v>13451.25</v>
      </c>
      <c r="AE159" s="3">
        <f t="shared" si="40"/>
        <v>10696.6725</v>
      </c>
      <c r="AF159" s="3">
        <f t="shared" si="44"/>
        <v>19003.55784</v>
      </c>
      <c r="AG159">
        <f t="shared" si="41"/>
        <v>0.442964503468156</v>
      </c>
    </row>
    <row r="160" spans="1:33">
      <c r="A160" t="s">
        <v>419</v>
      </c>
      <c r="B160" s="20">
        <v>45703</v>
      </c>
      <c r="C160" s="2">
        <f t="shared" si="30"/>
        <v>2</v>
      </c>
      <c r="D160" s="21">
        <f t="shared" si="42"/>
        <v>45703</v>
      </c>
      <c r="E160" s="19" t="str">
        <f t="shared" si="31"/>
        <v>Quarter 1</v>
      </c>
      <c r="F160" s="19">
        <v>45703</v>
      </c>
      <c r="G160" s="19">
        <f t="shared" si="32"/>
        <v>45703</v>
      </c>
      <c r="H160" s="22">
        <f t="shared" si="33"/>
        <v>0</v>
      </c>
      <c r="I160" t="str">
        <f t="shared" si="34"/>
        <v>Ontime</v>
      </c>
      <c r="J160" t="s">
        <v>78</v>
      </c>
      <c r="K160" t="s">
        <v>79</v>
      </c>
      <c r="L160" t="s">
        <v>335</v>
      </c>
      <c r="M160" t="s">
        <v>62</v>
      </c>
      <c r="N160" t="s">
        <v>40</v>
      </c>
      <c r="O160" t="s">
        <v>49</v>
      </c>
      <c r="P160" t="s">
        <v>81</v>
      </c>
      <c r="Q160" t="s">
        <v>420</v>
      </c>
      <c r="R160" s="3">
        <v>815.83</v>
      </c>
      <c r="S160" s="3">
        <v>1982.18</v>
      </c>
      <c r="T160" s="3">
        <f t="shared" si="35"/>
        <v>1982.18</v>
      </c>
      <c r="U160" s="3">
        <f>(1+'10. Whatif Control pannel'!$B$6)*T160</f>
        <v>2220.0416</v>
      </c>
      <c r="V160" s="3" t="str">
        <f t="shared" si="36"/>
        <v>High</v>
      </c>
      <c r="W160" s="34">
        <v>0.127</v>
      </c>
      <c r="X160" s="24" t="str">
        <f t="shared" si="37"/>
        <v>Okay</v>
      </c>
      <c r="Y160" s="36">
        <f>IF(W160&lt;=0.25,W160,'10. Whatif Control pannel'!$B$2)</f>
        <v>0.127</v>
      </c>
      <c r="Z160" s="24">
        <v>6</v>
      </c>
      <c r="AA160" s="13">
        <f>(1+'10. Whatif Control pannel'!$B$10)*Z160</f>
        <v>7.2</v>
      </c>
      <c r="AB160" s="3">
        <f t="shared" si="38"/>
        <v>10382.65884</v>
      </c>
      <c r="AC160" s="3">
        <f t="shared" si="43"/>
        <v>13954.29348096</v>
      </c>
      <c r="AD160" s="3">
        <f t="shared" si="39"/>
        <v>4894.98</v>
      </c>
      <c r="AE160" s="3">
        <f t="shared" si="40"/>
        <v>5487.67884</v>
      </c>
      <c r="AF160" s="3">
        <f t="shared" si="44"/>
        <v>9059.31348096</v>
      </c>
      <c r="AG160">
        <f t="shared" si="41"/>
        <v>0.528542729234085</v>
      </c>
    </row>
    <row r="161" spans="1:33">
      <c r="A161" t="s">
        <v>421</v>
      </c>
      <c r="B161" s="20">
        <v>45870</v>
      </c>
      <c r="C161" s="2">
        <f t="shared" si="30"/>
        <v>8</v>
      </c>
      <c r="D161" s="21">
        <f t="shared" si="42"/>
        <v>45870</v>
      </c>
      <c r="E161" s="19" t="str">
        <f t="shared" si="31"/>
        <v>Quarter 3</v>
      </c>
      <c r="F161" s="19">
        <v>45890</v>
      </c>
      <c r="G161" s="19">
        <f t="shared" si="32"/>
        <v>45890</v>
      </c>
      <c r="H161" s="22">
        <f t="shared" si="33"/>
        <v>20</v>
      </c>
      <c r="I161" t="str">
        <f t="shared" si="34"/>
        <v>Delayed </v>
      </c>
      <c r="J161" t="s">
        <v>45</v>
      </c>
      <c r="K161" t="s">
        <v>116</v>
      </c>
      <c r="L161" t="s">
        <v>162</v>
      </c>
      <c r="M161" t="s">
        <v>19</v>
      </c>
      <c r="N161" t="s">
        <v>98</v>
      </c>
      <c r="O161" t="s">
        <v>34</v>
      </c>
      <c r="P161" t="s">
        <v>42</v>
      </c>
      <c r="Q161" t="s">
        <v>422</v>
      </c>
      <c r="R161" s="3">
        <v>1220.41</v>
      </c>
      <c r="S161" s="3">
        <v>2552.22</v>
      </c>
      <c r="T161" s="3">
        <f t="shared" si="35"/>
        <v>2552.22</v>
      </c>
      <c r="U161" s="3">
        <f>(1+'10. Whatif Control pannel'!$B$6)*T161</f>
        <v>2858.4864</v>
      </c>
      <c r="V161" s="3" t="str">
        <f t="shared" si="36"/>
        <v>High</v>
      </c>
      <c r="W161" s="34">
        <v>0.181</v>
      </c>
      <c r="X161" s="24" t="str">
        <f t="shared" si="37"/>
        <v>Okay</v>
      </c>
      <c r="Y161" s="36">
        <f>IF(W161&lt;=0.25,W161,'10. Whatif Control pannel'!$B$2)</f>
        <v>0.181</v>
      </c>
      <c r="Z161" s="24">
        <v>14</v>
      </c>
      <c r="AA161" s="13">
        <f>(1+'10. Whatif Control pannel'!$B$10)*Z161</f>
        <v>16.8</v>
      </c>
      <c r="AB161" s="3">
        <f t="shared" si="38"/>
        <v>29263.75452</v>
      </c>
      <c r="AC161" s="3">
        <f t="shared" si="43"/>
        <v>39330.48607488</v>
      </c>
      <c r="AD161" s="3">
        <f t="shared" si="39"/>
        <v>17085.74</v>
      </c>
      <c r="AE161" s="3">
        <f t="shared" si="40"/>
        <v>12178.01452</v>
      </c>
      <c r="AF161" s="3">
        <f t="shared" si="44"/>
        <v>22244.74607488</v>
      </c>
      <c r="AG161">
        <f t="shared" si="41"/>
        <v>0.416146687933603</v>
      </c>
    </row>
    <row r="162" spans="1:33">
      <c r="A162" t="s">
        <v>423</v>
      </c>
      <c r="B162" s="20">
        <v>44977</v>
      </c>
      <c r="C162" s="2">
        <f t="shared" si="30"/>
        <v>2</v>
      </c>
      <c r="D162" s="21">
        <f t="shared" si="42"/>
        <v>44977</v>
      </c>
      <c r="E162" s="19" t="str">
        <f t="shared" si="31"/>
        <v>Quarter 1</v>
      </c>
      <c r="F162" s="19">
        <v>44989</v>
      </c>
      <c r="G162" s="19">
        <f t="shared" si="32"/>
        <v>44989</v>
      </c>
      <c r="H162" s="22">
        <f t="shared" si="33"/>
        <v>12</v>
      </c>
      <c r="I162" t="str">
        <f t="shared" si="34"/>
        <v>Delayed </v>
      </c>
      <c r="J162" t="s">
        <v>45</v>
      </c>
      <c r="K162" t="s">
        <v>60</v>
      </c>
      <c r="L162" t="s">
        <v>141</v>
      </c>
      <c r="M162" t="s">
        <v>48</v>
      </c>
      <c r="N162" t="s">
        <v>55</v>
      </c>
      <c r="O162" t="s">
        <v>110</v>
      </c>
      <c r="P162" t="s">
        <v>64</v>
      </c>
      <c r="Q162" t="s">
        <v>424</v>
      </c>
      <c r="R162" s="3">
        <v>299.75</v>
      </c>
      <c r="S162" s="3">
        <v>523.01</v>
      </c>
      <c r="T162" s="3">
        <f t="shared" si="35"/>
        <v>523.01</v>
      </c>
      <c r="U162" s="3">
        <f>(1+'10. Whatif Control pannel'!$B$6)*T162</f>
        <v>585.7712</v>
      </c>
      <c r="V162" s="3" t="str">
        <f t="shared" si="36"/>
        <v>Low</v>
      </c>
      <c r="W162" s="34">
        <v>0.157</v>
      </c>
      <c r="X162" s="24" t="str">
        <f t="shared" si="37"/>
        <v>Okay</v>
      </c>
      <c r="Y162" s="36">
        <f>IF(W162&lt;=0.25,W162,'10. Whatif Control pannel'!$B$2)</f>
        <v>0.157</v>
      </c>
      <c r="Z162" s="24">
        <v>50</v>
      </c>
      <c r="AA162" s="13">
        <f>(1+'10. Whatif Control pannel'!$B$10)*Z162</f>
        <v>60</v>
      </c>
      <c r="AB162" s="3">
        <f t="shared" si="38"/>
        <v>22044.8715</v>
      </c>
      <c r="AC162" s="3">
        <f t="shared" si="43"/>
        <v>29628.307296</v>
      </c>
      <c r="AD162" s="3">
        <f t="shared" si="39"/>
        <v>14987.5</v>
      </c>
      <c r="AE162" s="3">
        <f t="shared" si="40"/>
        <v>7057.3715</v>
      </c>
      <c r="AF162" s="3">
        <f t="shared" si="44"/>
        <v>14640.807296</v>
      </c>
      <c r="AG162">
        <f t="shared" si="41"/>
        <v>0.320136658542101</v>
      </c>
    </row>
    <row r="163" spans="1:33">
      <c r="A163" t="s">
        <v>425</v>
      </c>
      <c r="B163" s="20">
        <v>45595</v>
      </c>
      <c r="C163" s="2">
        <f t="shared" si="30"/>
        <v>10</v>
      </c>
      <c r="D163" s="21">
        <f t="shared" si="42"/>
        <v>45595</v>
      </c>
      <c r="E163" s="19" t="str">
        <f t="shared" si="31"/>
        <v>Quarter 4</v>
      </c>
      <c r="F163" s="19">
        <v>45620</v>
      </c>
      <c r="G163" s="19">
        <f t="shared" si="32"/>
        <v>45620</v>
      </c>
      <c r="H163" s="22">
        <f t="shared" si="33"/>
        <v>25</v>
      </c>
      <c r="I163" t="str">
        <f t="shared" si="34"/>
        <v>Delayed </v>
      </c>
      <c r="J163" t="s">
        <v>45</v>
      </c>
      <c r="K163" t="s">
        <v>116</v>
      </c>
      <c r="L163" t="s">
        <v>117</v>
      </c>
      <c r="M163" t="s">
        <v>62</v>
      </c>
      <c r="N163" t="s">
        <v>28</v>
      </c>
      <c r="O163" t="s">
        <v>63</v>
      </c>
      <c r="P163" t="s">
        <v>22</v>
      </c>
      <c r="Q163" t="s">
        <v>426</v>
      </c>
      <c r="R163" s="3">
        <v>811.05</v>
      </c>
      <c r="S163" s="3">
        <v>1217.71</v>
      </c>
      <c r="T163" s="3">
        <f t="shared" si="35"/>
        <v>1217.71</v>
      </c>
      <c r="U163" s="3">
        <f>(1+'10. Whatif Control pannel'!$B$6)*T163</f>
        <v>1363.8352</v>
      </c>
      <c r="V163" s="3" t="str">
        <f t="shared" si="36"/>
        <v>Medium</v>
      </c>
      <c r="W163" s="34">
        <v>0.072</v>
      </c>
      <c r="X163" s="24" t="str">
        <f t="shared" si="37"/>
        <v>Okay</v>
      </c>
      <c r="Y163" s="36">
        <f>IF(W163&lt;=0.25,W163,'10. Whatif Control pannel'!$B$2)</f>
        <v>0.072</v>
      </c>
      <c r="Z163" s="24">
        <v>5</v>
      </c>
      <c r="AA163" s="13">
        <f>(1+'10. Whatif Control pannel'!$B$10)*Z163</f>
        <v>6</v>
      </c>
      <c r="AB163" s="3">
        <f t="shared" si="38"/>
        <v>5650.1744</v>
      </c>
      <c r="AC163" s="3">
        <f t="shared" si="43"/>
        <v>7593.8343936</v>
      </c>
      <c r="AD163" s="3">
        <f t="shared" si="39"/>
        <v>4055.25</v>
      </c>
      <c r="AE163" s="3">
        <f t="shared" si="40"/>
        <v>1594.9244</v>
      </c>
      <c r="AF163" s="3">
        <f t="shared" si="44"/>
        <v>3538.5843936</v>
      </c>
      <c r="AG163">
        <f t="shared" si="41"/>
        <v>0.282278791252886</v>
      </c>
    </row>
    <row r="164" spans="1:33">
      <c r="A164" t="s">
        <v>427</v>
      </c>
      <c r="B164" s="20">
        <v>45385</v>
      </c>
      <c r="C164" s="2">
        <f t="shared" si="30"/>
        <v>4</v>
      </c>
      <c r="D164" s="21">
        <f t="shared" si="42"/>
        <v>45385</v>
      </c>
      <c r="E164" s="19" t="str">
        <f t="shared" si="31"/>
        <v>Quarter 2</v>
      </c>
      <c r="F164" s="19">
        <v>45389</v>
      </c>
      <c r="G164" s="19">
        <f t="shared" si="32"/>
        <v>45389</v>
      </c>
      <c r="H164" s="22">
        <f t="shared" si="33"/>
        <v>4</v>
      </c>
      <c r="I164" t="str">
        <f t="shared" si="34"/>
        <v>Ontime</v>
      </c>
      <c r="J164" t="s">
        <v>52</v>
      </c>
      <c r="K164" t="s">
        <v>73</v>
      </c>
      <c r="L164" t="s">
        <v>87</v>
      </c>
      <c r="M164" t="s">
        <v>39</v>
      </c>
      <c r="N164" t="s">
        <v>98</v>
      </c>
      <c r="O164" t="s">
        <v>126</v>
      </c>
      <c r="P164" t="s">
        <v>42</v>
      </c>
      <c r="Q164" t="s">
        <v>428</v>
      </c>
      <c r="R164" s="3">
        <v>1023.27</v>
      </c>
      <c r="S164" s="3">
        <v>1343.64</v>
      </c>
      <c r="T164" s="3">
        <f t="shared" si="35"/>
        <v>1343.64</v>
      </c>
      <c r="U164" s="3">
        <f>(1+'10. Whatif Control pannel'!$B$6)*T164</f>
        <v>1504.8768</v>
      </c>
      <c r="V164" s="3" t="str">
        <f t="shared" si="36"/>
        <v>Medium</v>
      </c>
      <c r="W164" s="34">
        <v>0.133</v>
      </c>
      <c r="X164" s="24" t="str">
        <f t="shared" si="37"/>
        <v>Okay</v>
      </c>
      <c r="Y164" s="36">
        <f>IF(W164&lt;=0.25,W164,'10. Whatif Control pannel'!$B$2)</f>
        <v>0.133</v>
      </c>
      <c r="Z164" s="24">
        <v>7</v>
      </c>
      <c r="AA164" s="13">
        <f>(1+'10. Whatif Control pannel'!$B$10)*Z164</f>
        <v>8.4</v>
      </c>
      <c r="AB164" s="3">
        <f t="shared" si="38"/>
        <v>8154.55116</v>
      </c>
      <c r="AC164" s="3">
        <f t="shared" si="43"/>
        <v>10959.71675904</v>
      </c>
      <c r="AD164" s="3">
        <f t="shared" si="39"/>
        <v>7162.89</v>
      </c>
      <c r="AE164" s="3">
        <f t="shared" si="40"/>
        <v>991.661160000001</v>
      </c>
      <c r="AF164" s="3">
        <f t="shared" si="44"/>
        <v>3796.82675904</v>
      </c>
      <c r="AG164">
        <f t="shared" si="41"/>
        <v>0.121608306888101</v>
      </c>
    </row>
    <row r="165" spans="1:33">
      <c r="A165" t="s">
        <v>429</v>
      </c>
      <c r="B165" s="20">
        <v>45010</v>
      </c>
      <c r="C165" s="2">
        <f t="shared" si="30"/>
        <v>3</v>
      </c>
      <c r="D165" s="21">
        <f t="shared" si="42"/>
        <v>45010</v>
      </c>
      <c r="E165" s="19" t="str">
        <f t="shared" si="31"/>
        <v>Quarter 1</v>
      </c>
      <c r="F165" s="19">
        <v>45011</v>
      </c>
      <c r="G165" s="19">
        <f t="shared" si="32"/>
        <v>45011</v>
      </c>
      <c r="H165" s="22">
        <f t="shared" si="33"/>
        <v>1</v>
      </c>
      <c r="I165" t="str">
        <f t="shared" si="34"/>
        <v>Ontime</v>
      </c>
      <c r="J165" t="s">
        <v>45</v>
      </c>
      <c r="K165" t="s">
        <v>46</v>
      </c>
      <c r="L165" t="s">
        <v>47</v>
      </c>
      <c r="M165" t="s">
        <v>62</v>
      </c>
      <c r="N165" t="s">
        <v>55</v>
      </c>
      <c r="O165" t="s">
        <v>34</v>
      </c>
      <c r="P165" t="s">
        <v>64</v>
      </c>
      <c r="Q165" t="s">
        <v>430</v>
      </c>
      <c r="R165" s="3">
        <v>135.12</v>
      </c>
      <c r="S165" s="3">
        <v>301.7</v>
      </c>
      <c r="T165" s="3">
        <f t="shared" si="35"/>
        <v>301.7</v>
      </c>
      <c r="U165" s="3">
        <f>(1+'10. Whatif Control pannel'!$B$6)*T165</f>
        <v>337.904</v>
      </c>
      <c r="V165" s="3" t="str">
        <f t="shared" si="36"/>
        <v>Low</v>
      </c>
      <c r="W165" s="34">
        <v>0.14</v>
      </c>
      <c r="X165" s="24" t="str">
        <f t="shared" si="37"/>
        <v>Okay</v>
      </c>
      <c r="Y165" s="36">
        <f>IF(W165&lt;=0.25,W165,'10. Whatif Control pannel'!$B$2)</f>
        <v>0.14</v>
      </c>
      <c r="Z165" s="24">
        <v>47</v>
      </c>
      <c r="AA165" s="13">
        <f>(1+'10. Whatif Control pannel'!$B$10)*Z165</f>
        <v>56.4</v>
      </c>
      <c r="AB165" s="3">
        <f t="shared" si="38"/>
        <v>12194.714</v>
      </c>
      <c r="AC165" s="3">
        <f t="shared" si="43"/>
        <v>16389.695616</v>
      </c>
      <c r="AD165" s="3">
        <f t="shared" si="39"/>
        <v>6350.64</v>
      </c>
      <c r="AE165" s="3">
        <f t="shared" si="40"/>
        <v>5844.074</v>
      </c>
      <c r="AF165" s="3">
        <f t="shared" si="44"/>
        <v>10039.055616</v>
      </c>
      <c r="AG165">
        <f t="shared" si="41"/>
        <v>0.479230099205279</v>
      </c>
    </row>
    <row r="166" spans="1:33">
      <c r="A166" t="s">
        <v>431</v>
      </c>
      <c r="B166" s="20">
        <v>45447</v>
      </c>
      <c r="C166" s="2">
        <f t="shared" si="30"/>
        <v>6</v>
      </c>
      <c r="D166" s="21">
        <f t="shared" si="42"/>
        <v>45447</v>
      </c>
      <c r="E166" s="19" t="str">
        <f t="shared" si="31"/>
        <v>Quarter 2</v>
      </c>
      <c r="F166" s="19">
        <v>45459</v>
      </c>
      <c r="G166" s="19">
        <f t="shared" si="32"/>
        <v>45459</v>
      </c>
      <c r="H166" s="22">
        <f t="shared" si="33"/>
        <v>12</v>
      </c>
      <c r="I166" t="str">
        <f t="shared" si="34"/>
        <v>Delayed </v>
      </c>
      <c r="J166" t="s">
        <v>45</v>
      </c>
      <c r="K166" t="s">
        <v>116</v>
      </c>
      <c r="L166" t="s">
        <v>162</v>
      </c>
      <c r="M166" t="s">
        <v>19</v>
      </c>
      <c r="N166" t="s">
        <v>20</v>
      </c>
      <c r="O166" t="s">
        <v>29</v>
      </c>
      <c r="P166" t="s">
        <v>30</v>
      </c>
      <c r="Q166" t="s">
        <v>432</v>
      </c>
      <c r="R166" s="3">
        <v>918.42</v>
      </c>
      <c r="S166" s="3">
        <v>1511.71</v>
      </c>
      <c r="T166" s="3">
        <f t="shared" si="35"/>
        <v>1511.71</v>
      </c>
      <c r="U166" s="3">
        <f>(1+'10. Whatif Control pannel'!$B$6)*T166</f>
        <v>1693.1152</v>
      </c>
      <c r="V166" s="3" t="str">
        <f t="shared" si="36"/>
        <v>Medium</v>
      </c>
      <c r="W166" s="34">
        <v>0.02</v>
      </c>
      <c r="X166" s="24" t="str">
        <f t="shared" si="37"/>
        <v>Okay</v>
      </c>
      <c r="Y166" s="36">
        <f>IF(W166&lt;=0.25,W166,'10. Whatif Control pannel'!$B$2)</f>
        <v>0.02</v>
      </c>
      <c r="Z166" s="24">
        <v>8</v>
      </c>
      <c r="AA166" s="13">
        <f>(1+'10. Whatif Control pannel'!$B$10)*Z166</f>
        <v>9.6</v>
      </c>
      <c r="AB166" s="3">
        <f t="shared" si="38"/>
        <v>11851.8064</v>
      </c>
      <c r="AC166" s="3">
        <f t="shared" si="43"/>
        <v>15928.8278016</v>
      </c>
      <c r="AD166" s="3">
        <f t="shared" si="39"/>
        <v>7347.36</v>
      </c>
      <c r="AE166" s="3">
        <f t="shared" si="40"/>
        <v>4504.4464</v>
      </c>
      <c r="AF166" s="3">
        <f t="shared" si="44"/>
        <v>8581.4678016</v>
      </c>
      <c r="AG166">
        <f t="shared" si="41"/>
        <v>0.38006412254591</v>
      </c>
    </row>
    <row r="167" spans="1:33">
      <c r="A167" t="s">
        <v>433</v>
      </c>
      <c r="B167" s="20">
        <v>44976</v>
      </c>
      <c r="C167" s="2">
        <f t="shared" si="30"/>
        <v>2</v>
      </c>
      <c r="D167" s="21">
        <f t="shared" si="42"/>
        <v>44976</v>
      </c>
      <c r="E167" s="19" t="str">
        <f t="shared" si="31"/>
        <v>Quarter 1</v>
      </c>
      <c r="F167" s="19">
        <v>44997</v>
      </c>
      <c r="G167" s="19">
        <f t="shared" si="32"/>
        <v>44997</v>
      </c>
      <c r="H167" s="22">
        <f t="shared" si="33"/>
        <v>21</v>
      </c>
      <c r="I167" t="str">
        <f t="shared" si="34"/>
        <v>Delayed </v>
      </c>
      <c r="J167" t="s">
        <v>78</v>
      </c>
      <c r="K167" t="s">
        <v>79</v>
      </c>
      <c r="L167" t="s">
        <v>80</v>
      </c>
      <c r="M167" t="s">
        <v>62</v>
      </c>
      <c r="N167" t="s">
        <v>98</v>
      </c>
      <c r="O167" t="s">
        <v>49</v>
      </c>
      <c r="P167" t="s">
        <v>64</v>
      </c>
      <c r="Q167" t="s">
        <v>434</v>
      </c>
      <c r="R167" s="3">
        <v>1234.81</v>
      </c>
      <c r="S167" s="3">
        <v>2055.24</v>
      </c>
      <c r="T167" s="3">
        <f t="shared" si="35"/>
        <v>2055.24</v>
      </c>
      <c r="U167" s="3">
        <f>(1+'10. Whatif Control pannel'!$B$6)*T167</f>
        <v>2301.8688</v>
      </c>
      <c r="V167" s="3" t="str">
        <f t="shared" si="36"/>
        <v>High</v>
      </c>
      <c r="W167" s="34">
        <v>0.053</v>
      </c>
      <c r="X167" s="24" t="str">
        <f t="shared" si="37"/>
        <v>Okay</v>
      </c>
      <c r="Y167" s="36">
        <f>IF(W167&lt;=0.25,W167,'10. Whatif Control pannel'!$B$2)</f>
        <v>0.053</v>
      </c>
      <c r="Z167" s="24">
        <v>44</v>
      </c>
      <c r="AA167" s="13">
        <f>(1+'10. Whatif Control pannel'!$B$10)*Z167</f>
        <v>52.8</v>
      </c>
      <c r="AB167" s="3">
        <f t="shared" si="38"/>
        <v>85637.74032</v>
      </c>
      <c r="AC167" s="3">
        <f t="shared" si="43"/>
        <v>115097.12299008</v>
      </c>
      <c r="AD167" s="3">
        <f t="shared" si="39"/>
        <v>54331.64</v>
      </c>
      <c r="AE167" s="3">
        <f t="shared" si="40"/>
        <v>31306.10032</v>
      </c>
      <c r="AF167" s="3">
        <f t="shared" si="44"/>
        <v>60765.48299008</v>
      </c>
      <c r="AG167">
        <f t="shared" si="41"/>
        <v>0.365564296804416</v>
      </c>
    </row>
    <row r="168" spans="1:33">
      <c r="A168" t="s">
        <v>435</v>
      </c>
      <c r="B168" s="20">
        <v>45034</v>
      </c>
      <c r="C168" s="2">
        <f t="shared" si="30"/>
        <v>4</v>
      </c>
      <c r="D168" s="21">
        <f t="shared" si="42"/>
        <v>45034</v>
      </c>
      <c r="E168" s="19" t="str">
        <f t="shared" si="31"/>
        <v>Quarter 2</v>
      </c>
      <c r="F168" s="19">
        <v>45064</v>
      </c>
      <c r="G168" s="19">
        <f t="shared" si="32"/>
        <v>45064</v>
      </c>
      <c r="H168" s="22">
        <f t="shared" si="33"/>
        <v>30</v>
      </c>
      <c r="I168" t="str">
        <f t="shared" si="34"/>
        <v>Delayed </v>
      </c>
      <c r="J168" t="s">
        <v>45</v>
      </c>
      <c r="K168" t="s">
        <v>116</v>
      </c>
      <c r="L168" t="s">
        <v>117</v>
      </c>
      <c r="M168" t="s">
        <v>39</v>
      </c>
      <c r="N168" t="s">
        <v>20</v>
      </c>
      <c r="O168" t="s">
        <v>92</v>
      </c>
      <c r="P168" t="s">
        <v>57</v>
      </c>
      <c r="Q168" t="s">
        <v>436</v>
      </c>
      <c r="R168" s="3">
        <v>329.03</v>
      </c>
      <c r="S168" s="3">
        <v>391.15</v>
      </c>
      <c r="T168" s="3">
        <f t="shared" si="35"/>
        <v>391.15</v>
      </c>
      <c r="U168" s="3">
        <f>(1+'10. Whatif Control pannel'!$B$6)*T168</f>
        <v>438.088</v>
      </c>
      <c r="V168" s="3" t="str">
        <f t="shared" si="36"/>
        <v>Low</v>
      </c>
      <c r="W168" s="34">
        <v>0.197</v>
      </c>
      <c r="X168" s="24" t="str">
        <f t="shared" si="37"/>
        <v>Okay</v>
      </c>
      <c r="Y168" s="36">
        <f>IF(W168&lt;=0.25,W168,'10. Whatif Control pannel'!$B$2)</f>
        <v>0.197</v>
      </c>
      <c r="Z168" s="24">
        <v>46</v>
      </c>
      <c r="AA168" s="13">
        <f>(1+'10. Whatif Control pannel'!$B$10)*Z168</f>
        <v>55.2</v>
      </c>
      <c r="AB168" s="3">
        <f t="shared" si="38"/>
        <v>14448.2987</v>
      </c>
      <c r="AC168" s="3">
        <f t="shared" si="43"/>
        <v>19418.5134528</v>
      </c>
      <c r="AD168" s="3">
        <f t="shared" si="39"/>
        <v>15135.38</v>
      </c>
      <c r="AE168" s="3">
        <f t="shared" si="40"/>
        <v>-687.081300000002</v>
      </c>
      <c r="AF168" s="3">
        <f t="shared" si="44"/>
        <v>4283.1334528</v>
      </c>
      <c r="AG168">
        <f t="shared" si="41"/>
        <v>-0.0475544778154401</v>
      </c>
    </row>
    <row r="169" spans="1:33">
      <c r="A169" t="s">
        <v>437</v>
      </c>
      <c r="B169" s="20">
        <v>45435</v>
      </c>
      <c r="C169" s="2">
        <f t="shared" si="30"/>
        <v>5</v>
      </c>
      <c r="D169" s="21">
        <f t="shared" si="42"/>
        <v>45435</v>
      </c>
      <c r="E169" s="19" t="str">
        <f t="shared" si="31"/>
        <v>Quarter 2</v>
      </c>
      <c r="F169" s="19">
        <v>45457</v>
      </c>
      <c r="G169" s="19">
        <f t="shared" si="32"/>
        <v>45457</v>
      </c>
      <c r="H169" s="22">
        <f t="shared" si="33"/>
        <v>22</v>
      </c>
      <c r="I169" t="str">
        <f t="shared" si="34"/>
        <v>Delayed </v>
      </c>
      <c r="J169" t="s">
        <v>78</v>
      </c>
      <c r="K169" t="s">
        <v>90</v>
      </c>
      <c r="L169" t="s">
        <v>91</v>
      </c>
      <c r="M169" t="s">
        <v>62</v>
      </c>
      <c r="N169" t="s">
        <v>28</v>
      </c>
      <c r="O169" t="s">
        <v>126</v>
      </c>
      <c r="P169" t="s">
        <v>64</v>
      </c>
      <c r="Q169" t="s">
        <v>438</v>
      </c>
      <c r="R169" s="3">
        <v>1481.74</v>
      </c>
      <c r="S169" s="3">
        <v>1848.97</v>
      </c>
      <c r="T169" s="3">
        <f t="shared" si="35"/>
        <v>1848.97</v>
      </c>
      <c r="U169" s="3">
        <f>(1+'10. Whatif Control pannel'!$B$6)*T169</f>
        <v>2070.8464</v>
      </c>
      <c r="V169" s="3" t="str">
        <f t="shared" si="36"/>
        <v>High</v>
      </c>
      <c r="W169" s="34">
        <v>0.254</v>
      </c>
      <c r="X169" s="24" t="str">
        <f t="shared" si="37"/>
        <v>High Discount</v>
      </c>
      <c r="Y169" s="36">
        <f>IF(W169&lt;=0.25,W169,'10. Whatif Control pannel'!$B$2)</f>
        <v>0.23</v>
      </c>
      <c r="Z169" s="24">
        <v>9</v>
      </c>
      <c r="AA169" s="13">
        <f>(1+'10. Whatif Control pannel'!$B$10)*Z169</f>
        <v>10.8</v>
      </c>
      <c r="AB169" s="3">
        <f t="shared" si="38"/>
        <v>12413.98458</v>
      </c>
      <c r="AC169" s="3">
        <f t="shared" si="43"/>
        <v>17221.1586624</v>
      </c>
      <c r="AD169" s="3">
        <f t="shared" si="39"/>
        <v>13335.66</v>
      </c>
      <c r="AE169" s="3">
        <f t="shared" si="40"/>
        <v>-921.67542</v>
      </c>
      <c r="AF169" s="3">
        <f t="shared" si="44"/>
        <v>3885.4986624</v>
      </c>
      <c r="AG169">
        <f t="shared" si="41"/>
        <v>-0.0742449303090724</v>
      </c>
    </row>
    <row r="170" spans="1:33">
      <c r="A170" t="s">
        <v>439</v>
      </c>
      <c r="B170" s="20">
        <v>45206</v>
      </c>
      <c r="C170" s="2">
        <f t="shared" si="30"/>
        <v>10</v>
      </c>
      <c r="D170" s="21">
        <f t="shared" si="42"/>
        <v>45206</v>
      </c>
      <c r="E170" s="19" t="str">
        <f t="shared" si="31"/>
        <v>Quarter 4</v>
      </c>
      <c r="F170" s="19">
        <v>45222</v>
      </c>
      <c r="G170" s="19">
        <f t="shared" si="32"/>
        <v>45222</v>
      </c>
      <c r="H170" s="22">
        <f t="shared" si="33"/>
        <v>16</v>
      </c>
      <c r="I170" t="str">
        <f t="shared" si="34"/>
        <v>Delayed </v>
      </c>
      <c r="J170" t="s">
        <v>45</v>
      </c>
      <c r="K170" t="s">
        <v>60</v>
      </c>
      <c r="L170" t="s">
        <v>281</v>
      </c>
      <c r="M170" t="s">
        <v>48</v>
      </c>
      <c r="N170" t="s">
        <v>20</v>
      </c>
      <c r="O170" t="s">
        <v>41</v>
      </c>
      <c r="P170" t="s">
        <v>64</v>
      </c>
      <c r="Q170" t="s">
        <v>440</v>
      </c>
      <c r="R170" s="3">
        <v>906.81</v>
      </c>
      <c r="S170" s="3">
        <v>1395.56</v>
      </c>
      <c r="T170" s="3">
        <f t="shared" si="35"/>
        <v>1395.56</v>
      </c>
      <c r="U170" s="3">
        <f>(1+'10. Whatif Control pannel'!$B$6)*T170</f>
        <v>1563.0272</v>
      </c>
      <c r="V170" s="3" t="str">
        <f t="shared" si="36"/>
        <v>Medium</v>
      </c>
      <c r="W170" s="34">
        <v>0.185</v>
      </c>
      <c r="X170" s="24" t="str">
        <f t="shared" si="37"/>
        <v>Okay</v>
      </c>
      <c r="Y170" s="36">
        <f>IF(W170&lt;=0.25,W170,'10. Whatif Control pannel'!$B$2)</f>
        <v>0.185</v>
      </c>
      <c r="Z170" s="24">
        <v>6</v>
      </c>
      <c r="AA170" s="13">
        <f>(1+'10. Whatif Control pannel'!$B$10)*Z170</f>
        <v>7.2</v>
      </c>
      <c r="AB170" s="3">
        <f t="shared" si="38"/>
        <v>6824.2884</v>
      </c>
      <c r="AC170" s="3">
        <f t="shared" si="43"/>
        <v>9171.8436096</v>
      </c>
      <c r="AD170" s="3">
        <f t="shared" si="39"/>
        <v>5440.86</v>
      </c>
      <c r="AE170" s="3">
        <f t="shared" si="40"/>
        <v>1383.4284</v>
      </c>
      <c r="AF170" s="3">
        <f t="shared" si="44"/>
        <v>3730.9836096</v>
      </c>
      <c r="AG170">
        <f t="shared" si="41"/>
        <v>0.20272126834499</v>
      </c>
    </row>
    <row r="171" spans="1:33">
      <c r="A171" t="s">
        <v>441</v>
      </c>
      <c r="B171" s="20">
        <v>45574</v>
      </c>
      <c r="C171" s="2">
        <f t="shared" si="30"/>
        <v>10</v>
      </c>
      <c r="D171" s="21">
        <f t="shared" si="42"/>
        <v>45574</v>
      </c>
      <c r="E171" s="19" t="str">
        <f t="shared" si="31"/>
        <v>Quarter 4</v>
      </c>
      <c r="F171" s="19">
        <v>45604</v>
      </c>
      <c r="G171" s="19">
        <f t="shared" si="32"/>
        <v>45604</v>
      </c>
      <c r="H171" s="22">
        <f t="shared" si="33"/>
        <v>30</v>
      </c>
      <c r="I171" t="str">
        <f t="shared" si="34"/>
        <v>Delayed </v>
      </c>
      <c r="J171" t="s">
        <v>78</v>
      </c>
      <c r="K171" t="s">
        <v>108</v>
      </c>
      <c r="L171" t="s">
        <v>228</v>
      </c>
      <c r="M171" t="s">
        <v>62</v>
      </c>
      <c r="N171" t="s">
        <v>55</v>
      </c>
      <c r="O171" t="s">
        <v>29</v>
      </c>
      <c r="P171" t="s">
        <v>22</v>
      </c>
      <c r="Q171" t="s">
        <v>442</v>
      </c>
      <c r="R171" s="3">
        <v>343.85</v>
      </c>
      <c r="S171" s="3">
        <v>538.04</v>
      </c>
      <c r="T171" s="3">
        <f t="shared" si="35"/>
        <v>538.04</v>
      </c>
      <c r="U171" s="3">
        <f>(1+'10. Whatif Control pannel'!$B$6)*T171</f>
        <v>602.6048</v>
      </c>
      <c r="V171" s="3" t="str">
        <f t="shared" si="36"/>
        <v>Low</v>
      </c>
      <c r="W171" s="34">
        <v>0.139</v>
      </c>
      <c r="X171" s="24" t="str">
        <f t="shared" si="37"/>
        <v>Okay</v>
      </c>
      <c r="Y171" s="36">
        <f>IF(W171&lt;=0.25,W171,'10. Whatif Control pannel'!$B$2)</f>
        <v>0.139</v>
      </c>
      <c r="Z171" s="24">
        <v>5</v>
      </c>
      <c r="AA171" s="13">
        <f>(1+'10. Whatif Control pannel'!$B$10)*Z171</f>
        <v>6</v>
      </c>
      <c r="AB171" s="3">
        <f t="shared" si="38"/>
        <v>2316.2622</v>
      </c>
      <c r="AC171" s="3">
        <f t="shared" si="43"/>
        <v>3113.0563968</v>
      </c>
      <c r="AD171" s="3">
        <f t="shared" si="39"/>
        <v>1719.25</v>
      </c>
      <c r="AE171" s="3">
        <f t="shared" si="40"/>
        <v>597.0122</v>
      </c>
      <c r="AF171" s="3">
        <f t="shared" si="44"/>
        <v>1393.8063968</v>
      </c>
      <c r="AG171">
        <f t="shared" si="41"/>
        <v>0.257748108137326</v>
      </c>
    </row>
    <row r="172" spans="1:33">
      <c r="A172" t="s">
        <v>443</v>
      </c>
      <c r="B172" s="20">
        <v>45488</v>
      </c>
      <c r="C172" s="2">
        <f t="shared" si="30"/>
        <v>7</v>
      </c>
      <c r="D172" s="21">
        <f t="shared" si="42"/>
        <v>45488</v>
      </c>
      <c r="E172" s="19" t="str">
        <f t="shared" si="31"/>
        <v>Quarter 3</v>
      </c>
      <c r="F172" s="19">
        <v>45488</v>
      </c>
      <c r="G172" s="19">
        <f t="shared" si="32"/>
        <v>45488</v>
      </c>
      <c r="H172" s="22">
        <f t="shared" si="33"/>
        <v>0</v>
      </c>
      <c r="I172" t="str">
        <f t="shared" si="34"/>
        <v>Ontime</v>
      </c>
      <c r="J172" t="s">
        <v>45</v>
      </c>
      <c r="K172" t="s">
        <v>46</v>
      </c>
      <c r="L172" t="s">
        <v>214</v>
      </c>
      <c r="M172" t="s">
        <v>62</v>
      </c>
      <c r="N172" t="s">
        <v>40</v>
      </c>
      <c r="O172" t="s">
        <v>41</v>
      </c>
      <c r="P172" t="s">
        <v>81</v>
      </c>
      <c r="Q172" t="s">
        <v>444</v>
      </c>
      <c r="R172" s="3">
        <v>801.77</v>
      </c>
      <c r="S172" s="3">
        <v>1218.92</v>
      </c>
      <c r="T172" s="3">
        <f t="shared" si="35"/>
        <v>1218.92</v>
      </c>
      <c r="U172" s="3">
        <f>(1+'10. Whatif Control pannel'!$B$6)*T172</f>
        <v>1365.1904</v>
      </c>
      <c r="V172" s="3" t="str">
        <f t="shared" si="36"/>
        <v>Medium</v>
      </c>
      <c r="W172" s="34">
        <v>0.254</v>
      </c>
      <c r="X172" s="24" t="str">
        <f t="shared" si="37"/>
        <v>High Discount</v>
      </c>
      <c r="Y172" s="36">
        <f>IF(W172&lt;=0.25,W172,'10. Whatif Control pannel'!$B$2)</f>
        <v>0.23</v>
      </c>
      <c r="Z172" s="24">
        <v>16</v>
      </c>
      <c r="AA172" s="13">
        <f>(1+'10. Whatif Control pannel'!$B$10)*Z172</f>
        <v>19.2</v>
      </c>
      <c r="AB172" s="3">
        <f t="shared" si="38"/>
        <v>14549.02912</v>
      </c>
      <c r="AC172" s="3">
        <f t="shared" si="43"/>
        <v>20182.9748736</v>
      </c>
      <c r="AD172" s="3">
        <f t="shared" si="39"/>
        <v>12828.32</v>
      </c>
      <c r="AE172" s="3">
        <f t="shared" si="40"/>
        <v>1720.70912</v>
      </c>
      <c r="AF172" s="3">
        <f t="shared" si="44"/>
        <v>7354.6548736</v>
      </c>
      <c r="AG172">
        <f t="shared" si="41"/>
        <v>0.118269686987883</v>
      </c>
    </row>
    <row r="173" spans="1:33">
      <c r="A173" t="s">
        <v>445</v>
      </c>
      <c r="B173" s="20">
        <v>45190</v>
      </c>
      <c r="C173" s="2">
        <f t="shared" si="30"/>
        <v>9</v>
      </c>
      <c r="D173" s="21">
        <f t="shared" si="42"/>
        <v>45190</v>
      </c>
      <c r="E173" s="19" t="str">
        <f t="shared" si="31"/>
        <v>Quarter 3</v>
      </c>
      <c r="F173" s="19">
        <v>45209</v>
      </c>
      <c r="G173" s="19">
        <f t="shared" si="32"/>
        <v>45209</v>
      </c>
      <c r="H173" s="22">
        <f t="shared" si="33"/>
        <v>19</v>
      </c>
      <c r="I173" t="str">
        <f t="shared" si="34"/>
        <v>Delayed </v>
      </c>
      <c r="J173" t="s">
        <v>45</v>
      </c>
      <c r="K173" t="s">
        <v>46</v>
      </c>
      <c r="L173" t="s">
        <v>214</v>
      </c>
      <c r="M173" t="s">
        <v>27</v>
      </c>
      <c r="N173" t="s">
        <v>28</v>
      </c>
      <c r="O173" t="s">
        <v>145</v>
      </c>
      <c r="P173" t="s">
        <v>22</v>
      </c>
      <c r="Q173" t="s">
        <v>446</v>
      </c>
      <c r="R173" s="3">
        <v>845.63</v>
      </c>
      <c r="S173" s="3">
        <v>2062.12</v>
      </c>
      <c r="T173" s="3">
        <f t="shared" si="35"/>
        <v>2062.12</v>
      </c>
      <c r="U173" s="3">
        <f>(1+'10. Whatif Control pannel'!$B$6)*T173</f>
        <v>2309.5744</v>
      </c>
      <c r="V173" s="3" t="str">
        <f t="shared" si="36"/>
        <v>High</v>
      </c>
      <c r="W173" s="34">
        <v>0.134</v>
      </c>
      <c r="X173" s="24" t="str">
        <f t="shared" si="37"/>
        <v>Okay</v>
      </c>
      <c r="Y173" s="36">
        <f>IF(W173&lt;=0.25,W173,'10. Whatif Control pannel'!$B$2)</f>
        <v>0.134</v>
      </c>
      <c r="Z173" s="24">
        <v>5</v>
      </c>
      <c r="AA173" s="13">
        <f>(1+'10. Whatif Control pannel'!$B$10)*Z173</f>
        <v>6</v>
      </c>
      <c r="AB173" s="3">
        <f t="shared" si="38"/>
        <v>8928.9796</v>
      </c>
      <c r="AC173" s="3">
        <f t="shared" si="43"/>
        <v>12000.5485824</v>
      </c>
      <c r="AD173" s="3">
        <f t="shared" si="39"/>
        <v>4228.15</v>
      </c>
      <c r="AE173" s="3">
        <f t="shared" si="40"/>
        <v>4700.8296</v>
      </c>
      <c r="AF173" s="3">
        <f t="shared" si="44"/>
        <v>7772.3985824</v>
      </c>
      <c r="AG173">
        <f t="shared" si="41"/>
        <v>0.526468847571339</v>
      </c>
    </row>
    <row r="174" spans="1:33">
      <c r="A174" t="s">
        <v>447</v>
      </c>
      <c r="B174" s="20">
        <v>44981</v>
      </c>
      <c r="C174" s="2">
        <f t="shared" si="30"/>
        <v>2</v>
      </c>
      <c r="D174" s="21">
        <f t="shared" si="42"/>
        <v>44981</v>
      </c>
      <c r="E174" s="19" t="str">
        <f t="shared" si="31"/>
        <v>Quarter 1</v>
      </c>
      <c r="F174" s="19">
        <v>44994</v>
      </c>
      <c r="G174" s="19">
        <f t="shared" si="32"/>
        <v>44994</v>
      </c>
      <c r="H174" s="22">
        <f t="shared" si="33"/>
        <v>13</v>
      </c>
      <c r="I174" t="str">
        <f t="shared" si="34"/>
        <v>Delayed </v>
      </c>
      <c r="J174" t="s">
        <v>52</v>
      </c>
      <c r="K174" t="s">
        <v>122</v>
      </c>
      <c r="L174" t="s">
        <v>387</v>
      </c>
      <c r="M174" t="s">
        <v>105</v>
      </c>
      <c r="N174" t="s">
        <v>28</v>
      </c>
      <c r="O174" t="s">
        <v>110</v>
      </c>
      <c r="P174" t="s">
        <v>22</v>
      </c>
      <c r="Q174" t="s">
        <v>448</v>
      </c>
      <c r="R174" s="3">
        <v>6.85</v>
      </c>
      <c r="S174" s="3">
        <v>10.18</v>
      </c>
      <c r="T174" s="3">
        <f t="shared" si="35"/>
        <v>10.18</v>
      </c>
      <c r="U174" s="3">
        <f>(1+'10. Whatif Control pannel'!$B$6)*T174</f>
        <v>11.4016</v>
      </c>
      <c r="V174" s="3" t="str">
        <f t="shared" si="36"/>
        <v>Low</v>
      </c>
      <c r="W174" s="34">
        <v>0.047</v>
      </c>
      <c r="X174" s="24" t="str">
        <f t="shared" si="37"/>
        <v>Okay</v>
      </c>
      <c r="Y174" s="36">
        <f>IF(W174&lt;=0.25,W174,'10. Whatif Control pannel'!$B$2)</f>
        <v>0.047</v>
      </c>
      <c r="Z174" s="24">
        <v>10</v>
      </c>
      <c r="AA174" s="13">
        <f>(1+'10. Whatif Control pannel'!$B$10)*Z174</f>
        <v>12</v>
      </c>
      <c r="AB174" s="3">
        <f t="shared" si="38"/>
        <v>97.0154</v>
      </c>
      <c r="AC174" s="3">
        <f t="shared" si="43"/>
        <v>130.3886976</v>
      </c>
      <c r="AD174" s="3">
        <f t="shared" si="39"/>
        <v>68.5</v>
      </c>
      <c r="AE174" s="3">
        <f t="shared" si="40"/>
        <v>28.5154</v>
      </c>
      <c r="AF174" s="3">
        <f t="shared" si="44"/>
        <v>61.8886976</v>
      </c>
      <c r="AG174">
        <f t="shared" si="41"/>
        <v>0.293926531251739</v>
      </c>
    </row>
    <row r="175" spans="1:33">
      <c r="A175" t="s">
        <v>449</v>
      </c>
      <c r="B175" s="20">
        <v>45798</v>
      </c>
      <c r="C175" s="2">
        <f t="shared" si="30"/>
        <v>5</v>
      </c>
      <c r="D175" s="21">
        <f t="shared" si="42"/>
        <v>45798</v>
      </c>
      <c r="E175" s="19" t="str">
        <f t="shared" si="31"/>
        <v>Quarter 2</v>
      </c>
      <c r="F175" s="19">
        <v>45796</v>
      </c>
      <c r="G175" s="19">
        <f t="shared" si="32"/>
        <v>45805</v>
      </c>
      <c r="H175" s="22">
        <f t="shared" si="33"/>
        <v>7</v>
      </c>
      <c r="I175" t="str">
        <f t="shared" si="34"/>
        <v>Ontime</v>
      </c>
      <c r="J175" t="s">
        <v>16</v>
      </c>
      <c r="K175" t="s">
        <v>148</v>
      </c>
      <c r="L175" t="s">
        <v>149</v>
      </c>
      <c r="M175" t="s">
        <v>39</v>
      </c>
      <c r="N175" t="s">
        <v>55</v>
      </c>
      <c r="O175" t="s">
        <v>68</v>
      </c>
      <c r="P175" t="s">
        <v>57</v>
      </c>
      <c r="Q175" t="s">
        <v>450</v>
      </c>
      <c r="R175" s="3">
        <v>1263.84</v>
      </c>
      <c r="S175" s="3">
        <v>2281.72</v>
      </c>
      <c r="T175" s="3">
        <f t="shared" si="35"/>
        <v>2281.72</v>
      </c>
      <c r="U175" s="3">
        <f>(1+'10. Whatif Control pannel'!$B$6)*T175</f>
        <v>2555.5264</v>
      </c>
      <c r="V175" s="3" t="str">
        <f t="shared" si="36"/>
        <v>High</v>
      </c>
      <c r="W175" s="34">
        <v>0.078</v>
      </c>
      <c r="X175" s="24" t="str">
        <f t="shared" si="37"/>
        <v>Okay</v>
      </c>
      <c r="Y175" s="36">
        <f>IF(W175&lt;=0.25,W175,'10. Whatif Control pannel'!$B$2)</f>
        <v>0.078</v>
      </c>
      <c r="Z175" s="24">
        <v>15</v>
      </c>
      <c r="AA175" s="13">
        <f>(1+'10. Whatif Control pannel'!$B$10)*Z175</f>
        <v>18</v>
      </c>
      <c r="AB175" s="3">
        <f t="shared" si="38"/>
        <v>31556.1876</v>
      </c>
      <c r="AC175" s="3">
        <f t="shared" si="43"/>
        <v>42411.5161344</v>
      </c>
      <c r="AD175" s="3">
        <f t="shared" si="39"/>
        <v>18957.6</v>
      </c>
      <c r="AE175" s="3">
        <f t="shared" si="40"/>
        <v>12598.5876</v>
      </c>
      <c r="AF175" s="3">
        <f t="shared" si="44"/>
        <v>23453.9161344</v>
      </c>
      <c r="AG175">
        <f t="shared" si="41"/>
        <v>0.399243018823985</v>
      </c>
    </row>
    <row r="176" spans="1:33">
      <c r="A176" t="s">
        <v>451</v>
      </c>
      <c r="B176" s="20">
        <v>45435</v>
      </c>
      <c r="C176" s="2">
        <f t="shared" si="30"/>
        <v>5</v>
      </c>
      <c r="D176" s="21">
        <f t="shared" si="42"/>
        <v>45435</v>
      </c>
      <c r="E176" s="19" t="str">
        <f t="shared" si="31"/>
        <v>Quarter 2</v>
      </c>
      <c r="F176" s="19">
        <v>45446</v>
      </c>
      <c r="G176" s="19">
        <f t="shared" si="32"/>
        <v>45446</v>
      </c>
      <c r="H176" s="22">
        <f t="shared" si="33"/>
        <v>11</v>
      </c>
      <c r="I176" t="str">
        <f t="shared" si="34"/>
        <v>Delayed </v>
      </c>
      <c r="J176" t="s">
        <v>16</v>
      </c>
      <c r="K176" t="s">
        <v>148</v>
      </c>
      <c r="L176" t="s">
        <v>149</v>
      </c>
      <c r="M176" t="s">
        <v>62</v>
      </c>
      <c r="N176" t="s">
        <v>55</v>
      </c>
      <c r="O176" t="s">
        <v>84</v>
      </c>
      <c r="P176" t="s">
        <v>30</v>
      </c>
      <c r="Q176" t="s">
        <v>452</v>
      </c>
      <c r="R176" s="3">
        <v>180.89</v>
      </c>
      <c r="S176" s="3">
        <v>249.57</v>
      </c>
      <c r="T176" s="3">
        <f t="shared" si="35"/>
        <v>249.57</v>
      </c>
      <c r="U176" s="3">
        <f>(1+'10. Whatif Control pannel'!$B$6)*T176</f>
        <v>279.5184</v>
      </c>
      <c r="V176" s="3" t="str">
        <f t="shared" si="36"/>
        <v>Low</v>
      </c>
      <c r="W176" s="34">
        <v>0.022</v>
      </c>
      <c r="X176" s="24" t="str">
        <f t="shared" si="37"/>
        <v>Okay</v>
      </c>
      <c r="Y176" s="36">
        <f>IF(W176&lt;=0.25,W176,'10. Whatif Control pannel'!$B$2)</f>
        <v>0.022</v>
      </c>
      <c r="Z176" s="24">
        <v>8</v>
      </c>
      <c r="AA176" s="13">
        <f>(1+'10. Whatif Control pannel'!$B$10)*Z176</f>
        <v>9.6</v>
      </c>
      <c r="AB176" s="3">
        <f t="shared" si="38"/>
        <v>1952.63568</v>
      </c>
      <c r="AC176" s="3">
        <f t="shared" si="43"/>
        <v>2624.34235392</v>
      </c>
      <c r="AD176" s="3">
        <f t="shared" si="39"/>
        <v>1447.12</v>
      </c>
      <c r="AE176" s="3">
        <f t="shared" si="40"/>
        <v>505.51568</v>
      </c>
      <c r="AF176" s="3">
        <f t="shared" si="44"/>
        <v>1177.22235392</v>
      </c>
      <c r="AG176">
        <f t="shared" si="41"/>
        <v>0.258888888069484</v>
      </c>
    </row>
    <row r="177" spans="1:33">
      <c r="A177" t="s">
        <v>453</v>
      </c>
      <c r="B177" s="20">
        <v>45761</v>
      </c>
      <c r="C177" s="2">
        <f t="shared" si="30"/>
        <v>4</v>
      </c>
      <c r="D177" s="21">
        <f t="shared" si="42"/>
        <v>45761</v>
      </c>
      <c r="E177" s="19" t="str">
        <f t="shared" si="31"/>
        <v>Quarter 2</v>
      </c>
      <c r="F177" s="19">
        <v>45781</v>
      </c>
      <c r="G177" s="19">
        <f t="shared" si="32"/>
        <v>45781</v>
      </c>
      <c r="H177" s="22">
        <f t="shared" si="33"/>
        <v>20</v>
      </c>
      <c r="I177" t="str">
        <f t="shared" si="34"/>
        <v>Delayed </v>
      </c>
      <c r="J177" t="s">
        <v>78</v>
      </c>
      <c r="K177" t="s">
        <v>108</v>
      </c>
      <c r="L177" t="s">
        <v>109</v>
      </c>
      <c r="M177" t="s">
        <v>105</v>
      </c>
      <c r="N177" t="s">
        <v>40</v>
      </c>
      <c r="O177" t="s">
        <v>95</v>
      </c>
      <c r="P177" t="s">
        <v>64</v>
      </c>
      <c r="Q177" t="s">
        <v>454</v>
      </c>
      <c r="R177" s="3">
        <v>1413.87</v>
      </c>
      <c r="S177" s="3">
        <v>3275</v>
      </c>
      <c r="T177" s="3">
        <f t="shared" si="35"/>
        <v>3275</v>
      </c>
      <c r="U177" s="3">
        <f>(1+'10. Whatif Control pannel'!$B$6)*T177</f>
        <v>3668</v>
      </c>
      <c r="V177" s="3" t="str">
        <f t="shared" si="36"/>
        <v>High</v>
      </c>
      <c r="W177" s="34">
        <v>0.255</v>
      </c>
      <c r="X177" s="24" t="str">
        <f t="shared" si="37"/>
        <v>High Discount</v>
      </c>
      <c r="Y177" s="36">
        <f>IF(W177&lt;=0.25,W177,'10. Whatif Control pannel'!$B$2)</f>
        <v>0.23</v>
      </c>
      <c r="Z177" s="24">
        <v>38</v>
      </c>
      <c r="AA177" s="13">
        <f>(1+'10. Whatif Control pannel'!$B$10)*Z177</f>
        <v>45.6</v>
      </c>
      <c r="AB177" s="3">
        <f t="shared" si="38"/>
        <v>92715.25</v>
      </c>
      <c r="AC177" s="3">
        <f t="shared" si="43"/>
        <v>128790.816</v>
      </c>
      <c r="AD177" s="3">
        <f t="shared" si="39"/>
        <v>53727.06</v>
      </c>
      <c r="AE177" s="3">
        <f t="shared" si="40"/>
        <v>38988.19</v>
      </c>
      <c r="AF177" s="3">
        <f t="shared" si="44"/>
        <v>75063.756</v>
      </c>
      <c r="AG177">
        <f t="shared" si="41"/>
        <v>0.420515395255905</v>
      </c>
    </row>
    <row r="178" spans="1:33">
      <c r="A178" t="s">
        <v>455</v>
      </c>
      <c r="B178" s="20">
        <v>45165</v>
      </c>
      <c r="C178" s="2">
        <f t="shared" si="30"/>
        <v>8</v>
      </c>
      <c r="D178" s="21">
        <f t="shared" si="42"/>
        <v>45165</v>
      </c>
      <c r="E178" s="19" t="str">
        <f t="shared" si="31"/>
        <v>Quarter 3</v>
      </c>
      <c r="F178" s="19">
        <v>45180</v>
      </c>
      <c r="G178" s="19">
        <f t="shared" si="32"/>
        <v>45180</v>
      </c>
      <c r="H178" s="22">
        <f t="shared" si="33"/>
        <v>15</v>
      </c>
      <c r="I178" t="str">
        <f t="shared" si="34"/>
        <v>Delayed </v>
      </c>
      <c r="J178" t="s">
        <v>78</v>
      </c>
      <c r="K178" t="s">
        <v>108</v>
      </c>
      <c r="L178" t="s">
        <v>152</v>
      </c>
      <c r="M178" t="s">
        <v>48</v>
      </c>
      <c r="N178" t="s">
        <v>40</v>
      </c>
      <c r="O178" t="s">
        <v>126</v>
      </c>
      <c r="P178" t="s">
        <v>30</v>
      </c>
      <c r="Q178" t="s">
        <v>456</v>
      </c>
      <c r="R178" s="3">
        <v>943.79</v>
      </c>
      <c r="S178" s="3">
        <v>1913.76</v>
      </c>
      <c r="T178" s="3">
        <f t="shared" si="35"/>
        <v>1913.76</v>
      </c>
      <c r="U178" s="3">
        <f>(1+'10. Whatif Control pannel'!$B$6)*T178</f>
        <v>2143.4112</v>
      </c>
      <c r="V178" s="3" t="str">
        <f t="shared" si="36"/>
        <v>High</v>
      </c>
      <c r="W178" s="34">
        <v>0.091</v>
      </c>
      <c r="X178" s="24" t="str">
        <f t="shared" si="37"/>
        <v>Okay</v>
      </c>
      <c r="Y178" s="36">
        <f>IF(W178&lt;=0.25,W178,'10. Whatif Control pannel'!$B$2)</f>
        <v>0.091</v>
      </c>
      <c r="Z178" s="24">
        <v>9</v>
      </c>
      <c r="AA178" s="13">
        <f>(1+'10. Whatif Control pannel'!$B$10)*Z178</f>
        <v>10.8</v>
      </c>
      <c r="AB178" s="3">
        <f t="shared" si="38"/>
        <v>15656.47056</v>
      </c>
      <c r="AC178" s="3">
        <f t="shared" si="43"/>
        <v>21042.29643264</v>
      </c>
      <c r="AD178" s="3">
        <f t="shared" si="39"/>
        <v>8494.11</v>
      </c>
      <c r="AE178" s="3">
        <f t="shared" si="40"/>
        <v>7162.36056</v>
      </c>
      <c r="AF178" s="3">
        <f t="shared" si="44"/>
        <v>12548.18643264</v>
      </c>
      <c r="AG178">
        <f t="shared" si="41"/>
        <v>0.457469678913381</v>
      </c>
    </row>
    <row r="179" spans="1:33">
      <c r="A179" t="s">
        <v>457</v>
      </c>
      <c r="B179" s="20">
        <v>45325</v>
      </c>
      <c r="C179" s="2">
        <f t="shared" si="30"/>
        <v>2</v>
      </c>
      <c r="D179" s="21">
        <f t="shared" si="42"/>
        <v>45325</v>
      </c>
      <c r="E179" s="19" t="str">
        <f t="shared" si="31"/>
        <v>Quarter 1</v>
      </c>
      <c r="F179" s="19">
        <v>45343</v>
      </c>
      <c r="G179" s="19">
        <f t="shared" si="32"/>
        <v>45343</v>
      </c>
      <c r="H179" s="22">
        <f t="shared" si="33"/>
        <v>18</v>
      </c>
      <c r="I179" t="str">
        <f t="shared" si="34"/>
        <v>Delayed </v>
      </c>
      <c r="J179" t="s">
        <v>78</v>
      </c>
      <c r="K179" t="s">
        <v>79</v>
      </c>
      <c r="L179" t="s">
        <v>335</v>
      </c>
      <c r="M179" t="s">
        <v>19</v>
      </c>
      <c r="N179" t="s">
        <v>20</v>
      </c>
      <c r="O179" t="s">
        <v>92</v>
      </c>
      <c r="P179" t="s">
        <v>22</v>
      </c>
      <c r="Q179" t="s">
        <v>458</v>
      </c>
      <c r="R179" s="3">
        <v>39.23</v>
      </c>
      <c r="S179" s="3">
        <v>30.09</v>
      </c>
      <c r="T179" s="3">
        <f t="shared" si="35"/>
        <v>30.09</v>
      </c>
      <c r="U179" s="3">
        <f>(1+'10. Whatif Control pannel'!$B$6)*T179</f>
        <v>33.7008</v>
      </c>
      <c r="V179" s="3" t="str">
        <f t="shared" si="36"/>
        <v>Low</v>
      </c>
      <c r="W179" s="34">
        <v>0.177</v>
      </c>
      <c r="X179" s="24" t="str">
        <f t="shared" si="37"/>
        <v>Okay</v>
      </c>
      <c r="Y179" s="36">
        <f>IF(W179&lt;=0.25,W179,'10. Whatif Control pannel'!$B$2)</f>
        <v>0.177</v>
      </c>
      <c r="Z179" s="24">
        <v>13</v>
      </c>
      <c r="AA179" s="13">
        <f>(1+'10. Whatif Control pannel'!$B$10)*Z179</f>
        <v>15.6</v>
      </c>
      <c r="AB179" s="3">
        <f t="shared" si="38"/>
        <v>321.93291</v>
      </c>
      <c r="AC179" s="3">
        <f t="shared" si="43"/>
        <v>432.67783104</v>
      </c>
      <c r="AD179" s="3">
        <f t="shared" si="39"/>
        <v>509.99</v>
      </c>
      <c r="AE179" s="3">
        <f t="shared" si="40"/>
        <v>-188.05709</v>
      </c>
      <c r="AF179" s="3">
        <f t="shared" si="44"/>
        <v>-77.31216896</v>
      </c>
      <c r="AG179">
        <f t="shared" si="41"/>
        <v>-0.584149939811994</v>
      </c>
    </row>
    <row r="180" spans="1:33">
      <c r="A180" t="s">
        <v>459</v>
      </c>
      <c r="B180" s="20">
        <v>45021</v>
      </c>
      <c r="C180" s="2">
        <f t="shared" si="30"/>
        <v>4</v>
      </c>
      <c r="D180" s="21">
        <f t="shared" si="42"/>
        <v>45021</v>
      </c>
      <c r="E180" s="19" t="str">
        <f t="shared" si="31"/>
        <v>Quarter 2</v>
      </c>
      <c r="F180" s="19">
        <v>45032</v>
      </c>
      <c r="G180" s="19">
        <f t="shared" si="32"/>
        <v>45032</v>
      </c>
      <c r="H180" s="22">
        <f t="shared" si="33"/>
        <v>11</v>
      </c>
      <c r="I180" t="str">
        <f t="shared" si="34"/>
        <v>Delayed </v>
      </c>
      <c r="J180" t="s">
        <v>52</v>
      </c>
      <c r="K180" t="s">
        <v>53</v>
      </c>
      <c r="L180" t="s">
        <v>179</v>
      </c>
      <c r="M180" t="s">
        <v>39</v>
      </c>
      <c r="N180" t="s">
        <v>28</v>
      </c>
      <c r="O180" t="s">
        <v>68</v>
      </c>
      <c r="P180" t="s">
        <v>64</v>
      </c>
      <c r="Q180" t="s">
        <v>460</v>
      </c>
      <c r="R180" s="3">
        <v>213.1</v>
      </c>
      <c r="S180" s="3">
        <v>501.31</v>
      </c>
      <c r="T180" s="3">
        <f t="shared" si="35"/>
        <v>501.31</v>
      </c>
      <c r="U180" s="3">
        <f>(1+'10. Whatif Control pannel'!$B$6)*T180</f>
        <v>561.4672</v>
      </c>
      <c r="V180" s="3" t="str">
        <f t="shared" si="36"/>
        <v>Low</v>
      </c>
      <c r="W180" s="34">
        <v>0.056</v>
      </c>
      <c r="X180" s="24" t="str">
        <f t="shared" si="37"/>
        <v>Okay</v>
      </c>
      <c r="Y180" s="36">
        <f>IF(W180&lt;=0.25,W180,'10. Whatif Control pannel'!$B$2)</f>
        <v>0.056</v>
      </c>
      <c r="Z180" s="24">
        <v>15</v>
      </c>
      <c r="AA180" s="13">
        <f>(1+'10. Whatif Control pannel'!$B$10)*Z180</f>
        <v>18</v>
      </c>
      <c r="AB180" s="3">
        <f t="shared" si="38"/>
        <v>7098.5496</v>
      </c>
      <c r="AC180" s="3">
        <f t="shared" si="43"/>
        <v>9540.4506624</v>
      </c>
      <c r="AD180" s="3">
        <f t="shared" si="39"/>
        <v>3196.5</v>
      </c>
      <c r="AE180" s="3">
        <f t="shared" si="40"/>
        <v>3902.0496</v>
      </c>
      <c r="AF180" s="3">
        <f t="shared" si="44"/>
        <v>6343.9506624</v>
      </c>
      <c r="AG180">
        <f t="shared" si="41"/>
        <v>0.54969674368409</v>
      </c>
    </row>
    <row r="181" spans="1:33">
      <c r="A181" t="s">
        <v>461</v>
      </c>
      <c r="B181" s="20">
        <v>45890</v>
      </c>
      <c r="C181" s="2">
        <f t="shared" si="30"/>
        <v>8</v>
      </c>
      <c r="D181" s="21">
        <f t="shared" si="42"/>
        <v>45890</v>
      </c>
      <c r="E181" s="19" t="str">
        <f t="shared" si="31"/>
        <v>Quarter 3</v>
      </c>
      <c r="F181" s="19">
        <v>45912</v>
      </c>
      <c r="G181" s="19">
        <f t="shared" si="32"/>
        <v>45912</v>
      </c>
      <c r="H181" s="22">
        <f t="shared" si="33"/>
        <v>22</v>
      </c>
      <c r="I181" t="str">
        <f t="shared" si="34"/>
        <v>Delayed </v>
      </c>
      <c r="J181" t="s">
        <v>45</v>
      </c>
      <c r="K181" t="s">
        <v>116</v>
      </c>
      <c r="L181" t="s">
        <v>117</v>
      </c>
      <c r="M181" t="s">
        <v>27</v>
      </c>
      <c r="N181" t="s">
        <v>20</v>
      </c>
      <c r="O181" t="s">
        <v>56</v>
      </c>
      <c r="P181" t="s">
        <v>30</v>
      </c>
      <c r="Q181" t="s">
        <v>462</v>
      </c>
      <c r="R181" s="3">
        <v>352.66</v>
      </c>
      <c r="S181" s="3">
        <v>411.18</v>
      </c>
      <c r="T181" s="3">
        <f t="shared" si="35"/>
        <v>411.18</v>
      </c>
      <c r="U181" s="3">
        <f>(1+'10. Whatif Control pannel'!$B$6)*T181</f>
        <v>460.5216</v>
      </c>
      <c r="V181" s="3" t="str">
        <f t="shared" si="36"/>
        <v>Low</v>
      </c>
      <c r="W181" s="34">
        <v>0.173</v>
      </c>
      <c r="X181" s="24" t="str">
        <f t="shared" si="37"/>
        <v>Okay</v>
      </c>
      <c r="Y181" s="36">
        <f>IF(W181&lt;=0.25,W181,'10. Whatif Control pannel'!$B$2)</f>
        <v>0.173</v>
      </c>
      <c r="Z181" s="24">
        <v>13</v>
      </c>
      <c r="AA181" s="13">
        <f>(1+'10. Whatif Control pannel'!$B$10)*Z181</f>
        <v>15.6</v>
      </c>
      <c r="AB181" s="3">
        <f t="shared" si="38"/>
        <v>4420.59618</v>
      </c>
      <c r="AC181" s="3">
        <f t="shared" si="43"/>
        <v>5941.28126592</v>
      </c>
      <c r="AD181" s="3">
        <f t="shared" si="39"/>
        <v>4584.58</v>
      </c>
      <c r="AE181" s="3">
        <f t="shared" si="40"/>
        <v>-163.98382</v>
      </c>
      <c r="AF181" s="3">
        <f t="shared" si="44"/>
        <v>1356.70126592</v>
      </c>
      <c r="AG181">
        <f t="shared" si="41"/>
        <v>-0.0370954082487581</v>
      </c>
    </row>
    <row r="182" spans="1:33">
      <c r="A182" t="s">
        <v>463</v>
      </c>
      <c r="B182" s="20">
        <v>45915</v>
      </c>
      <c r="C182" s="2">
        <f t="shared" si="30"/>
        <v>9</v>
      </c>
      <c r="D182" s="21">
        <f t="shared" si="42"/>
        <v>45915</v>
      </c>
      <c r="E182" s="19" t="str">
        <f t="shared" si="31"/>
        <v>Quarter 3</v>
      </c>
      <c r="F182" s="19">
        <v>45918</v>
      </c>
      <c r="G182" s="19">
        <f t="shared" si="32"/>
        <v>45918</v>
      </c>
      <c r="H182" s="22">
        <f t="shared" si="33"/>
        <v>3</v>
      </c>
      <c r="I182" t="str">
        <f t="shared" si="34"/>
        <v>Ontime</v>
      </c>
      <c r="J182" t="s">
        <v>52</v>
      </c>
      <c r="K182" t="s">
        <v>73</v>
      </c>
      <c r="L182" t="s">
        <v>225</v>
      </c>
      <c r="M182" t="s">
        <v>39</v>
      </c>
      <c r="N182" t="s">
        <v>98</v>
      </c>
      <c r="O182" t="s">
        <v>49</v>
      </c>
      <c r="P182" t="s">
        <v>81</v>
      </c>
      <c r="Q182" t="s">
        <v>464</v>
      </c>
      <c r="R182" s="3">
        <v>5.5</v>
      </c>
      <c r="S182" s="3">
        <v>5.92</v>
      </c>
      <c r="T182" s="3">
        <f t="shared" si="35"/>
        <v>5.92</v>
      </c>
      <c r="U182" s="3">
        <f>(1+'10. Whatif Control pannel'!$B$6)*T182</f>
        <v>6.6304</v>
      </c>
      <c r="V182" s="3" t="str">
        <f t="shared" si="36"/>
        <v>Low</v>
      </c>
      <c r="W182" s="34">
        <v>0.212</v>
      </c>
      <c r="X182" s="24" t="str">
        <f t="shared" si="37"/>
        <v>High Discount</v>
      </c>
      <c r="Y182" s="36">
        <f>IF(W182&lt;=0.25,W182,'10. Whatif Control pannel'!$B$2)</f>
        <v>0.212</v>
      </c>
      <c r="Z182" s="24">
        <v>4</v>
      </c>
      <c r="AA182" s="13">
        <f>(1+'10. Whatif Control pannel'!$B$10)*Z182</f>
        <v>4.8</v>
      </c>
      <c r="AB182" s="3">
        <f t="shared" si="38"/>
        <v>18.65984</v>
      </c>
      <c r="AC182" s="3">
        <f t="shared" si="43"/>
        <v>25.07882496</v>
      </c>
      <c r="AD182" s="3">
        <f t="shared" si="39"/>
        <v>22</v>
      </c>
      <c r="AE182" s="3">
        <f t="shared" si="40"/>
        <v>-3.34016</v>
      </c>
      <c r="AF182" s="3">
        <f t="shared" si="44"/>
        <v>3.07882496</v>
      </c>
      <c r="AG182">
        <f t="shared" si="41"/>
        <v>-0.179002606667581</v>
      </c>
    </row>
    <row r="183" spans="1:33">
      <c r="A183" t="s">
        <v>465</v>
      </c>
      <c r="B183" s="20">
        <v>45568</v>
      </c>
      <c r="C183" s="2">
        <f t="shared" si="30"/>
        <v>10</v>
      </c>
      <c r="D183" s="21">
        <f t="shared" si="42"/>
        <v>45568</v>
      </c>
      <c r="E183" s="19" t="str">
        <f t="shared" si="31"/>
        <v>Quarter 4</v>
      </c>
      <c r="F183" s="19">
        <v>45576</v>
      </c>
      <c r="G183" s="19">
        <f t="shared" si="32"/>
        <v>45576</v>
      </c>
      <c r="H183" s="22">
        <f t="shared" si="33"/>
        <v>8</v>
      </c>
      <c r="I183" t="str">
        <f t="shared" si="34"/>
        <v>Delayed </v>
      </c>
      <c r="J183" t="s">
        <v>45</v>
      </c>
      <c r="K183" t="s">
        <v>116</v>
      </c>
      <c r="L183" t="s">
        <v>338</v>
      </c>
      <c r="M183" t="s">
        <v>105</v>
      </c>
      <c r="N183" t="s">
        <v>98</v>
      </c>
      <c r="O183" t="s">
        <v>56</v>
      </c>
      <c r="P183" t="s">
        <v>42</v>
      </c>
      <c r="Q183" t="s">
        <v>466</v>
      </c>
      <c r="R183" s="3">
        <v>1132.61</v>
      </c>
      <c r="S183" s="3">
        <v>2206.63</v>
      </c>
      <c r="T183" s="3">
        <f t="shared" si="35"/>
        <v>2206.63</v>
      </c>
      <c r="U183" s="3">
        <f>(1+'10. Whatif Control pannel'!$B$6)*T183</f>
        <v>2471.4256</v>
      </c>
      <c r="V183" s="3" t="str">
        <f t="shared" si="36"/>
        <v>High</v>
      </c>
      <c r="W183" s="34">
        <v>0.063</v>
      </c>
      <c r="X183" s="24" t="str">
        <f t="shared" si="37"/>
        <v>Okay</v>
      </c>
      <c r="Y183" s="36">
        <f>IF(W183&lt;=0.25,W183,'10. Whatif Control pannel'!$B$2)</f>
        <v>0.063</v>
      </c>
      <c r="Z183" s="24">
        <v>20</v>
      </c>
      <c r="AA183" s="13">
        <f>(1+'10. Whatif Control pannel'!$B$10)*Z183</f>
        <v>24</v>
      </c>
      <c r="AB183" s="3">
        <f t="shared" si="38"/>
        <v>41352.2462</v>
      </c>
      <c r="AC183" s="3">
        <f t="shared" si="43"/>
        <v>55577.4188928</v>
      </c>
      <c r="AD183" s="3">
        <f t="shared" si="39"/>
        <v>22652.2</v>
      </c>
      <c r="AE183" s="3">
        <f t="shared" si="40"/>
        <v>18700.0462</v>
      </c>
      <c r="AF183" s="3">
        <f t="shared" si="44"/>
        <v>32925.2188928</v>
      </c>
      <c r="AG183">
        <f t="shared" si="41"/>
        <v>0.452213553516713</v>
      </c>
    </row>
    <row r="184" spans="1:33">
      <c r="A184" t="s">
        <v>467</v>
      </c>
      <c r="B184" s="20">
        <v>45690</v>
      </c>
      <c r="C184" s="2">
        <f t="shared" si="30"/>
        <v>2</v>
      </c>
      <c r="D184" s="21">
        <f t="shared" si="42"/>
        <v>45690</v>
      </c>
      <c r="E184" s="19" t="str">
        <f t="shared" si="31"/>
        <v>Quarter 1</v>
      </c>
      <c r="F184" s="19">
        <v>45720</v>
      </c>
      <c r="G184" s="19">
        <f t="shared" si="32"/>
        <v>45720</v>
      </c>
      <c r="H184" s="22">
        <f t="shared" si="33"/>
        <v>30</v>
      </c>
      <c r="I184" t="str">
        <f t="shared" si="34"/>
        <v>Delayed </v>
      </c>
      <c r="J184" t="s">
        <v>45</v>
      </c>
      <c r="K184" t="s">
        <v>46</v>
      </c>
      <c r="L184" t="s">
        <v>47</v>
      </c>
      <c r="M184" t="s">
        <v>27</v>
      </c>
      <c r="N184" t="s">
        <v>55</v>
      </c>
      <c r="O184" t="s">
        <v>49</v>
      </c>
      <c r="P184" t="s">
        <v>81</v>
      </c>
      <c r="Q184" t="s">
        <v>468</v>
      </c>
      <c r="R184" s="3">
        <v>766.59</v>
      </c>
      <c r="S184" s="3">
        <v>1912.8</v>
      </c>
      <c r="T184" s="3">
        <f t="shared" si="35"/>
        <v>1912.8</v>
      </c>
      <c r="U184" s="3">
        <f>(1+'10. Whatif Control pannel'!$B$6)*T184</f>
        <v>2142.336</v>
      </c>
      <c r="V184" s="3" t="str">
        <f t="shared" si="36"/>
        <v>High</v>
      </c>
      <c r="W184" s="34">
        <v>0.196</v>
      </c>
      <c r="X184" s="24" t="str">
        <f t="shared" si="37"/>
        <v>Okay</v>
      </c>
      <c r="Y184" s="36">
        <f>IF(W184&lt;=0.25,W184,'10. Whatif Control pannel'!$B$2)</f>
        <v>0.196</v>
      </c>
      <c r="Z184" s="24">
        <v>5</v>
      </c>
      <c r="AA184" s="13">
        <f>(1+'10. Whatif Control pannel'!$B$10)*Z184</f>
        <v>6</v>
      </c>
      <c r="AB184" s="3">
        <f t="shared" si="38"/>
        <v>7689.456</v>
      </c>
      <c r="AC184" s="3">
        <f t="shared" si="43"/>
        <v>10334.628864</v>
      </c>
      <c r="AD184" s="3">
        <f t="shared" si="39"/>
        <v>3832.95</v>
      </c>
      <c r="AE184" s="3">
        <f t="shared" si="40"/>
        <v>3856.506</v>
      </c>
      <c r="AF184" s="3">
        <f t="shared" si="44"/>
        <v>6501.678864</v>
      </c>
      <c r="AG184">
        <f t="shared" si="41"/>
        <v>0.501531707834728</v>
      </c>
    </row>
    <row r="185" spans="1:33">
      <c r="A185" t="s">
        <v>469</v>
      </c>
      <c r="B185" s="20">
        <v>45157</v>
      </c>
      <c r="C185" s="2">
        <f t="shared" si="30"/>
        <v>8</v>
      </c>
      <c r="D185" s="21">
        <f t="shared" si="42"/>
        <v>45157</v>
      </c>
      <c r="E185" s="19" t="str">
        <f t="shared" si="31"/>
        <v>Quarter 3</v>
      </c>
      <c r="F185" s="19">
        <v>45161</v>
      </c>
      <c r="G185" s="19">
        <f t="shared" si="32"/>
        <v>45161</v>
      </c>
      <c r="H185" s="22">
        <f t="shared" si="33"/>
        <v>4</v>
      </c>
      <c r="I185" t="str">
        <f t="shared" si="34"/>
        <v>Ontime</v>
      </c>
      <c r="J185" t="s">
        <v>16</v>
      </c>
      <c r="K185" t="s">
        <v>25</v>
      </c>
      <c r="L185" t="s">
        <v>67</v>
      </c>
      <c r="M185" t="s">
        <v>62</v>
      </c>
      <c r="N185" t="s">
        <v>28</v>
      </c>
      <c r="O185" t="s">
        <v>29</v>
      </c>
      <c r="P185" t="s">
        <v>64</v>
      </c>
      <c r="Q185" t="s">
        <v>470</v>
      </c>
      <c r="R185" s="3">
        <v>790.63</v>
      </c>
      <c r="S185" s="3">
        <v>1382.31</v>
      </c>
      <c r="T185" s="3">
        <f t="shared" si="35"/>
        <v>1382.31</v>
      </c>
      <c r="U185" s="3">
        <f>(1+'10. Whatif Control pannel'!$B$6)*T185</f>
        <v>1548.1872</v>
      </c>
      <c r="V185" s="3" t="str">
        <f t="shared" si="36"/>
        <v>Medium</v>
      </c>
      <c r="W185" s="34">
        <v>0.101</v>
      </c>
      <c r="X185" s="24" t="str">
        <f t="shared" si="37"/>
        <v>Okay</v>
      </c>
      <c r="Y185" s="36">
        <f>IF(W185&lt;=0.25,W185,'10. Whatif Control pannel'!$B$2)</f>
        <v>0.101</v>
      </c>
      <c r="Z185" s="24">
        <v>7</v>
      </c>
      <c r="AA185" s="13">
        <f>(1+'10. Whatif Control pannel'!$B$10)*Z185</f>
        <v>8.4</v>
      </c>
      <c r="AB185" s="3">
        <f t="shared" si="38"/>
        <v>8698.87683</v>
      </c>
      <c r="AC185" s="3">
        <f t="shared" si="43"/>
        <v>11691.29045952</v>
      </c>
      <c r="AD185" s="3">
        <f t="shared" si="39"/>
        <v>5534.41</v>
      </c>
      <c r="AE185" s="3">
        <f t="shared" si="40"/>
        <v>3164.46683</v>
      </c>
      <c r="AF185" s="3">
        <f t="shared" si="44"/>
        <v>6156.88045952</v>
      </c>
      <c r="AG185">
        <f t="shared" si="41"/>
        <v>0.363778783381164</v>
      </c>
    </row>
    <row r="186" spans="1:33">
      <c r="A186" t="s">
        <v>471</v>
      </c>
      <c r="B186" s="20">
        <v>45587</v>
      </c>
      <c r="C186" s="2">
        <f t="shared" si="30"/>
        <v>10</v>
      </c>
      <c r="D186" s="21">
        <f t="shared" si="42"/>
        <v>45587</v>
      </c>
      <c r="E186" s="19" t="str">
        <f t="shared" si="31"/>
        <v>Quarter 4</v>
      </c>
      <c r="F186" s="19">
        <v>45594</v>
      </c>
      <c r="G186" s="19">
        <f t="shared" si="32"/>
        <v>45594</v>
      </c>
      <c r="H186" s="22">
        <f t="shared" si="33"/>
        <v>7</v>
      </c>
      <c r="I186" t="str">
        <f t="shared" si="34"/>
        <v>Ontime</v>
      </c>
      <c r="J186" t="s">
        <v>16</v>
      </c>
      <c r="K186" t="s">
        <v>25</v>
      </c>
      <c r="L186" t="s">
        <v>26</v>
      </c>
      <c r="M186" t="s">
        <v>105</v>
      </c>
      <c r="N186" t="s">
        <v>55</v>
      </c>
      <c r="O186" t="s">
        <v>110</v>
      </c>
      <c r="P186" t="s">
        <v>64</v>
      </c>
      <c r="Q186" t="s">
        <v>472</v>
      </c>
      <c r="R186" s="3">
        <v>1023.06</v>
      </c>
      <c r="S186" s="3">
        <v>1355.61</v>
      </c>
      <c r="T186" s="3">
        <f t="shared" si="35"/>
        <v>1355.61</v>
      </c>
      <c r="U186" s="3">
        <f>(1+'10. Whatif Control pannel'!$B$6)*T186</f>
        <v>1518.2832</v>
      </c>
      <c r="V186" s="3" t="str">
        <f t="shared" si="36"/>
        <v>Medium</v>
      </c>
      <c r="W186" s="34">
        <v>0.153</v>
      </c>
      <c r="X186" s="24" t="str">
        <f t="shared" si="37"/>
        <v>Okay</v>
      </c>
      <c r="Y186" s="36">
        <f>IF(W186&lt;=0.25,W186,'10. Whatif Control pannel'!$B$2)</f>
        <v>0.153</v>
      </c>
      <c r="Z186" s="24">
        <v>23</v>
      </c>
      <c r="AA186" s="13">
        <f>(1+'10. Whatif Control pannel'!$B$10)*Z186</f>
        <v>27.6</v>
      </c>
      <c r="AB186" s="3">
        <f t="shared" si="38"/>
        <v>26408.63841</v>
      </c>
      <c r="AC186" s="3">
        <f t="shared" si="43"/>
        <v>35493.21002304</v>
      </c>
      <c r="AD186" s="3">
        <f t="shared" si="39"/>
        <v>23530.38</v>
      </c>
      <c r="AE186" s="3">
        <f t="shared" si="40"/>
        <v>2878.25841</v>
      </c>
      <c r="AF186" s="3">
        <f t="shared" si="44"/>
        <v>11962.83002304</v>
      </c>
      <c r="AG186">
        <f t="shared" si="41"/>
        <v>0.108989277118888</v>
      </c>
    </row>
    <row r="187" spans="1:33">
      <c r="A187" t="s">
        <v>473</v>
      </c>
      <c r="B187" s="20">
        <v>45099</v>
      </c>
      <c r="C187" s="2">
        <f t="shared" si="30"/>
        <v>6</v>
      </c>
      <c r="D187" s="21">
        <f t="shared" si="42"/>
        <v>45099</v>
      </c>
      <c r="E187" s="19" t="str">
        <f t="shared" si="31"/>
        <v>Quarter 2</v>
      </c>
      <c r="F187" s="19">
        <v>45128</v>
      </c>
      <c r="G187" s="19">
        <f t="shared" si="32"/>
        <v>45128</v>
      </c>
      <c r="H187" s="22">
        <f t="shared" si="33"/>
        <v>29</v>
      </c>
      <c r="I187" t="str">
        <f t="shared" si="34"/>
        <v>Delayed </v>
      </c>
      <c r="J187" t="s">
        <v>78</v>
      </c>
      <c r="K187" t="s">
        <v>90</v>
      </c>
      <c r="L187" t="s">
        <v>138</v>
      </c>
      <c r="M187" t="s">
        <v>19</v>
      </c>
      <c r="N187" t="s">
        <v>20</v>
      </c>
      <c r="O187" t="s">
        <v>29</v>
      </c>
      <c r="P187" t="s">
        <v>81</v>
      </c>
      <c r="Q187" t="s">
        <v>474</v>
      </c>
      <c r="R187" s="3">
        <v>734.34</v>
      </c>
      <c r="S187" s="3">
        <v>887.9</v>
      </c>
      <c r="T187" s="3">
        <f t="shared" si="35"/>
        <v>887.9</v>
      </c>
      <c r="U187" s="3">
        <f>(1+'10. Whatif Control pannel'!$B$6)*T187</f>
        <v>994.448</v>
      </c>
      <c r="V187" s="3" t="str">
        <f t="shared" si="36"/>
        <v>Medium</v>
      </c>
      <c r="W187" s="34">
        <v>0.025</v>
      </c>
      <c r="X187" s="24" t="str">
        <f t="shared" si="37"/>
        <v>Okay</v>
      </c>
      <c r="Y187" s="36">
        <f>IF(W187&lt;=0.25,W187,'10. Whatif Control pannel'!$B$2)</f>
        <v>0.025</v>
      </c>
      <c r="Z187" s="24">
        <v>12</v>
      </c>
      <c r="AA187" s="13">
        <f>(1+'10. Whatif Control pannel'!$B$10)*Z187</f>
        <v>14.4</v>
      </c>
      <c r="AB187" s="3">
        <f t="shared" si="38"/>
        <v>10388.43</v>
      </c>
      <c r="AC187" s="3">
        <f t="shared" si="43"/>
        <v>13962.04992</v>
      </c>
      <c r="AD187" s="3">
        <f t="shared" si="39"/>
        <v>8812.08</v>
      </c>
      <c r="AE187" s="3">
        <f t="shared" si="40"/>
        <v>1576.35</v>
      </c>
      <c r="AF187" s="3">
        <f t="shared" si="44"/>
        <v>5149.96992</v>
      </c>
      <c r="AG187">
        <f t="shared" si="41"/>
        <v>0.151740927166088</v>
      </c>
    </row>
    <row r="188" spans="1:33">
      <c r="A188" t="s">
        <v>475</v>
      </c>
      <c r="B188" s="20">
        <v>45670</v>
      </c>
      <c r="C188" s="2">
        <f t="shared" si="30"/>
        <v>1</v>
      </c>
      <c r="D188" s="21">
        <f t="shared" si="42"/>
        <v>45670</v>
      </c>
      <c r="E188" s="19" t="str">
        <f t="shared" si="31"/>
        <v>Quarter 1</v>
      </c>
      <c r="F188" s="19">
        <v>45696</v>
      </c>
      <c r="G188" s="19">
        <f t="shared" si="32"/>
        <v>45696</v>
      </c>
      <c r="H188" s="22">
        <f t="shared" si="33"/>
        <v>26</v>
      </c>
      <c r="I188" t="str">
        <f t="shared" si="34"/>
        <v>Delayed </v>
      </c>
      <c r="J188" t="s">
        <v>78</v>
      </c>
      <c r="K188" t="s">
        <v>90</v>
      </c>
      <c r="L188" t="s">
        <v>217</v>
      </c>
      <c r="M188" t="s">
        <v>39</v>
      </c>
      <c r="N188" t="s">
        <v>1441</v>
      </c>
      <c r="O188" t="s">
        <v>63</v>
      </c>
      <c r="P188" t="s">
        <v>64</v>
      </c>
      <c r="Q188" t="s">
        <v>476</v>
      </c>
      <c r="R188" s="3">
        <v>594.74</v>
      </c>
      <c r="S188" s="3">
        <v>1020.69</v>
      </c>
      <c r="T188" s="3">
        <f t="shared" si="35"/>
        <v>1020.69</v>
      </c>
      <c r="U188" s="3">
        <f>(1+'10. Whatif Control pannel'!$B$6)*T188</f>
        <v>1143.1728</v>
      </c>
      <c r="V188" s="3" t="str">
        <f t="shared" si="36"/>
        <v>Medium</v>
      </c>
      <c r="W188" s="34">
        <v>0.211</v>
      </c>
      <c r="X188" s="24" t="str">
        <f t="shared" si="37"/>
        <v>High Discount</v>
      </c>
      <c r="Y188" s="36">
        <f>IF(W188&lt;=0.25,W188,'10. Whatif Control pannel'!$B$2)</f>
        <v>0.211</v>
      </c>
      <c r="Z188" s="24">
        <v>6</v>
      </c>
      <c r="AA188" s="13">
        <f>(1+'10. Whatif Control pannel'!$B$10)*Z188</f>
        <v>7.2</v>
      </c>
      <c r="AB188" s="3">
        <f t="shared" si="38"/>
        <v>4831.94646</v>
      </c>
      <c r="AC188" s="3">
        <f t="shared" si="43"/>
        <v>6494.13604224</v>
      </c>
      <c r="AD188" s="3">
        <f t="shared" si="39"/>
        <v>3568.44</v>
      </c>
      <c r="AE188" s="3">
        <f t="shared" si="40"/>
        <v>1263.50646</v>
      </c>
      <c r="AF188" s="3">
        <f t="shared" si="44"/>
        <v>2925.69604224</v>
      </c>
      <c r="AG188">
        <f t="shared" si="41"/>
        <v>0.261490161461764</v>
      </c>
    </row>
    <row r="189" spans="1:33">
      <c r="A189" t="s">
        <v>360</v>
      </c>
      <c r="B189" s="20">
        <v>44955</v>
      </c>
      <c r="C189" s="2">
        <f t="shared" si="30"/>
        <v>1</v>
      </c>
      <c r="D189" s="21">
        <f t="shared" si="42"/>
        <v>44955</v>
      </c>
      <c r="E189" s="19" t="str">
        <f t="shared" si="31"/>
        <v>Quarter 1</v>
      </c>
      <c r="F189" s="19">
        <v>44985</v>
      </c>
      <c r="G189" s="19">
        <f t="shared" si="32"/>
        <v>44985</v>
      </c>
      <c r="H189" s="22">
        <f t="shared" si="33"/>
        <v>30</v>
      </c>
      <c r="I189" t="str">
        <f t="shared" si="34"/>
        <v>Delayed </v>
      </c>
      <c r="J189" t="s">
        <v>45</v>
      </c>
      <c r="K189" t="s">
        <v>60</v>
      </c>
      <c r="L189" t="s">
        <v>61</v>
      </c>
      <c r="M189" t="s">
        <v>39</v>
      </c>
      <c r="N189" t="s">
        <v>20</v>
      </c>
      <c r="O189" t="s">
        <v>56</v>
      </c>
      <c r="P189" t="s">
        <v>81</v>
      </c>
      <c r="Q189" t="s">
        <v>477</v>
      </c>
      <c r="R189" s="3">
        <v>1262.1</v>
      </c>
      <c r="S189" s="3">
        <v>1395.53</v>
      </c>
      <c r="T189" s="3">
        <f t="shared" si="35"/>
        <v>1395.53</v>
      </c>
      <c r="U189" s="3">
        <f>(1+'10. Whatif Control pannel'!$B$6)*T189</f>
        <v>1562.9936</v>
      </c>
      <c r="V189" s="3" t="str">
        <f t="shared" si="36"/>
        <v>Medium</v>
      </c>
      <c r="W189" s="34">
        <v>0.233</v>
      </c>
      <c r="X189" s="24" t="str">
        <f t="shared" si="37"/>
        <v>High Discount</v>
      </c>
      <c r="Y189" s="36">
        <f>IF(W189&lt;=0.25,W189,'10. Whatif Control pannel'!$B$2)</f>
        <v>0.233</v>
      </c>
      <c r="Z189" s="24">
        <v>25</v>
      </c>
      <c r="AA189" s="13">
        <f>(1+'10. Whatif Control pannel'!$B$10)*Z189</f>
        <v>30</v>
      </c>
      <c r="AB189" s="3">
        <f t="shared" si="38"/>
        <v>26759.28775</v>
      </c>
      <c r="AC189" s="3">
        <f t="shared" si="43"/>
        <v>35964.482736</v>
      </c>
      <c r="AD189" s="3">
        <f t="shared" si="39"/>
        <v>31552.5</v>
      </c>
      <c r="AE189" s="3">
        <f t="shared" si="40"/>
        <v>-4793.21225</v>
      </c>
      <c r="AF189" s="3">
        <f t="shared" si="44"/>
        <v>4411.982736</v>
      </c>
      <c r="AG189">
        <f t="shared" si="41"/>
        <v>-0.179123312054522</v>
      </c>
    </row>
    <row r="190" spans="1:33">
      <c r="A190" t="s">
        <v>478</v>
      </c>
      <c r="B190" s="20">
        <v>45126</v>
      </c>
      <c r="C190" s="2">
        <f t="shared" si="30"/>
        <v>7</v>
      </c>
      <c r="D190" s="21">
        <f t="shared" si="42"/>
        <v>45126</v>
      </c>
      <c r="E190" s="19" t="str">
        <f t="shared" si="31"/>
        <v>Quarter 3</v>
      </c>
      <c r="F190" s="19">
        <v>45138</v>
      </c>
      <c r="G190" s="19">
        <f t="shared" si="32"/>
        <v>45138</v>
      </c>
      <c r="H190" s="22">
        <f t="shared" si="33"/>
        <v>12</v>
      </c>
      <c r="I190" t="str">
        <f t="shared" si="34"/>
        <v>Delayed </v>
      </c>
      <c r="J190" t="s">
        <v>52</v>
      </c>
      <c r="K190" t="s">
        <v>73</v>
      </c>
      <c r="L190" t="s">
        <v>225</v>
      </c>
      <c r="M190" t="s">
        <v>19</v>
      </c>
      <c r="N190" t="s">
        <v>20</v>
      </c>
      <c r="O190" t="s">
        <v>21</v>
      </c>
      <c r="P190" t="s">
        <v>64</v>
      </c>
      <c r="Q190" t="s">
        <v>479</v>
      </c>
      <c r="R190" s="3">
        <v>1334.64</v>
      </c>
      <c r="S190" s="3">
        <v>2273.42</v>
      </c>
      <c r="T190" s="3">
        <f t="shared" si="35"/>
        <v>2273.42</v>
      </c>
      <c r="U190" s="3">
        <f>(1+'10. Whatif Control pannel'!$B$6)*T190</f>
        <v>2546.2304</v>
      </c>
      <c r="V190" s="3" t="str">
        <f t="shared" si="36"/>
        <v>High</v>
      </c>
      <c r="W190" s="34">
        <v>0.118</v>
      </c>
      <c r="X190" s="24" t="str">
        <f t="shared" si="37"/>
        <v>Okay</v>
      </c>
      <c r="Y190" s="36">
        <f>IF(W190&lt;=0.25,W190,'10. Whatif Control pannel'!$B$2)</f>
        <v>0.118</v>
      </c>
      <c r="Z190" s="24">
        <v>14</v>
      </c>
      <c r="AA190" s="13">
        <f>(1+'10. Whatif Control pannel'!$B$10)*Z190</f>
        <v>16.8</v>
      </c>
      <c r="AB190" s="3">
        <f t="shared" si="38"/>
        <v>28072.19016</v>
      </c>
      <c r="AC190" s="3">
        <f t="shared" si="43"/>
        <v>37729.02357504</v>
      </c>
      <c r="AD190" s="3">
        <f t="shared" si="39"/>
        <v>18684.96</v>
      </c>
      <c r="AE190" s="3">
        <f t="shared" si="40"/>
        <v>9387.23016</v>
      </c>
      <c r="AF190" s="3">
        <f t="shared" si="44"/>
        <v>19044.06357504</v>
      </c>
      <c r="AG190">
        <f t="shared" si="41"/>
        <v>0.334396073355753</v>
      </c>
    </row>
    <row r="191" spans="1:33">
      <c r="A191" t="s">
        <v>480</v>
      </c>
      <c r="B191" s="20">
        <v>45431</v>
      </c>
      <c r="C191" s="2">
        <f t="shared" si="30"/>
        <v>5</v>
      </c>
      <c r="D191" s="21">
        <f t="shared" si="42"/>
        <v>45431</v>
      </c>
      <c r="E191" s="19" t="str">
        <f t="shared" si="31"/>
        <v>Quarter 2</v>
      </c>
      <c r="F191" s="19">
        <v>45451</v>
      </c>
      <c r="G191" s="19">
        <f t="shared" si="32"/>
        <v>45451</v>
      </c>
      <c r="H191" s="22">
        <f t="shared" si="33"/>
        <v>20</v>
      </c>
      <c r="I191" t="str">
        <f t="shared" si="34"/>
        <v>Delayed </v>
      </c>
      <c r="J191" t="s">
        <v>52</v>
      </c>
      <c r="K191" t="s">
        <v>73</v>
      </c>
      <c r="L191" t="s">
        <v>87</v>
      </c>
      <c r="M191" t="s">
        <v>62</v>
      </c>
      <c r="N191" t="s">
        <v>20</v>
      </c>
      <c r="O191" t="s">
        <v>63</v>
      </c>
      <c r="P191" t="s">
        <v>64</v>
      </c>
      <c r="Q191" t="s">
        <v>481</v>
      </c>
      <c r="R191" s="3">
        <v>1075.9</v>
      </c>
      <c r="S191" s="3">
        <v>1242.15</v>
      </c>
      <c r="T191" s="3">
        <f t="shared" si="35"/>
        <v>1242.15</v>
      </c>
      <c r="U191" s="3">
        <f>(1+'10. Whatif Control pannel'!$B$6)*T191</f>
        <v>1391.208</v>
      </c>
      <c r="V191" s="3" t="str">
        <f t="shared" si="36"/>
        <v>Medium</v>
      </c>
      <c r="W191" s="34">
        <v>0.012</v>
      </c>
      <c r="X191" s="24" t="str">
        <f t="shared" si="37"/>
        <v>Okay</v>
      </c>
      <c r="Y191" s="36">
        <f>IF(W191&lt;=0.25,W191,'10. Whatif Control pannel'!$B$2)</f>
        <v>0.012</v>
      </c>
      <c r="Z191" s="24">
        <v>7</v>
      </c>
      <c r="AA191" s="13">
        <f>(1+'10. Whatif Control pannel'!$B$10)*Z191</f>
        <v>8.4</v>
      </c>
      <c r="AB191" s="3">
        <f t="shared" si="38"/>
        <v>8590.7094</v>
      </c>
      <c r="AC191" s="3">
        <f t="shared" si="43"/>
        <v>11545.9134336</v>
      </c>
      <c r="AD191" s="3">
        <f t="shared" si="39"/>
        <v>7531.3</v>
      </c>
      <c r="AE191" s="3">
        <f t="shared" si="40"/>
        <v>1059.4094</v>
      </c>
      <c r="AF191" s="3">
        <f t="shared" si="44"/>
        <v>4014.6134336</v>
      </c>
      <c r="AG191">
        <f t="shared" si="41"/>
        <v>0.123320362809619</v>
      </c>
    </row>
    <row r="192" spans="1:33">
      <c r="A192" t="s">
        <v>482</v>
      </c>
      <c r="B192" s="20">
        <v>45325</v>
      </c>
      <c r="C192" s="2">
        <f t="shared" si="30"/>
        <v>2</v>
      </c>
      <c r="D192" s="21">
        <f t="shared" si="42"/>
        <v>45325</v>
      </c>
      <c r="E192" s="19" t="str">
        <f t="shared" si="31"/>
        <v>Quarter 1</v>
      </c>
      <c r="F192" s="19">
        <v>45341</v>
      </c>
      <c r="G192" s="19">
        <f t="shared" si="32"/>
        <v>45341</v>
      </c>
      <c r="H192" s="22">
        <f t="shared" si="33"/>
        <v>16</v>
      </c>
      <c r="I192" t="str">
        <f t="shared" si="34"/>
        <v>Delayed </v>
      </c>
      <c r="J192" t="s">
        <v>45</v>
      </c>
      <c r="K192" t="s">
        <v>116</v>
      </c>
      <c r="L192" t="s">
        <v>117</v>
      </c>
      <c r="M192" t="s">
        <v>62</v>
      </c>
      <c r="N192" t="s">
        <v>28</v>
      </c>
      <c r="O192" t="s">
        <v>92</v>
      </c>
      <c r="P192" t="s">
        <v>57</v>
      </c>
      <c r="Q192" t="s">
        <v>483</v>
      </c>
      <c r="R192" s="3">
        <v>993.75</v>
      </c>
      <c r="S192" s="3">
        <v>1310.29</v>
      </c>
      <c r="T192" s="3">
        <f t="shared" si="35"/>
        <v>1310.29</v>
      </c>
      <c r="U192" s="3">
        <f>(1+'10. Whatif Control pannel'!$B$6)*T192</f>
        <v>1467.5248</v>
      </c>
      <c r="V192" s="3" t="str">
        <f t="shared" si="36"/>
        <v>Medium</v>
      </c>
      <c r="W192" s="34">
        <v>0.215</v>
      </c>
      <c r="X192" s="24" t="str">
        <f t="shared" si="37"/>
        <v>High Discount</v>
      </c>
      <c r="Y192" s="36">
        <f>IF(W192&lt;=0.25,W192,'10. Whatif Control pannel'!$B$2)</f>
        <v>0.215</v>
      </c>
      <c r="Z192" s="24">
        <v>19</v>
      </c>
      <c r="AA192" s="13">
        <f>(1+'10. Whatif Control pannel'!$B$10)*Z192</f>
        <v>22.8</v>
      </c>
      <c r="AB192" s="3">
        <f t="shared" si="38"/>
        <v>19542.97535</v>
      </c>
      <c r="AC192" s="3">
        <f t="shared" si="43"/>
        <v>26265.7588704</v>
      </c>
      <c r="AD192" s="3">
        <f t="shared" si="39"/>
        <v>18881.25</v>
      </c>
      <c r="AE192" s="3">
        <f t="shared" si="40"/>
        <v>661.725350000001</v>
      </c>
      <c r="AF192" s="3">
        <f t="shared" si="44"/>
        <v>7384.5088704</v>
      </c>
      <c r="AG192">
        <f t="shared" si="41"/>
        <v>0.0338600104717422</v>
      </c>
    </row>
    <row r="193" spans="1:33">
      <c r="A193" t="s">
        <v>484</v>
      </c>
      <c r="B193" s="20">
        <v>45146</v>
      </c>
      <c r="C193" s="2">
        <f t="shared" si="30"/>
        <v>8</v>
      </c>
      <c r="D193" s="21">
        <f t="shared" si="42"/>
        <v>45146</v>
      </c>
      <c r="E193" s="19" t="str">
        <f t="shared" si="31"/>
        <v>Quarter 3</v>
      </c>
      <c r="F193" s="19">
        <v>45160</v>
      </c>
      <c r="G193" s="19">
        <f t="shared" si="32"/>
        <v>45160</v>
      </c>
      <c r="H193" s="22">
        <f t="shared" si="33"/>
        <v>14</v>
      </c>
      <c r="I193" t="str">
        <f t="shared" si="34"/>
        <v>Delayed </v>
      </c>
      <c r="J193" t="s">
        <v>78</v>
      </c>
      <c r="K193" t="s">
        <v>108</v>
      </c>
      <c r="L193" t="s">
        <v>109</v>
      </c>
      <c r="M193" t="s">
        <v>39</v>
      </c>
      <c r="N193" t="s">
        <v>98</v>
      </c>
      <c r="O193" t="s">
        <v>126</v>
      </c>
      <c r="P193" t="s">
        <v>64</v>
      </c>
      <c r="Q193" t="s">
        <v>485</v>
      </c>
      <c r="R193" s="3">
        <v>446.69</v>
      </c>
      <c r="S193" s="3">
        <v>967.25</v>
      </c>
      <c r="T193" s="3">
        <f t="shared" si="35"/>
        <v>967.25</v>
      </c>
      <c r="U193" s="3">
        <f>(1+'10. Whatif Control pannel'!$B$6)*T193</f>
        <v>1083.32</v>
      </c>
      <c r="V193" s="3" t="str">
        <f t="shared" si="36"/>
        <v>Medium</v>
      </c>
      <c r="W193" s="34">
        <v>0.094</v>
      </c>
      <c r="X193" s="24" t="str">
        <f t="shared" si="37"/>
        <v>Okay</v>
      </c>
      <c r="Y193" s="36">
        <f>IF(W193&lt;=0.25,W193,'10. Whatif Control pannel'!$B$2)</f>
        <v>0.094</v>
      </c>
      <c r="Z193" s="24">
        <v>10</v>
      </c>
      <c r="AA193" s="13">
        <f>(1+'10. Whatif Control pannel'!$B$10)*Z193</f>
        <v>12</v>
      </c>
      <c r="AB193" s="3">
        <f t="shared" si="38"/>
        <v>8763.285</v>
      </c>
      <c r="AC193" s="3">
        <f t="shared" si="43"/>
        <v>11777.85504</v>
      </c>
      <c r="AD193" s="3">
        <f t="shared" si="39"/>
        <v>4466.9</v>
      </c>
      <c r="AE193" s="3">
        <f t="shared" si="40"/>
        <v>4296.385</v>
      </c>
      <c r="AF193" s="3">
        <f t="shared" si="44"/>
        <v>7310.95504</v>
      </c>
      <c r="AG193">
        <f t="shared" si="41"/>
        <v>0.490271057029413</v>
      </c>
    </row>
    <row r="194" spans="1:33">
      <c r="A194" t="s">
        <v>486</v>
      </c>
      <c r="B194" s="20">
        <v>45516</v>
      </c>
      <c r="C194" s="2">
        <f t="shared" ref="C194:C257" si="45">MONTH(B194)</f>
        <v>8</v>
      </c>
      <c r="D194" s="21">
        <f t="shared" si="42"/>
        <v>45516</v>
      </c>
      <c r="E194" s="19" t="str">
        <f t="shared" ref="E194:E257" si="46">IF(AND(MONTH(B194)&gt;=1,MONTH(B194)&lt;=3),"Quarter 1",IF(AND(MONTH(B194)&gt;=4,MONTH(B194)&lt;=6),"Quarter 2",IF(AND(MONTH(B194)&gt;=7,MONTH(B194)&lt;=9),"Quarter 3",IF(AND(MONTH(B194)&gt;=10,MONTH(B194)&lt;=12),"Quarter 4"))))</f>
        <v>Quarter 3</v>
      </c>
      <c r="F194" s="19">
        <v>45538</v>
      </c>
      <c r="G194" s="19">
        <f t="shared" ref="G194:G257" si="47">IF(B194&gt;F194,B194+7,F194)</f>
        <v>45538</v>
      </c>
      <c r="H194" s="22">
        <f t="shared" ref="H194:H257" si="48">G194-B194</f>
        <v>22</v>
      </c>
      <c r="I194" t="str">
        <f t="shared" ref="I194:I257" si="49">IF(H194&lt;=7,"Ontime","Delayed ")</f>
        <v>Delayed </v>
      </c>
      <c r="J194" t="s">
        <v>52</v>
      </c>
      <c r="K194" t="s">
        <v>122</v>
      </c>
      <c r="L194" t="s">
        <v>326</v>
      </c>
      <c r="M194" t="s">
        <v>48</v>
      </c>
      <c r="N194" t="s">
        <v>55</v>
      </c>
      <c r="O194" t="s">
        <v>34</v>
      </c>
      <c r="P194" t="s">
        <v>57</v>
      </c>
      <c r="Q194" t="s">
        <v>487</v>
      </c>
      <c r="R194" s="3">
        <v>797.8</v>
      </c>
      <c r="S194" s="3">
        <v>886.22</v>
      </c>
      <c r="T194" s="3">
        <f t="shared" ref="T194:T257" si="50">IF(S194&lt;=0,R194,S194)</f>
        <v>886.22</v>
      </c>
      <c r="U194" s="3">
        <f>(1+'10. Whatif Control pannel'!$B$6)*T194</f>
        <v>992.5664</v>
      </c>
      <c r="V194" s="3" t="str">
        <f t="shared" ref="V194:V257" si="51">IF(T194&lt;=_xlfn.PERCENTILE.INC(T194:T825,33%),"Low",IF(T194&lt;=_xlfn.PERCENTILE.INC(T194:T825,67%),"Medium","High"))</f>
        <v>Medium</v>
      </c>
      <c r="W194" s="34">
        <v>0.236</v>
      </c>
      <c r="X194" s="24" t="str">
        <f t="shared" ref="X194:X257" si="52">IF(W194&gt;0.2,"High Discount","Okay")</f>
        <v>High Discount</v>
      </c>
      <c r="Y194" s="36">
        <f>IF(W194&lt;=0.25,W194,'10. Whatif Control pannel'!$B$2)</f>
        <v>0.236</v>
      </c>
      <c r="Z194" s="24">
        <v>36</v>
      </c>
      <c r="AA194" s="13">
        <f>(1+'10. Whatif Control pannel'!$B$10)*Z194</f>
        <v>43.2</v>
      </c>
      <c r="AB194" s="3">
        <f t="shared" ref="AB194:AB257" si="53">T194*Z194*(1-W194)</f>
        <v>24374.59488</v>
      </c>
      <c r="AC194" s="3">
        <f t="shared" si="43"/>
        <v>32759.45551872</v>
      </c>
      <c r="AD194" s="3">
        <f t="shared" ref="AD194:AD257" si="54">R194*Z194</f>
        <v>28720.8</v>
      </c>
      <c r="AE194" s="3">
        <f t="shared" ref="AE194:AE257" si="55">AB194-AD194</f>
        <v>-4346.20512</v>
      </c>
      <c r="AF194" s="3">
        <f t="shared" si="44"/>
        <v>4038.65551872001</v>
      </c>
      <c r="AG194">
        <f t="shared" ref="AG194:AG257" si="56">IF(AB194=0,0,AE194/AB194)</f>
        <v>-0.178308814624286</v>
      </c>
    </row>
    <row r="195" spans="1:33">
      <c r="A195" t="s">
        <v>488</v>
      </c>
      <c r="B195" s="20">
        <v>45214</v>
      </c>
      <c r="C195" s="2">
        <f t="shared" si="45"/>
        <v>10</v>
      </c>
      <c r="D195" s="21">
        <f t="shared" ref="D195:D258" si="57">B195</f>
        <v>45214</v>
      </c>
      <c r="E195" s="19" t="str">
        <f t="shared" si="46"/>
        <v>Quarter 4</v>
      </c>
      <c r="F195" s="19">
        <v>45243</v>
      </c>
      <c r="G195" s="19">
        <f t="shared" si="47"/>
        <v>45243</v>
      </c>
      <c r="H195" s="22">
        <f t="shared" si="48"/>
        <v>29</v>
      </c>
      <c r="I195" t="str">
        <f t="shared" si="49"/>
        <v>Delayed </v>
      </c>
      <c r="J195" t="s">
        <v>45</v>
      </c>
      <c r="K195" t="s">
        <v>116</v>
      </c>
      <c r="L195" t="s">
        <v>117</v>
      </c>
      <c r="M195" t="s">
        <v>39</v>
      </c>
      <c r="N195" t="s">
        <v>55</v>
      </c>
      <c r="O195" t="s">
        <v>29</v>
      </c>
      <c r="P195" t="s">
        <v>30</v>
      </c>
      <c r="Q195" t="s">
        <v>489</v>
      </c>
      <c r="R195" s="3">
        <v>986.44</v>
      </c>
      <c r="S195" s="3">
        <v>790.61</v>
      </c>
      <c r="T195" s="3">
        <f t="shared" si="50"/>
        <v>790.61</v>
      </c>
      <c r="U195" s="3">
        <f>(1+'10. Whatif Control pannel'!$B$6)*T195</f>
        <v>885.4832</v>
      </c>
      <c r="V195" s="3" t="str">
        <f t="shared" si="51"/>
        <v>Low</v>
      </c>
      <c r="W195" s="34">
        <v>0.072</v>
      </c>
      <c r="X195" s="24" t="str">
        <f t="shared" si="52"/>
        <v>Okay</v>
      </c>
      <c r="Y195" s="36">
        <f>IF(W195&lt;=0.25,W195,'10. Whatif Control pannel'!$B$2)</f>
        <v>0.072</v>
      </c>
      <c r="Z195" s="24">
        <v>6</v>
      </c>
      <c r="AA195" s="13">
        <f>(1+'10. Whatif Control pannel'!$B$10)*Z195</f>
        <v>7.2</v>
      </c>
      <c r="AB195" s="3">
        <f t="shared" si="53"/>
        <v>4402.11648</v>
      </c>
      <c r="AC195" s="3">
        <f t="shared" ref="AC195:AC258" si="58">U195*AA195*(1-Y195)</f>
        <v>5916.44454912</v>
      </c>
      <c r="AD195" s="3">
        <f t="shared" si="54"/>
        <v>5918.64</v>
      </c>
      <c r="AE195" s="3">
        <f t="shared" si="55"/>
        <v>-1516.52352</v>
      </c>
      <c r="AF195" s="3">
        <f t="shared" ref="AF195:AF258" si="59">AC195-AD195</f>
        <v>-2.19545087999995</v>
      </c>
      <c r="AG195">
        <f t="shared" si="56"/>
        <v>-0.344498726212715</v>
      </c>
    </row>
    <row r="196" spans="1:33">
      <c r="A196" t="s">
        <v>490</v>
      </c>
      <c r="B196" s="20">
        <v>45050</v>
      </c>
      <c r="C196" s="2">
        <f t="shared" si="45"/>
        <v>5</v>
      </c>
      <c r="D196" s="21">
        <f t="shared" si="57"/>
        <v>45050</v>
      </c>
      <c r="E196" s="19" t="str">
        <f t="shared" si="46"/>
        <v>Quarter 2</v>
      </c>
      <c r="F196" s="19">
        <v>45072</v>
      </c>
      <c r="G196" s="19">
        <f t="shared" si="47"/>
        <v>45072</v>
      </c>
      <c r="H196" s="22">
        <f t="shared" si="48"/>
        <v>22</v>
      </c>
      <c r="I196" t="str">
        <f t="shared" si="49"/>
        <v>Delayed </v>
      </c>
      <c r="J196" t="s">
        <v>52</v>
      </c>
      <c r="K196" t="s">
        <v>122</v>
      </c>
      <c r="L196" t="s">
        <v>167</v>
      </c>
      <c r="M196" t="s">
        <v>105</v>
      </c>
      <c r="N196" t="s">
        <v>28</v>
      </c>
      <c r="O196" t="s">
        <v>29</v>
      </c>
      <c r="P196" t="s">
        <v>35</v>
      </c>
      <c r="Q196" t="s">
        <v>491</v>
      </c>
      <c r="R196" s="3">
        <v>249.71</v>
      </c>
      <c r="S196" s="3">
        <v>361.33</v>
      </c>
      <c r="T196" s="3">
        <f t="shared" si="50"/>
        <v>361.33</v>
      </c>
      <c r="U196" s="3">
        <f>(1+'10. Whatif Control pannel'!$B$6)*T196</f>
        <v>404.6896</v>
      </c>
      <c r="V196" s="3" t="str">
        <f t="shared" si="51"/>
        <v>Low</v>
      </c>
      <c r="W196" s="34">
        <v>0.094</v>
      </c>
      <c r="X196" s="24" t="str">
        <f t="shared" si="52"/>
        <v>Okay</v>
      </c>
      <c r="Y196" s="36">
        <f>IF(W196&lt;=0.25,W196,'10. Whatif Control pannel'!$B$2)</f>
        <v>0.094</v>
      </c>
      <c r="Z196" s="24">
        <v>12</v>
      </c>
      <c r="AA196" s="13">
        <f>(1+'10. Whatif Control pannel'!$B$10)*Z196</f>
        <v>14.4</v>
      </c>
      <c r="AB196" s="3">
        <f t="shared" si="53"/>
        <v>3928.37976</v>
      </c>
      <c r="AC196" s="3">
        <f t="shared" si="58"/>
        <v>5279.74239744</v>
      </c>
      <c r="AD196" s="3">
        <f t="shared" si="54"/>
        <v>2996.52</v>
      </c>
      <c r="AE196" s="3">
        <f t="shared" si="55"/>
        <v>931.85976</v>
      </c>
      <c r="AF196" s="3">
        <f t="shared" si="59"/>
        <v>2283.22239744</v>
      </c>
      <c r="AG196">
        <f t="shared" si="56"/>
        <v>0.237212239378812</v>
      </c>
    </row>
    <row r="197" spans="1:33">
      <c r="A197" t="s">
        <v>492</v>
      </c>
      <c r="B197" s="20">
        <v>45557</v>
      </c>
      <c r="C197" s="2">
        <f t="shared" si="45"/>
        <v>9</v>
      </c>
      <c r="D197" s="21">
        <f t="shared" si="57"/>
        <v>45557</v>
      </c>
      <c r="E197" s="19" t="str">
        <f t="shared" si="46"/>
        <v>Quarter 3</v>
      </c>
      <c r="F197" s="19">
        <v>45566</v>
      </c>
      <c r="G197" s="19">
        <f t="shared" si="47"/>
        <v>45566</v>
      </c>
      <c r="H197" s="22">
        <f t="shared" si="48"/>
        <v>9</v>
      </c>
      <c r="I197" t="str">
        <f t="shared" si="49"/>
        <v>Delayed </v>
      </c>
      <c r="J197" t="s">
        <v>52</v>
      </c>
      <c r="K197" t="s">
        <v>73</v>
      </c>
      <c r="L197" t="s">
        <v>74</v>
      </c>
      <c r="M197" t="s">
        <v>39</v>
      </c>
      <c r="N197" t="s">
        <v>28</v>
      </c>
      <c r="O197" t="s">
        <v>95</v>
      </c>
      <c r="P197" t="s">
        <v>64</v>
      </c>
      <c r="Q197" t="s">
        <v>493</v>
      </c>
      <c r="R197" s="3">
        <v>1378.8</v>
      </c>
      <c r="S197" s="3">
        <v>1952.04</v>
      </c>
      <c r="T197" s="3">
        <f t="shared" si="50"/>
        <v>1952.04</v>
      </c>
      <c r="U197" s="3">
        <f>(1+'10. Whatif Control pannel'!$B$6)*T197</f>
        <v>2186.2848</v>
      </c>
      <c r="V197" s="3" t="str">
        <f t="shared" si="51"/>
        <v>High</v>
      </c>
      <c r="W197" s="34">
        <v>0.159</v>
      </c>
      <c r="X197" s="24" t="str">
        <f t="shared" si="52"/>
        <v>Okay</v>
      </c>
      <c r="Y197" s="36">
        <f>IF(W197&lt;=0.25,W197,'10. Whatif Control pannel'!$B$2)</f>
        <v>0.159</v>
      </c>
      <c r="Z197" s="24">
        <v>19</v>
      </c>
      <c r="AA197" s="13">
        <f>(1+'10. Whatif Control pannel'!$B$10)*Z197</f>
        <v>22.8</v>
      </c>
      <c r="AB197" s="3">
        <f t="shared" si="53"/>
        <v>31191.64716</v>
      </c>
      <c r="AC197" s="3">
        <f t="shared" si="58"/>
        <v>41921.57378304</v>
      </c>
      <c r="AD197" s="3">
        <f t="shared" si="54"/>
        <v>26197.2</v>
      </c>
      <c r="AE197" s="3">
        <f t="shared" si="55"/>
        <v>4994.44716</v>
      </c>
      <c r="AF197" s="3">
        <f t="shared" si="59"/>
        <v>15724.37378304</v>
      </c>
      <c r="AG197">
        <f t="shared" si="56"/>
        <v>0.160121302167231</v>
      </c>
    </row>
    <row r="198" spans="1:33">
      <c r="A198" t="s">
        <v>494</v>
      </c>
      <c r="B198" s="20">
        <v>45588</v>
      </c>
      <c r="C198" s="2">
        <f t="shared" si="45"/>
        <v>10</v>
      </c>
      <c r="D198" s="21">
        <f t="shared" si="57"/>
        <v>45588</v>
      </c>
      <c r="E198" s="19" t="str">
        <f t="shared" si="46"/>
        <v>Quarter 4</v>
      </c>
      <c r="F198" s="19">
        <v>45610</v>
      </c>
      <c r="G198" s="19">
        <f t="shared" si="47"/>
        <v>45610</v>
      </c>
      <c r="H198" s="22">
        <f t="shared" si="48"/>
        <v>22</v>
      </c>
      <c r="I198" t="str">
        <f t="shared" si="49"/>
        <v>Delayed </v>
      </c>
      <c r="J198" t="s">
        <v>45</v>
      </c>
      <c r="K198" t="s">
        <v>46</v>
      </c>
      <c r="L198" t="s">
        <v>47</v>
      </c>
      <c r="M198" t="s">
        <v>39</v>
      </c>
      <c r="N198" t="s">
        <v>98</v>
      </c>
      <c r="O198" t="s">
        <v>56</v>
      </c>
      <c r="P198" t="s">
        <v>42</v>
      </c>
      <c r="Q198" t="s">
        <v>495</v>
      </c>
      <c r="R198" s="3">
        <v>1406.4</v>
      </c>
      <c r="S198" s="3">
        <v>1564.76</v>
      </c>
      <c r="T198" s="3">
        <f t="shared" si="50"/>
        <v>1564.76</v>
      </c>
      <c r="U198" s="3">
        <f>(1+'10. Whatif Control pannel'!$B$6)*T198</f>
        <v>1752.5312</v>
      </c>
      <c r="V198" s="3" t="str">
        <f t="shared" si="51"/>
        <v>Medium</v>
      </c>
      <c r="W198" s="34">
        <v>0.185</v>
      </c>
      <c r="X198" s="24" t="str">
        <f t="shared" si="52"/>
        <v>Okay</v>
      </c>
      <c r="Y198" s="36">
        <f>IF(W198&lt;=0.25,W198,'10. Whatif Control pannel'!$B$2)</f>
        <v>0.185</v>
      </c>
      <c r="Z198" s="24">
        <v>17</v>
      </c>
      <c r="AA198" s="13">
        <f>(1+'10. Whatif Control pannel'!$B$10)*Z198</f>
        <v>20.4</v>
      </c>
      <c r="AB198" s="3">
        <f t="shared" si="53"/>
        <v>21679.7498</v>
      </c>
      <c r="AC198" s="3">
        <f t="shared" si="58"/>
        <v>29137.5837312</v>
      </c>
      <c r="AD198" s="3">
        <f t="shared" si="54"/>
        <v>23908.8</v>
      </c>
      <c r="AE198" s="3">
        <f t="shared" si="55"/>
        <v>-2229.05020000001</v>
      </c>
      <c r="AF198" s="3">
        <f t="shared" si="59"/>
        <v>5228.7837312</v>
      </c>
      <c r="AG198">
        <f t="shared" si="56"/>
        <v>-0.102817155205362</v>
      </c>
    </row>
    <row r="199" spans="1:33">
      <c r="A199" t="s">
        <v>496</v>
      </c>
      <c r="B199" s="20">
        <v>45333</v>
      </c>
      <c r="C199" s="2">
        <f t="shared" si="45"/>
        <v>2</v>
      </c>
      <c r="D199" s="21">
        <f t="shared" si="57"/>
        <v>45333</v>
      </c>
      <c r="E199" s="19" t="str">
        <f t="shared" si="46"/>
        <v>Quarter 1</v>
      </c>
      <c r="F199" s="19">
        <v>45354</v>
      </c>
      <c r="G199" s="19">
        <f t="shared" si="47"/>
        <v>45354</v>
      </c>
      <c r="H199" s="22">
        <f t="shared" si="48"/>
        <v>21</v>
      </c>
      <c r="I199" t="str">
        <f t="shared" si="49"/>
        <v>Delayed </v>
      </c>
      <c r="J199" t="s">
        <v>16</v>
      </c>
      <c r="K199" t="s">
        <v>17</v>
      </c>
      <c r="L199" t="s">
        <v>18</v>
      </c>
      <c r="M199" t="s">
        <v>105</v>
      </c>
      <c r="N199" t="s">
        <v>28</v>
      </c>
      <c r="O199" t="s">
        <v>56</v>
      </c>
      <c r="P199" t="s">
        <v>42</v>
      </c>
      <c r="Q199" t="s">
        <v>497</v>
      </c>
      <c r="R199" s="3">
        <v>516.86</v>
      </c>
      <c r="S199" s="3">
        <v>852.54</v>
      </c>
      <c r="T199" s="3">
        <f t="shared" si="50"/>
        <v>852.54</v>
      </c>
      <c r="U199" s="3">
        <f>(1+'10. Whatif Control pannel'!$B$6)*T199</f>
        <v>954.8448</v>
      </c>
      <c r="V199" s="3" t="str">
        <f t="shared" si="51"/>
        <v>Low</v>
      </c>
      <c r="W199" s="34">
        <v>0.051</v>
      </c>
      <c r="X199" s="24" t="str">
        <f t="shared" si="52"/>
        <v>Okay</v>
      </c>
      <c r="Y199" s="36">
        <f>IF(W199&lt;=0.25,W199,'10. Whatif Control pannel'!$B$2)</f>
        <v>0.051</v>
      </c>
      <c r="Z199" s="24">
        <v>14</v>
      </c>
      <c r="AA199" s="13">
        <f>(1+'10. Whatif Control pannel'!$B$10)*Z199</f>
        <v>16.8</v>
      </c>
      <c r="AB199" s="3">
        <f t="shared" si="53"/>
        <v>11326.84644</v>
      </c>
      <c r="AC199" s="3">
        <f t="shared" si="58"/>
        <v>15223.28161536</v>
      </c>
      <c r="AD199" s="3">
        <f t="shared" si="54"/>
        <v>7236.04</v>
      </c>
      <c r="AE199" s="3">
        <f t="shared" si="55"/>
        <v>4090.80644</v>
      </c>
      <c r="AF199" s="3">
        <f t="shared" si="59"/>
        <v>7987.24161536</v>
      </c>
      <c r="AG199">
        <f t="shared" si="56"/>
        <v>0.36116022775356</v>
      </c>
    </row>
    <row r="200" spans="1:33">
      <c r="A200" t="s">
        <v>498</v>
      </c>
      <c r="B200" s="20">
        <v>44956</v>
      </c>
      <c r="C200" s="2">
        <f t="shared" si="45"/>
        <v>1</v>
      </c>
      <c r="D200" s="21">
        <f t="shared" si="57"/>
        <v>44956</v>
      </c>
      <c r="E200" s="19" t="str">
        <f t="shared" si="46"/>
        <v>Quarter 1</v>
      </c>
      <c r="F200" s="19">
        <v>44978</v>
      </c>
      <c r="G200" s="19">
        <f t="shared" si="47"/>
        <v>44978</v>
      </c>
      <c r="H200" s="22">
        <f t="shared" si="48"/>
        <v>22</v>
      </c>
      <c r="I200" t="str">
        <f t="shared" si="49"/>
        <v>Delayed </v>
      </c>
      <c r="J200" t="s">
        <v>78</v>
      </c>
      <c r="K200" t="s">
        <v>79</v>
      </c>
      <c r="L200" t="s">
        <v>159</v>
      </c>
      <c r="M200" t="s">
        <v>62</v>
      </c>
      <c r="N200" t="s">
        <v>40</v>
      </c>
      <c r="O200" t="s">
        <v>41</v>
      </c>
      <c r="P200" t="s">
        <v>35</v>
      </c>
      <c r="Q200" t="s">
        <v>499</v>
      </c>
      <c r="R200" s="3">
        <v>1142.88</v>
      </c>
      <c r="S200" s="3">
        <v>1465.29</v>
      </c>
      <c r="T200" s="3">
        <f t="shared" si="50"/>
        <v>1465.29</v>
      </c>
      <c r="U200" s="3">
        <f>(1+'10. Whatif Control pannel'!$B$6)*T200</f>
        <v>1641.1248</v>
      </c>
      <c r="V200" s="3" t="str">
        <f t="shared" si="51"/>
        <v>Medium</v>
      </c>
      <c r="W200" s="34">
        <v>0.186</v>
      </c>
      <c r="X200" s="24" t="str">
        <f t="shared" si="52"/>
        <v>Okay</v>
      </c>
      <c r="Y200" s="36">
        <f>IF(W200&lt;=0.25,W200,'10. Whatif Control pannel'!$B$2)</f>
        <v>0.186</v>
      </c>
      <c r="Z200" s="24">
        <v>7</v>
      </c>
      <c r="AA200" s="13">
        <f>(1+'10. Whatif Control pannel'!$B$10)*Z200</f>
        <v>8.4</v>
      </c>
      <c r="AB200" s="3">
        <f t="shared" si="53"/>
        <v>8349.22242</v>
      </c>
      <c r="AC200" s="3">
        <f t="shared" si="58"/>
        <v>11221.35493248</v>
      </c>
      <c r="AD200" s="3">
        <f t="shared" si="54"/>
        <v>8000.16</v>
      </c>
      <c r="AE200" s="3">
        <f t="shared" si="55"/>
        <v>349.062419999999</v>
      </c>
      <c r="AF200" s="3">
        <f t="shared" si="59"/>
        <v>3221.19493248</v>
      </c>
      <c r="AG200">
        <f t="shared" si="56"/>
        <v>0.0418077759150174</v>
      </c>
    </row>
    <row r="201" spans="1:33">
      <c r="A201" t="s">
        <v>500</v>
      </c>
      <c r="B201" s="20">
        <v>45030</v>
      </c>
      <c r="C201" s="2">
        <f t="shared" si="45"/>
        <v>4</v>
      </c>
      <c r="D201" s="21">
        <f t="shared" si="57"/>
        <v>45030</v>
      </c>
      <c r="E201" s="19" t="str">
        <f t="shared" si="46"/>
        <v>Quarter 2</v>
      </c>
      <c r="F201" s="19">
        <v>45059</v>
      </c>
      <c r="G201" s="19">
        <f t="shared" si="47"/>
        <v>45059</v>
      </c>
      <c r="H201" s="22">
        <f t="shared" si="48"/>
        <v>29</v>
      </c>
      <c r="I201" t="str">
        <f t="shared" si="49"/>
        <v>Delayed </v>
      </c>
      <c r="J201" t="s">
        <v>78</v>
      </c>
      <c r="K201" t="s">
        <v>79</v>
      </c>
      <c r="L201" t="s">
        <v>335</v>
      </c>
      <c r="M201" t="s">
        <v>48</v>
      </c>
      <c r="N201" t="s">
        <v>98</v>
      </c>
      <c r="O201" t="s">
        <v>29</v>
      </c>
      <c r="P201" t="s">
        <v>30</v>
      </c>
      <c r="Q201" t="s">
        <v>501</v>
      </c>
      <c r="R201" s="3">
        <v>1320.33</v>
      </c>
      <c r="S201" s="3">
        <v>2645.23</v>
      </c>
      <c r="T201" s="3">
        <f t="shared" si="50"/>
        <v>2645.23</v>
      </c>
      <c r="U201" s="3">
        <f>(1+'10. Whatif Control pannel'!$B$6)*T201</f>
        <v>2962.6576</v>
      </c>
      <c r="V201" s="3" t="str">
        <f t="shared" si="51"/>
        <v>High</v>
      </c>
      <c r="W201" s="34">
        <v>0.155</v>
      </c>
      <c r="X201" s="24" t="str">
        <f t="shared" si="52"/>
        <v>Okay</v>
      </c>
      <c r="Y201" s="36">
        <f>IF(W201&lt;=0.25,W201,'10. Whatif Control pannel'!$B$2)</f>
        <v>0.155</v>
      </c>
      <c r="Z201" s="24">
        <v>25</v>
      </c>
      <c r="AA201" s="13">
        <f>(1+'10. Whatif Control pannel'!$B$10)*Z201</f>
        <v>30</v>
      </c>
      <c r="AB201" s="3">
        <f t="shared" si="53"/>
        <v>55880.48375</v>
      </c>
      <c r="AC201" s="3">
        <f t="shared" si="58"/>
        <v>75103.37016</v>
      </c>
      <c r="AD201" s="3">
        <f t="shared" si="54"/>
        <v>33008.25</v>
      </c>
      <c r="AE201" s="3">
        <f t="shared" si="55"/>
        <v>22872.23375</v>
      </c>
      <c r="AF201" s="3">
        <f t="shared" si="59"/>
        <v>42095.12016</v>
      </c>
      <c r="AG201">
        <f t="shared" si="56"/>
        <v>0.409306294704365</v>
      </c>
    </row>
    <row r="202" spans="1:33">
      <c r="A202" t="s">
        <v>502</v>
      </c>
      <c r="B202" s="20">
        <v>44939</v>
      </c>
      <c r="C202" s="2">
        <f t="shared" si="45"/>
        <v>1</v>
      </c>
      <c r="D202" s="21">
        <f t="shared" si="57"/>
        <v>44939</v>
      </c>
      <c r="E202" s="19" t="str">
        <f t="shared" si="46"/>
        <v>Quarter 1</v>
      </c>
      <c r="F202" s="19">
        <v>44945</v>
      </c>
      <c r="G202" s="19">
        <f t="shared" si="47"/>
        <v>44945</v>
      </c>
      <c r="H202" s="22">
        <f t="shared" si="48"/>
        <v>6</v>
      </c>
      <c r="I202" t="str">
        <f t="shared" si="49"/>
        <v>Ontime</v>
      </c>
      <c r="J202" t="s">
        <v>52</v>
      </c>
      <c r="K202" t="s">
        <v>122</v>
      </c>
      <c r="L202" t="s">
        <v>123</v>
      </c>
      <c r="M202" t="s">
        <v>19</v>
      </c>
      <c r="N202" t="s">
        <v>98</v>
      </c>
      <c r="O202" t="s">
        <v>92</v>
      </c>
      <c r="P202" t="s">
        <v>42</v>
      </c>
      <c r="Q202" t="s">
        <v>503</v>
      </c>
      <c r="R202" s="3">
        <v>833.57</v>
      </c>
      <c r="S202" s="3">
        <v>881.57</v>
      </c>
      <c r="T202" s="3">
        <f t="shared" si="50"/>
        <v>881.57</v>
      </c>
      <c r="U202" s="3">
        <f>(1+'10. Whatif Control pannel'!$B$6)*T202</f>
        <v>987.3584</v>
      </c>
      <c r="V202" s="3" t="str">
        <f t="shared" si="51"/>
        <v>Medium</v>
      </c>
      <c r="W202" s="34">
        <v>0.057</v>
      </c>
      <c r="X202" s="24" t="str">
        <f t="shared" si="52"/>
        <v>Okay</v>
      </c>
      <c r="Y202" s="36">
        <f>IF(W202&lt;=0.25,W202,'10. Whatif Control pannel'!$B$2)</f>
        <v>0.057</v>
      </c>
      <c r="Z202" s="24">
        <v>18</v>
      </c>
      <c r="AA202" s="13">
        <f>(1+'10. Whatif Control pannel'!$B$10)*Z202</f>
        <v>21.6</v>
      </c>
      <c r="AB202" s="3">
        <f t="shared" si="53"/>
        <v>14963.76918</v>
      </c>
      <c r="AC202" s="3">
        <f t="shared" si="58"/>
        <v>20111.30577792</v>
      </c>
      <c r="AD202" s="3">
        <f t="shared" si="54"/>
        <v>15004.26</v>
      </c>
      <c r="AE202" s="3">
        <f t="shared" si="55"/>
        <v>-40.4908200000009</v>
      </c>
      <c r="AF202" s="3">
        <f t="shared" si="59"/>
        <v>5107.04577792</v>
      </c>
      <c r="AG202">
        <f t="shared" si="56"/>
        <v>-0.00270592385601078</v>
      </c>
    </row>
    <row r="203" spans="1:33">
      <c r="A203" t="s">
        <v>504</v>
      </c>
      <c r="B203" s="20">
        <v>45303</v>
      </c>
      <c r="C203" s="2">
        <f t="shared" si="45"/>
        <v>1</v>
      </c>
      <c r="D203" s="21">
        <f t="shared" si="57"/>
        <v>45303</v>
      </c>
      <c r="E203" s="19" t="str">
        <f t="shared" si="46"/>
        <v>Quarter 1</v>
      </c>
      <c r="F203" s="19">
        <v>45320</v>
      </c>
      <c r="G203" s="19">
        <f t="shared" si="47"/>
        <v>45320</v>
      </c>
      <c r="H203" s="22">
        <f t="shared" si="48"/>
        <v>17</v>
      </c>
      <c r="I203" t="str">
        <f t="shared" si="49"/>
        <v>Delayed </v>
      </c>
      <c r="J203" t="s">
        <v>52</v>
      </c>
      <c r="K203" t="s">
        <v>122</v>
      </c>
      <c r="L203" t="s">
        <v>123</v>
      </c>
      <c r="M203" t="s">
        <v>27</v>
      </c>
      <c r="N203" t="s">
        <v>55</v>
      </c>
      <c r="O203" t="s">
        <v>75</v>
      </c>
      <c r="P203" t="s">
        <v>30</v>
      </c>
      <c r="Q203" t="s">
        <v>505</v>
      </c>
      <c r="R203" s="3">
        <v>493.76</v>
      </c>
      <c r="S203" s="3">
        <v>625.04</v>
      </c>
      <c r="T203" s="3">
        <f t="shared" si="50"/>
        <v>625.04</v>
      </c>
      <c r="U203" s="3">
        <f>(1+'10. Whatif Control pannel'!$B$6)*T203</f>
        <v>700.0448</v>
      </c>
      <c r="V203" s="3" t="str">
        <f t="shared" si="51"/>
        <v>Low</v>
      </c>
      <c r="W203" s="34">
        <v>0.258</v>
      </c>
      <c r="X203" s="24" t="str">
        <f t="shared" si="52"/>
        <v>High Discount</v>
      </c>
      <c r="Y203" s="36">
        <f>IF(W203&lt;=0.25,W203,'10. Whatif Control pannel'!$B$2)</f>
        <v>0.23</v>
      </c>
      <c r="Z203" s="24">
        <v>10</v>
      </c>
      <c r="AA203" s="13">
        <f>(1+'10. Whatif Control pannel'!$B$10)*Z203</f>
        <v>12</v>
      </c>
      <c r="AB203" s="3">
        <f t="shared" si="53"/>
        <v>4637.7968</v>
      </c>
      <c r="AC203" s="3">
        <f t="shared" si="58"/>
        <v>6468.413952</v>
      </c>
      <c r="AD203" s="3">
        <f t="shared" si="54"/>
        <v>4937.6</v>
      </c>
      <c r="AE203" s="3">
        <f t="shared" si="55"/>
        <v>-299.8032</v>
      </c>
      <c r="AF203" s="3">
        <f t="shared" si="59"/>
        <v>1530.813952</v>
      </c>
      <c r="AG203">
        <f t="shared" si="56"/>
        <v>-0.0646434531154966</v>
      </c>
    </row>
    <row r="204" spans="1:33">
      <c r="A204" t="s">
        <v>506</v>
      </c>
      <c r="B204" s="20">
        <v>45153</v>
      </c>
      <c r="C204" s="2">
        <f t="shared" si="45"/>
        <v>8</v>
      </c>
      <c r="D204" s="21">
        <f t="shared" si="57"/>
        <v>45153</v>
      </c>
      <c r="E204" s="19" t="str">
        <f t="shared" si="46"/>
        <v>Quarter 3</v>
      </c>
      <c r="F204" s="19">
        <v>45176</v>
      </c>
      <c r="G204" s="19">
        <f t="shared" si="47"/>
        <v>45176</v>
      </c>
      <c r="H204" s="22">
        <f t="shared" si="48"/>
        <v>23</v>
      </c>
      <c r="I204" t="str">
        <f t="shared" si="49"/>
        <v>Delayed </v>
      </c>
      <c r="J204" t="s">
        <v>52</v>
      </c>
      <c r="K204" t="s">
        <v>122</v>
      </c>
      <c r="L204" t="s">
        <v>387</v>
      </c>
      <c r="M204" t="s">
        <v>105</v>
      </c>
      <c r="N204" t="s">
        <v>28</v>
      </c>
      <c r="O204" t="s">
        <v>95</v>
      </c>
      <c r="P204" t="s">
        <v>42</v>
      </c>
      <c r="Q204" t="s">
        <v>507</v>
      </c>
      <c r="R204" s="3">
        <v>590.33</v>
      </c>
      <c r="S204" s="3">
        <v>973.04</v>
      </c>
      <c r="T204" s="3">
        <f t="shared" si="50"/>
        <v>973.04</v>
      </c>
      <c r="U204" s="3">
        <f>(1+'10. Whatif Control pannel'!$B$6)*T204</f>
        <v>1089.8048</v>
      </c>
      <c r="V204" s="3" t="str">
        <f t="shared" si="51"/>
        <v>Medium</v>
      </c>
      <c r="W204" s="34">
        <v>0</v>
      </c>
      <c r="X204" s="24" t="str">
        <f t="shared" si="52"/>
        <v>Okay</v>
      </c>
      <c r="Y204" s="36">
        <f>IF(W204&lt;=0.25,W204,'10. Whatif Control pannel'!$B$2)</f>
        <v>0</v>
      </c>
      <c r="Z204" s="24">
        <v>26</v>
      </c>
      <c r="AA204" s="13">
        <f>(1+'10. Whatif Control pannel'!$B$10)*Z204</f>
        <v>31.2</v>
      </c>
      <c r="AB204" s="3">
        <f t="shared" si="53"/>
        <v>25299.04</v>
      </c>
      <c r="AC204" s="3">
        <f t="shared" si="58"/>
        <v>34001.90976</v>
      </c>
      <c r="AD204" s="3">
        <f t="shared" si="54"/>
        <v>15348.58</v>
      </c>
      <c r="AE204" s="3">
        <f t="shared" si="55"/>
        <v>9950.46</v>
      </c>
      <c r="AF204" s="3">
        <f t="shared" si="59"/>
        <v>18653.32976</v>
      </c>
      <c r="AG204">
        <f t="shared" si="56"/>
        <v>0.393313738386911</v>
      </c>
    </row>
    <row r="205" spans="1:33">
      <c r="A205" t="s">
        <v>508</v>
      </c>
      <c r="B205" s="20">
        <v>44946</v>
      </c>
      <c r="C205" s="2">
        <f t="shared" si="45"/>
        <v>1</v>
      </c>
      <c r="D205" s="21">
        <f t="shared" si="57"/>
        <v>44946</v>
      </c>
      <c r="E205" s="19" t="str">
        <f t="shared" si="46"/>
        <v>Quarter 1</v>
      </c>
      <c r="F205" s="19">
        <v>44960</v>
      </c>
      <c r="G205" s="19">
        <f t="shared" si="47"/>
        <v>44960</v>
      </c>
      <c r="H205" s="22">
        <f t="shared" si="48"/>
        <v>14</v>
      </c>
      <c r="I205" t="str">
        <f t="shared" si="49"/>
        <v>Delayed </v>
      </c>
      <c r="J205" t="s">
        <v>16</v>
      </c>
      <c r="K205" t="s">
        <v>17</v>
      </c>
      <c r="L205" t="s">
        <v>18</v>
      </c>
      <c r="M205" t="s">
        <v>19</v>
      </c>
      <c r="N205" t="s">
        <v>20</v>
      </c>
      <c r="O205" t="s">
        <v>110</v>
      </c>
      <c r="P205" t="s">
        <v>35</v>
      </c>
      <c r="Q205" t="s">
        <v>509</v>
      </c>
      <c r="R205" s="3">
        <v>884.36</v>
      </c>
      <c r="S205" s="3">
        <v>1545.34</v>
      </c>
      <c r="T205" s="3">
        <f t="shared" si="50"/>
        <v>1545.34</v>
      </c>
      <c r="U205" s="3">
        <f>(1+'10. Whatif Control pannel'!$B$6)*T205</f>
        <v>1730.7808</v>
      </c>
      <c r="V205" s="3" t="str">
        <f t="shared" si="51"/>
        <v>Medium</v>
      </c>
      <c r="W205" s="34">
        <v>0.243</v>
      </c>
      <c r="X205" s="24" t="str">
        <f t="shared" si="52"/>
        <v>High Discount</v>
      </c>
      <c r="Y205" s="36">
        <f>IF(W205&lt;=0.25,W205,'10. Whatif Control pannel'!$B$2)</f>
        <v>0.243</v>
      </c>
      <c r="Z205" s="24">
        <v>41</v>
      </c>
      <c r="AA205" s="13">
        <f>(1+'10. Whatif Control pannel'!$B$10)*Z205</f>
        <v>49.2</v>
      </c>
      <c r="AB205" s="3">
        <f t="shared" si="53"/>
        <v>47962.71758</v>
      </c>
      <c r="AC205" s="3">
        <f t="shared" si="58"/>
        <v>64461.89242752</v>
      </c>
      <c r="AD205" s="3">
        <f t="shared" si="54"/>
        <v>36258.76</v>
      </c>
      <c r="AE205" s="3">
        <f t="shared" si="55"/>
        <v>11703.95758</v>
      </c>
      <c r="AF205" s="3">
        <f t="shared" si="59"/>
        <v>28203.13242752</v>
      </c>
      <c r="AG205">
        <f t="shared" si="56"/>
        <v>0.24402198562828</v>
      </c>
    </row>
    <row r="206" spans="1:33">
      <c r="A206" t="s">
        <v>510</v>
      </c>
      <c r="B206" s="20">
        <v>45692</v>
      </c>
      <c r="C206" s="2">
        <f t="shared" si="45"/>
        <v>2</v>
      </c>
      <c r="D206" s="21">
        <f t="shared" si="57"/>
        <v>45692</v>
      </c>
      <c r="E206" s="19" t="str">
        <f t="shared" si="46"/>
        <v>Quarter 1</v>
      </c>
      <c r="F206" s="19">
        <v>45713</v>
      </c>
      <c r="G206" s="19">
        <f t="shared" si="47"/>
        <v>45713</v>
      </c>
      <c r="H206" s="22">
        <f t="shared" si="48"/>
        <v>21</v>
      </c>
      <c r="I206" t="str">
        <f t="shared" si="49"/>
        <v>Delayed </v>
      </c>
      <c r="J206" t="s">
        <v>78</v>
      </c>
      <c r="K206" t="s">
        <v>108</v>
      </c>
      <c r="L206" t="s">
        <v>109</v>
      </c>
      <c r="M206" t="s">
        <v>19</v>
      </c>
      <c r="N206" t="s">
        <v>40</v>
      </c>
      <c r="O206" t="s">
        <v>145</v>
      </c>
      <c r="P206" t="s">
        <v>64</v>
      </c>
      <c r="Q206" t="s">
        <v>511</v>
      </c>
      <c r="R206" s="3">
        <v>1016.32</v>
      </c>
      <c r="S206" s="3">
        <v>2253.42</v>
      </c>
      <c r="T206" s="3">
        <f t="shared" si="50"/>
        <v>2253.42</v>
      </c>
      <c r="U206" s="3">
        <f>(1+'10. Whatif Control pannel'!$B$6)*T206</f>
        <v>2523.8304</v>
      </c>
      <c r="V206" s="3" t="str">
        <f t="shared" si="51"/>
        <v>High</v>
      </c>
      <c r="W206" s="34">
        <v>0.055</v>
      </c>
      <c r="X206" s="24" t="str">
        <f t="shared" si="52"/>
        <v>Okay</v>
      </c>
      <c r="Y206" s="36">
        <f>IF(W206&lt;=0.25,W206,'10. Whatif Control pannel'!$B$2)</f>
        <v>0.055</v>
      </c>
      <c r="Z206" s="24">
        <v>12</v>
      </c>
      <c r="AA206" s="13">
        <f>(1+'10. Whatif Control pannel'!$B$10)*Z206</f>
        <v>14.4</v>
      </c>
      <c r="AB206" s="3">
        <f t="shared" si="53"/>
        <v>25553.7828</v>
      </c>
      <c r="AC206" s="3">
        <f t="shared" si="58"/>
        <v>34344.2840832</v>
      </c>
      <c r="AD206" s="3">
        <f t="shared" si="54"/>
        <v>12195.84</v>
      </c>
      <c r="AE206" s="3">
        <f t="shared" si="55"/>
        <v>13357.9428</v>
      </c>
      <c r="AF206" s="3">
        <f t="shared" si="59"/>
        <v>22148.4440832</v>
      </c>
      <c r="AG206">
        <f t="shared" si="56"/>
        <v>0.522738371244198</v>
      </c>
    </row>
    <row r="207" spans="1:33">
      <c r="A207" t="s">
        <v>512</v>
      </c>
      <c r="B207" s="20">
        <v>45035</v>
      </c>
      <c r="C207" s="2">
        <f t="shared" si="45"/>
        <v>4</v>
      </c>
      <c r="D207" s="21">
        <f t="shared" si="57"/>
        <v>45035</v>
      </c>
      <c r="E207" s="19" t="str">
        <f t="shared" si="46"/>
        <v>Quarter 2</v>
      </c>
      <c r="F207" s="19">
        <v>45044</v>
      </c>
      <c r="G207" s="19">
        <f t="shared" si="47"/>
        <v>45044</v>
      </c>
      <c r="H207" s="22">
        <f t="shared" si="48"/>
        <v>9</v>
      </c>
      <c r="I207" t="str">
        <f t="shared" si="49"/>
        <v>Delayed </v>
      </c>
      <c r="J207" t="s">
        <v>78</v>
      </c>
      <c r="K207" t="s">
        <v>79</v>
      </c>
      <c r="L207" t="s">
        <v>80</v>
      </c>
      <c r="M207" t="s">
        <v>27</v>
      </c>
      <c r="N207" t="s">
        <v>28</v>
      </c>
      <c r="O207" t="s">
        <v>63</v>
      </c>
      <c r="P207" t="s">
        <v>64</v>
      </c>
      <c r="Q207" t="s">
        <v>513</v>
      </c>
      <c r="R207" s="3">
        <v>1178.42</v>
      </c>
      <c r="S207" s="3">
        <v>2446.56</v>
      </c>
      <c r="T207" s="3">
        <f t="shared" si="50"/>
        <v>2446.56</v>
      </c>
      <c r="U207" s="3">
        <f>(1+'10. Whatif Control pannel'!$B$6)*T207</f>
        <v>2740.1472</v>
      </c>
      <c r="V207" s="3" t="str">
        <f t="shared" si="51"/>
        <v>High</v>
      </c>
      <c r="W207" s="34">
        <v>0.029</v>
      </c>
      <c r="X207" s="24" t="str">
        <f t="shared" si="52"/>
        <v>Okay</v>
      </c>
      <c r="Y207" s="36">
        <f>IF(W207&lt;=0.25,W207,'10. Whatif Control pannel'!$B$2)</f>
        <v>0.029</v>
      </c>
      <c r="Z207" s="24">
        <v>11</v>
      </c>
      <c r="AA207" s="13">
        <f>(1+'10. Whatif Control pannel'!$B$10)*Z207</f>
        <v>13.2</v>
      </c>
      <c r="AB207" s="3">
        <f t="shared" si="53"/>
        <v>26131.70736</v>
      </c>
      <c r="AC207" s="3">
        <f t="shared" si="58"/>
        <v>35121.01469184</v>
      </c>
      <c r="AD207" s="3">
        <f t="shared" si="54"/>
        <v>12962.62</v>
      </c>
      <c r="AE207" s="3">
        <f t="shared" si="55"/>
        <v>13169.08736</v>
      </c>
      <c r="AF207" s="3">
        <f t="shared" si="59"/>
        <v>22158.39469184</v>
      </c>
      <c r="AG207">
        <f t="shared" si="56"/>
        <v>0.503950514161888</v>
      </c>
    </row>
    <row r="208" spans="1:33">
      <c r="A208" t="s">
        <v>514</v>
      </c>
      <c r="B208" s="20">
        <v>45109</v>
      </c>
      <c r="C208" s="2">
        <f t="shared" si="45"/>
        <v>7</v>
      </c>
      <c r="D208" s="21">
        <f t="shared" si="57"/>
        <v>45109</v>
      </c>
      <c r="E208" s="19" t="str">
        <f t="shared" si="46"/>
        <v>Quarter 3</v>
      </c>
      <c r="F208" s="19">
        <v>45139</v>
      </c>
      <c r="G208" s="19">
        <f t="shared" si="47"/>
        <v>45139</v>
      </c>
      <c r="H208" s="22">
        <f t="shared" si="48"/>
        <v>30</v>
      </c>
      <c r="I208" t="str">
        <f t="shared" si="49"/>
        <v>Delayed </v>
      </c>
      <c r="J208" t="s">
        <v>78</v>
      </c>
      <c r="K208" t="s">
        <v>108</v>
      </c>
      <c r="L208" t="s">
        <v>109</v>
      </c>
      <c r="M208" t="s">
        <v>62</v>
      </c>
      <c r="N208" t="s">
        <v>20</v>
      </c>
      <c r="O208" t="s">
        <v>56</v>
      </c>
      <c r="P208" t="s">
        <v>22</v>
      </c>
      <c r="Q208" t="s">
        <v>515</v>
      </c>
      <c r="R208" s="3">
        <v>137.46</v>
      </c>
      <c r="S208" s="3">
        <v>188.3</v>
      </c>
      <c r="T208" s="3">
        <f t="shared" si="50"/>
        <v>188.3</v>
      </c>
      <c r="U208" s="3">
        <f>(1+'10. Whatif Control pannel'!$B$6)*T208</f>
        <v>210.896</v>
      </c>
      <c r="V208" s="3" t="str">
        <f t="shared" si="51"/>
        <v>Low</v>
      </c>
      <c r="W208" s="34">
        <v>0.038</v>
      </c>
      <c r="X208" s="24" t="str">
        <f t="shared" si="52"/>
        <v>Okay</v>
      </c>
      <c r="Y208" s="36">
        <f>IF(W208&lt;=0.25,W208,'10. Whatif Control pannel'!$B$2)</f>
        <v>0.038</v>
      </c>
      <c r="Z208" s="24">
        <v>37</v>
      </c>
      <c r="AA208" s="13">
        <f>(1+'10. Whatif Control pannel'!$B$10)*Z208</f>
        <v>44.4</v>
      </c>
      <c r="AB208" s="3">
        <f t="shared" si="53"/>
        <v>6702.3502</v>
      </c>
      <c r="AC208" s="3">
        <f t="shared" si="58"/>
        <v>9007.9586688</v>
      </c>
      <c r="AD208" s="3">
        <f t="shared" si="54"/>
        <v>5086.02</v>
      </c>
      <c r="AE208" s="3">
        <f t="shared" si="55"/>
        <v>1616.3302</v>
      </c>
      <c r="AF208" s="3">
        <f t="shared" si="59"/>
        <v>3921.9386688</v>
      </c>
      <c r="AG208">
        <f t="shared" si="56"/>
        <v>0.241158720712624</v>
      </c>
    </row>
    <row r="209" spans="1:33">
      <c r="A209" t="s">
        <v>516</v>
      </c>
      <c r="B209" s="20">
        <v>45678</v>
      </c>
      <c r="C209" s="2">
        <f t="shared" si="45"/>
        <v>1</v>
      </c>
      <c r="D209" s="21">
        <f t="shared" si="57"/>
        <v>45678</v>
      </c>
      <c r="E209" s="19" t="str">
        <f t="shared" si="46"/>
        <v>Quarter 1</v>
      </c>
      <c r="F209" s="19">
        <v>45702</v>
      </c>
      <c r="G209" s="19">
        <f t="shared" si="47"/>
        <v>45702</v>
      </c>
      <c r="H209" s="22">
        <f t="shared" si="48"/>
        <v>24</v>
      </c>
      <c r="I209" t="str">
        <f t="shared" si="49"/>
        <v>Delayed </v>
      </c>
      <c r="J209" t="s">
        <v>16</v>
      </c>
      <c r="K209" t="s">
        <v>17</v>
      </c>
      <c r="L209" t="s">
        <v>33</v>
      </c>
      <c r="M209" t="s">
        <v>62</v>
      </c>
      <c r="N209" t="s">
        <v>20</v>
      </c>
      <c r="O209" t="s">
        <v>29</v>
      </c>
      <c r="P209" t="s">
        <v>81</v>
      </c>
      <c r="Q209" t="s">
        <v>517</v>
      </c>
      <c r="R209" s="3">
        <v>1030.44</v>
      </c>
      <c r="S209" s="3">
        <v>2562.84</v>
      </c>
      <c r="T209" s="3">
        <f t="shared" si="50"/>
        <v>2562.84</v>
      </c>
      <c r="U209" s="3">
        <f>(1+'10. Whatif Control pannel'!$B$6)*T209</f>
        <v>2870.3808</v>
      </c>
      <c r="V209" s="3" t="str">
        <f t="shared" si="51"/>
        <v>High</v>
      </c>
      <c r="W209" s="34">
        <v>0.148</v>
      </c>
      <c r="X209" s="24" t="str">
        <f t="shared" si="52"/>
        <v>Okay</v>
      </c>
      <c r="Y209" s="36">
        <f>IF(W209&lt;=0.25,W209,'10. Whatif Control pannel'!$B$2)</f>
        <v>0.148</v>
      </c>
      <c r="Z209" s="24">
        <v>13</v>
      </c>
      <c r="AA209" s="13">
        <f>(1+'10. Whatif Control pannel'!$B$10)*Z209</f>
        <v>15.6</v>
      </c>
      <c r="AB209" s="3">
        <f t="shared" si="53"/>
        <v>28386.01584</v>
      </c>
      <c r="AC209" s="3">
        <f t="shared" si="58"/>
        <v>38150.80528896</v>
      </c>
      <c r="AD209" s="3">
        <f t="shared" si="54"/>
        <v>13395.72</v>
      </c>
      <c r="AE209" s="3">
        <f t="shared" si="55"/>
        <v>14990.29584</v>
      </c>
      <c r="AF209" s="3">
        <f t="shared" si="59"/>
        <v>24755.08528896</v>
      </c>
      <c r="AG209">
        <f t="shared" si="56"/>
        <v>0.52808734852027</v>
      </c>
    </row>
    <row r="210" spans="1:33">
      <c r="A210" t="s">
        <v>518</v>
      </c>
      <c r="B210" s="20">
        <v>45545</v>
      </c>
      <c r="C210" s="2">
        <f t="shared" si="45"/>
        <v>9</v>
      </c>
      <c r="D210" s="21">
        <f t="shared" si="57"/>
        <v>45545</v>
      </c>
      <c r="E210" s="19" t="str">
        <f t="shared" si="46"/>
        <v>Quarter 3</v>
      </c>
      <c r="F210" s="19">
        <v>45572</v>
      </c>
      <c r="G210" s="19">
        <f t="shared" si="47"/>
        <v>45572</v>
      </c>
      <c r="H210" s="22">
        <f t="shared" si="48"/>
        <v>27</v>
      </c>
      <c r="I210" t="str">
        <f t="shared" si="49"/>
        <v>Delayed </v>
      </c>
      <c r="J210" t="s">
        <v>16</v>
      </c>
      <c r="K210" t="s">
        <v>17</v>
      </c>
      <c r="L210" t="s">
        <v>18</v>
      </c>
      <c r="M210" t="s">
        <v>48</v>
      </c>
      <c r="N210" t="s">
        <v>20</v>
      </c>
      <c r="O210" t="s">
        <v>49</v>
      </c>
      <c r="P210" t="s">
        <v>30</v>
      </c>
      <c r="Q210" t="s">
        <v>519</v>
      </c>
      <c r="R210" s="3">
        <v>1248.39</v>
      </c>
      <c r="S210" s="3">
        <v>1805.11</v>
      </c>
      <c r="T210" s="3">
        <f t="shared" si="50"/>
        <v>1805.11</v>
      </c>
      <c r="U210" s="3">
        <f>(1+'10. Whatif Control pannel'!$B$6)*T210</f>
        <v>2021.7232</v>
      </c>
      <c r="V210" s="3" t="str">
        <f t="shared" si="51"/>
        <v>High</v>
      </c>
      <c r="W210" s="34">
        <v>0.203</v>
      </c>
      <c r="X210" s="24" t="str">
        <f t="shared" si="52"/>
        <v>High Discount</v>
      </c>
      <c r="Y210" s="36">
        <f>IF(W210&lt;=0.25,W210,'10. Whatif Control pannel'!$B$2)</f>
        <v>0.203</v>
      </c>
      <c r="Z210" s="24">
        <v>11</v>
      </c>
      <c r="AA210" s="13">
        <f>(1+'10. Whatif Control pannel'!$B$10)*Z210</f>
        <v>13.2</v>
      </c>
      <c r="AB210" s="3">
        <f t="shared" si="53"/>
        <v>15825.39937</v>
      </c>
      <c r="AC210" s="3">
        <f t="shared" si="58"/>
        <v>21269.33675328</v>
      </c>
      <c r="AD210" s="3">
        <f t="shared" si="54"/>
        <v>13732.29</v>
      </c>
      <c r="AE210" s="3">
        <f t="shared" si="55"/>
        <v>2093.10937</v>
      </c>
      <c r="AF210" s="3">
        <f t="shared" si="59"/>
        <v>7537.04675328</v>
      </c>
      <c r="AG210">
        <f t="shared" si="56"/>
        <v>0.132262657078208</v>
      </c>
    </row>
    <row r="211" spans="1:33">
      <c r="A211" t="s">
        <v>520</v>
      </c>
      <c r="B211" s="20">
        <v>45859</v>
      </c>
      <c r="C211" s="2">
        <f t="shared" si="45"/>
        <v>7</v>
      </c>
      <c r="D211" s="21">
        <f t="shared" si="57"/>
        <v>45859</v>
      </c>
      <c r="E211" s="19" t="str">
        <f t="shared" si="46"/>
        <v>Quarter 3</v>
      </c>
      <c r="F211" s="19">
        <v>45876</v>
      </c>
      <c r="G211" s="19">
        <f t="shared" si="47"/>
        <v>45876</v>
      </c>
      <c r="H211" s="22">
        <f t="shared" si="48"/>
        <v>17</v>
      </c>
      <c r="I211" t="str">
        <f t="shared" si="49"/>
        <v>Delayed </v>
      </c>
      <c r="J211" t="s">
        <v>16</v>
      </c>
      <c r="K211" t="s">
        <v>25</v>
      </c>
      <c r="L211" t="s">
        <v>38</v>
      </c>
      <c r="M211" t="s">
        <v>105</v>
      </c>
      <c r="N211" t="s">
        <v>98</v>
      </c>
      <c r="O211" t="s">
        <v>110</v>
      </c>
      <c r="P211" t="s">
        <v>81</v>
      </c>
      <c r="Q211" t="s">
        <v>521</v>
      </c>
      <c r="R211" s="3">
        <v>1204.95</v>
      </c>
      <c r="S211" s="3">
        <v>2065.73</v>
      </c>
      <c r="T211" s="3">
        <f t="shared" si="50"/>
        <v>2065.73</v>
      </c>
      <c r="U211" s="3">
        <f>(1+'10. Whatif Control pannel'!$B$6)*T211</f>
        <v>2313.6176</v>
      </c>
      <c r="V211" s="3" t="str">
        <f t="shared" si="51"/>
        <v>High</v>
      </c>
      <c r="W211" s="34">
        <v>0.136</v>
      </c>
      <c r="X211" s="24" t="str">
        <f t="shared" si="52"/>
        <v>Okay</v>
      </c>
      <c r="Y211" s="36">
        <f>IF(W211&lt;=0.25,W211,'10. Whatif Control pannel'!$B$2)</f>
        <v>0.136</v>
      </c>
      <c r="Z211" s="24">
        <v>10</v>
      </c>
      <c r="AA211" s="13">
        <f>(1+'10. Whatif Control pannel'!$B$10)*Z211</f>
        <v>12</v>
      </c>
      <c r="AB211" s="3">
        <f t="shared" si="53"/>
        <v>17847.9072</v>
      </c>
      <c r="AC211" s="3">
        <f t="shared" si="58"/>
        <v>23987.5872768</v>
      </c>
      <c r="AD211" s="3">
        <f t="shared" si="54"/>
        <v>12049.5</v>
      </c>
      <c r="AE211" s="3">
        <f t="shared" si="55"/>
        <v>5798.4072</v>
      </c>
      <c r="AF211" s="3">
        <f t="shared" si="59"/>
        <v>11938.0872768</v>
      </c>
      <c r="AG211">
        <f t="shared" si="56"/>
        <v>0.324878829491</v>
      </c>
    </row>
    <row r="212" spans="1:33">
      <c r="A212" t="s">
        <v>522</v>
      </c>
      <c r="B212" s="20">
        <v>45567</v>
      </c>
      <c r="C212" s="2">
        <f t="shared" si="45"/>
        <v>10</v>
      </c>
      <c r="D212" s="21">
        <f t="shared" si="57"/>
        <v>45567</v>
      </c>
      <c r="E212" s="19" t="str">
        <f t="shared" si="46"/>
        <v>Quarter 4</v>
      </c>
      <c r="F212" s="19">
        <v>45588</v>
      </c>
      <c r="G212" s="19">
        <f t="shared" si="47"/>
        <v>45588</v>
      </c>
      <c r="H212" s="22">
        <f t="shared" si="48"/>
        <v>21</v>
      </c>
      <c r="I212" t="str">
        <f t="shared" si="49"/>
        <v>Delayed </v>
      </c>
      <c r="J212" t="s">
        <v>16</v>
      </c>
      <c r="K212" t="s">
        <v>148</v>
      </c>
      <c r="L212" t="s">
        <v>172</v>
      </c>
      <c r="M212" t="s">
        <v>19</v>
      </c>
      <c r="N212" t="s">
        <v>40</v>
      </c>
      <c r="O212" t="s">
        <v>75</v>
      </c>
      <c r="P212" t="s">
        <v>22</v>
      </c>
      <c r="Q212" t="s">
        <v>523</v>
      </c>
      <c r="R212" s="3">
        <v>1095.61</v>
      </c>
      <c r="S212" s="3">
        <v>2366.51</v>
      </c>
      <c r="T212" s="3">
        <f t="shared" si="50"/>
        <v>2366.51</v>
      </c>
      <c r="U212" s="3">
        <f>(1+'10. Whatif Control pannel'!$B$6)*T212</f>
        <v>2650.4912</v>
      </c>
      <c r="V212" s="3" t="str">
        <f t="shared" si="51"/>
        <v>High</v>
      </c>
      <c r="W212" s="34">
        <v>0.152</v>
      </c>
      <c r="X212" s="24" t="str">
        <f t="shared" si="52"/>
        <v>Okay</v>
      </c>
      <c r="Y212" s="36">
        <f>IF(W212&lt;=0.25,W212,'10. Whatif Control pannel'!$B$2)</f>
        <v>0.152</v>
      </c>
      <c r="Z212" s="24">
        <v>9</v>
      </c>
      <c r="AA212" s="13">
        <f>(1+'10. Whatif Control pannel'!$B$10)*Z212</f>
        <v>10.8</v>
      </c>
      <c r="AB212" s="3">
        <f t="shared" si="53"/>
        <v>18061.20432</v>
      </c>
      <c r="AC212" s="3">
        <f t="shared" si="58"/>
        <v>24274.25860608</v>
      </c>
      <c r="AD212" s="3">
        <f t="shared" si="54"/>
        <v>9860.49</v>
      </c>
      <c r="AE212" s="3">
        <f t="shared" si="55"/>
        <v>8200.71432</v>
      </c>
      <c r="AF212" s="3">
        <f t="shared" si="59"/>
        <v>14413.76860608</v>
      </c>
      <c r="AG212">
        <f t="shared" si="56"/>
        <v>0.454051356415861</v>
      </c>
    </row>
    <row r="213" spans="1:33">
      <c r="A213" t="s">
        <v>524</v>
      </c>
      <c r="B213" s="20">
        <v>45852</v>
      </c>
      <c r="C213" s="2">
        <f t="shared" si="45"/>
        <v>7</v>
      </c>
      <c r="D213" s="21">
        <f t="shared" si="57"/>
        <v>45852</v>
      </c>
      <c r="E213" s="19" t="str">
        <f t="shared" si="46"/>
        <v>Quarter 3</v>
      </c>
      <c r="F213" s="19">
        <v>45873</v>
      </c>
      <c r="G213" s="19">
        <f t="shared" si="47"/>
        <v>45873</v>
      </c>
      <c r="H213" s="22">
        <f t="shared" si="48"/>
        <v>21</v>
      </c>
      <c r="I213" t="str">
        <f t="shared" si="49"/>
        <v>Delayed </v>
      </c>
      <c r="J213" t="s">
        <v>52</v>
      </c>
      <c r="K213" t="s">
        <v>53</v>
      </c>
      <c r="L213" t="s">
        <v>144</v>
      </c>
      <c r="M213" t="s">
        <v>48</v>
      </c>
      <c r="N213" t="s">
        <v>28</v>
      </c>
      <c r="O213" t="s">
        <v>92</v>
      </c>
      <c r="P213" t="s">
        <v>64</v>
      </c>
      <c r="Q213" t="s">
        <v>525</v>
      </c>
      <c r="R213" s="3">
        <v>90.3</v>
      </c>
      <c r="S213" s="3">
        <v>131.76</v>
      </c>
      <c r="T213" s="3">
        <f t="shared" si="50"/>
        <v>131.76</v>
      </c>
      <c r="U213" s="3">
        <f>(1+'10. Whatif Control pannel'!$B$6)*T213</f>
        <v>147.5712</v>
      </c>
      <c r="V213" s="3" t="str">
        <f t="shared" si="51"/>
        <v>Low</v>
      </c>
      <c r="W213" s="34">
        <v>0.102</v>
      </c>
      <c r="X213" s="24" t="str">
        <f t="shared" si="52"/>
        <v>Okay</v>
      </c>
      <c r="Y213" s="36">
        <f>IF(W213&lt;=0.25,W213,'10. Whatif Control pannel'!$B$2)</f>
        <v>0.102</v>
      </c>
      <c r="Z213" s="24">
        <v>15</v>
      </c>
      <c r="AA213" s="13">
        <f>(1+'10. Whatif Control pannel'!$B$10)*Z213</f>
        <v>18</v>
      </c>
      <c r="AB213" s="3">
        <f t="shared" si="53"/>
        <v>1774.8072</v>
      </c>
      <c r="AC213" s="3">
        <f t="shared" si="58"/>
        <v>2385.3408768</v>
      </c>
      <c r="AD213" s="3">
        <f t="shared" si="54"/>
        <v>1354.5</v>
      </c>
      <c r="AE213" s="3">
        <f t="shared" si="55"/>
        <v>420.3072</v>
      </c>
      <c r="AF213" s="3">
        <f t="shared" si="59"/>
        <v>1030.8408768</v>
      </c>
      <c r="AG213">
        <f t="shared" si="56"/>
        <v>0.236818511892447</v>
      </c>
    </row>
    <row r="214" spans="1:33">
      <c r="A214" t="s">
        <v>526</v>
      </c>
      <c r="B214" s="20">
        <v>45544</v>
      </c>
      <c r="C214" s="2">
        <f t="shared" si="45"/>
        <v>9</v>
      </c>
      <c r="D214" s="21">
        <f t="shared" si="57"/>
        <v>45544</v>
      </c>
      <c r="E214" s="19" t="str">
        <f t="shared" si="46"/>
        <v>Quarter 3</v>
      </c>
      <c r="F214" s="19">
        <v>45566</v>
      </c>
      <c r="G214" s="19">
        <f t="shared" si="47"/>
        <v>45566</v>
      </c>
      <c r="H214" s="22">
        <f t="shared" si="48"/>
        <v>22</v>
      </c>
      <c r="I214" t="str">
        <f t="shared" si="49"/>
        <v>Delayed </v>
      </c>
      <c r="J214" t="s">
        <v>45</v>
      </c>
      <c r="K214" t="s">
        <v>116</v>
      </c>
      <c r="L214" t="s">
        <v>117</v>
      </c>
      <c r="M214" t="s">
        <v>48</v>
      </c>
      <c r="N214" t="s">
        <v>98</v>
      </c>
      <c r="O214" t="s">
        <v>49</v>
      </c>
      <c r="P214" t="s">
        <v>30</v>
      </c>
      <c r="Q214" t="s">
        <v>527</v>
      </c>
      <c r="R214" s="3">
        <v>1166.18</v>
      </c>
      <c r="S214" s="3">
        <v>1335.02</v>
      </c>
      <c r="T214" s="3">
        <f t="shared" si="50"/>
        <v>1335.02</v>
      </c>
      <c r="U214" s="3">
        <f>(1+'10. Whatif Control pannel'!$B$6)*T214</f>
        <v>1495.2224</v>
      </c>
      <c r="V214" s="3" t="str">
        <f t="shared" si="51"/>
        <v>Medium</v>
      </c>
      <c r="W214" s="34">
        <v>0.128</v>
      </c>
      <c r="X214" s="24" t="str">
        <f t="shared" si="52"/>
        <v>Okay</v>
      </c>
      <c r="Y214" s="36">
        <f>IF(W214&lt;=0.25,W214,'10. Whatif Control pannel'!$B$2)</f>
        <v>0.128</v>
      </c>
      <c r="Z214" s="24">
        <v>6</v>
      </c>
      <c r="AA214" s="13">
        <f>(1+'10. Whatif Control pannel'!$B$10)*Z214</f>
        <v>7.2</v>
      </c>
      <c r="AB214" s="3">
        <f t="shared" si="53"/>
        <v>6984.82464</v>
      </c>
      <c r="AC214" s="3">
        <f t="shared" si="58"/>
        <v>9387.60431616</v>
      </c>
      <c r="AD214" s="3">
        <f t="shared" si="54"/>
        <v>6997.08</v>
      </c>
      <c r="AE214" s="3">
        <f t="shared" si="55"/>
        <v>-12.2553600000001</v>
      </c>
      <c r="AF214" s="3">
        <f t="shared" si="59"/>
        <v>2390.52431616</v>
      </c>
      <c r="AG214">
        <f t="shared" si="56"/>
        <v>-0.00175456946045822</v>
      </c>
    </row>
    <row r="215" spans="1:33">
      <c r="A215" t="s">
        <v>528</v>
      </c>
      <c r="B215" s="20">
        <v>45686</v>
      </c>
      <c r="C215" s="2">
        <f t="shared" si="45"/>
        <v>1</v>
      </c>
      <c r="D215" s="21">
        <f t="shared" si="57"/>
        <v>45686</v>
      </c>
      <c r="E215" s="19" t="str">
        <f t="shared" si="46"/>
        <v>Quarter 1</v>
      </c>
      <c r="F215" s="19">
        <v>45694</v>
      </c>
      <c r="G215" s="19">
        <f t="shared" si="47"/>
        <v>45694</v>
      </c>
      <c r="H215" s="22">
        <f t="shared" si="48"/>
        <v>8</v>
      </c>
      <c r="I215" t="str">
        <f t="shared" si="49"/>
        <v>Delayed </v>
      </c>
      <c r="J215" t="s">
        <v>16</v>
      </c>
      <c r="K215" t="s">
        <v>17</v>
      </c>
      <c r="L215" t="s">
        <v>18</v>
      </c>
      <c r="M215" t="s">
        <v>27</v>
      </c>
      <c r="N215" t="s">
        <v>20</v>
      </c>
      <c r="O215" t="s">
        <v>56</v>
      </c>
      <c r="P215" t="s">
        <v>42</v>
      </c>
      <c r="Q215" t="s">
        <v>529</v>
      </c>
      <c r="R215" s="3">
        <v>1445.27</v>
      </c>
      <c r="S215" s="3">
        <v>2691.45</v>
      </c>
      <c r="T215" s="3">
        <f t="shared" si="50"/>
        <v>2691.45</v>
      </c>
      <c r="U215" s="3">
        <f>(1+'10. Whatif Control pannel'!$B$6)*T215</f>
        <v>3014.424</v>
      </c>
      <c r="V215" s="3" t="str">
        <f t="shared" si="51"/>
        <v>High</v>
      </c>
      <c r="W215" s="34">
        <v>0</v>
      </c>
      <c r="X215" s="24" t="str">
        <f t="shared" si="52"/>
        <v>Okay</v>
      </c>
      <c r="Y215" s="36">
        <f>IF(W215&lt;=0.25,W215,'10. Whatif Control pannel'!$B$2)</f>
        <v>0</v>
      </c>
      <c r="Z215" s="24">
        <v>9</v>
      </c>
      <c r="AA215" s="13">
        <f>(1+'10. Whatif Control pannel'!$B$10)*Z215</f>
        <v>10.8</v>
      </c>
      <c r="AB215" s="3">
        <f t="shared" si="53"/>
        <v>24223.05</v>
      </c>
      <c r="AC215" s="3">
        <f t="shared" si="58"/>
        <v>32555.7792</v>
      </c>
      <c r="AD215" s="3">
        <f t="shared" si="54"/>
        <v>13007.43</v>
      </c>
      <c r="AE215" s="3">
        <f t="shared" si="55"/>
        <v>11215.62</v>
      </c>
      <c r="AF215" s="3">
        <f t="shared" si="59"/>
        <v>19548.3492</v>
      </c>
      <c r="AG215">
        <f t="shared" si="56"/>
        <v>0.463014360289064</v>
      </c>
    </row>
    <row r="216" spans="1:33">
      <c r="A216" t="s">
        <v>530</v>
      </c>
      <c r="B216" s="20">
        <v>45240</v>
      </c>
      <c r="C216" s="2">
        <f t="shared" si="45"/>
        <v>11</v>
      </c>
      <c r="D216" s="21">
        <f t="shared" si="57"/>
        <v>45240</v>
      </c>
      <c r="E216" s="19" t="str">
        <f t="shared" si="46"/>
        <v>Quarter 4</v>
      </c>
      <c r="F216" s="19">
        <v>45258</v>
      </c>
      <c r="G216" s="19">
        <f t="shared" si="47"/>
        <v>45258</v>
      </c>
      <c r="H216" s="22">
        <f t="shared" si="48"/>
        <v>18</v>
      </c>
      <c r="I216" t="str">
        <f t="shared" si="49"/>
        <v>Delayed </v>
      </c>
      <c r="J216" t="s">
        <v>52</v>
      </c>
      <c r="K216" t="s">
        <v>73</v>
      </c>
      <c r="L216" t="s">
        <v>87</v>
      </c>
      <c r="M216" t="s">
        <v>27</v>
      </c>
      <c r="N216" t="s">
        <v>40</v>
      </c>
      <c r="O216" t="s">
        <v>49</v>
      </c>
      <c r="P216" t="s">
        <v>81</v>
      </c>
      <c r="Q216" t="s">
        <v>531</v>
      </c>
      <c r="R216" s="3">
        <v>388.51</v>
      </c>
      <c r="S216" s="3">
        <v>776.46</v>
      </c>
      <c r="T216" s="3">
        <f t="shared" si="50"/>
        <v>776.46</v>
      </c>
      <c r="U216" s="3">
        <f>(1+'10. Whatif Control pannel'!$B$6)*T216</f>
        <v>869.6352</v>
      </c>
      <c r="V216" s="3" t="str">
        <f t="shared" si="51"/>
        <v>Low</v>
      </c>
      <c r="W216" s="34">
        <v>0.157</v>
      </c>
      <c r="X216" s="24" t="str">
        <f t="shared" si="52"/>
        <v>Okay</v>
      </c>
      <c r="Y216" s="36">
        <f>IF(W216&lt;=0.25,W216,'10. Whatif Control pannel'!$B$2)</f>
        <v>0.157</v>
      </c>
      <c r="Z216" s="24">
        <v>12</v>
      </c>
      <c r="AA216" s="13">
        <f>(1+'10. Whatif Control pannel'!$B$10)*Z216</f>
        <v>14.4</v>
      </c>
      <c r="AB216" s="3">
        <f t="shared" si="53"/>
        <v>7854.66936</v>
      </c>
      <c r="AC216" s="3">
        <f t="shared" si="58"/>
        <v>10556.67561984</v>
      </c>
      <c r="AD216" s="3">
        <f t="shared" si="54"/>
        <v>4662.12</v>
      </c>
      <c r="AE216" s="3">
        <f t="shared" si="55"/>
        <v>3192.54936</v>
      </c>
      <c r="AF216" s="3">
        <f t="shared" si="59"/>
        <v>5894.55561984</v>
      </c>
      <c r="AG216">
        <f t="shared" si="56"/>
        <v>0.406452418768649</v>
      </c>
    </row>
    <row r="217" spans="1:33">
      <c r="A217" t="s">
        <v>532</v>
      </c>
      <c r="B217" s="20">
        <v>45351</v>
      </c>
      <c r="C217" s="2">
        <f t="shared" si="45"/>
        <v>2</v>
      </c>
      <c r="D217" s="21">
        <f t="shared" si="57"/>
        <v>45351</v>
      </c>
      <c r="E217" s="19" t="str">
        <f t="shared" si="46"/>
        <v>Quarter 1</v>
      </c>
      <c r="F217" s="19">
        <v>45381</v>
      </c>
      <c r="G217" s="19">
        <f t="shared" si="47"/>
        <v>45381</v>
      </c>
      <c r="H217" s="22">
        <f t="shared" si="48"/>
        <v>30</v>
      </c>
      <c r="I217" t="str">
        <f t="shared" si="49"/>
        <v>Delayed </v>
      </c>
      <c r="J217" t="s">
        <v>45</v>
      </c>
      <c r="K217" t="s">
        <v>46</v>
      </c>
      <c r="L217" t="s">
        <v>231</v>
      </c>
      <c r="M217" t="s">
        <v>62</v>
      </c>
      <c r="N217" t="s">
        <v>98</v>
      </c>
      <c r="O217" t="s">
        <v>34</v>
      </c>
      <c r="P217" t="s">
        <v>35</v>
      </c>
      <c r="Q217" t="s">
        <v>533</v>
      </c>
      <c r="R217" s="3">
        <v>231.11</v>
      </c>
      <c r="S217" s="3">
        <v>318.17</v>
      </c>
      <c r="T217" s="3">
        <f t="shared" si="50"/>
        <v>318.17</v>
      </c>
      <c r="U217" s="3">
        <f>(1+'10. Whatif Control pannel'!$B$6)*T217</f>
        <v>356.3504</v>
      </c>
      <c r="V217" s="3" t="str">
        <f t="shared" si="51"/>
        <v>Low</v>
      </c>
      <c r="W217" s="34">
        <v>0.201</v>
      </c>
      <c r="X217" s="24" t="str">
        <f t="shared" si="52"/>
        <v>High Discount</v>
      </c>
      <c r="Y217" s="36">
        <f>IF(W217&lt;=0.25,W217,'10. Whatif Control pannel'!$B$2)</f>
        <v>0.201</v>
      </c>
      <c r="Z217" s="24">
        <v>60</v>
      </c>
      <c r="AA217" s="13">
        <f>(1+'10. Whatif Control pannel'!$B$10)*Z217</f>
        <v>72</v>
      </c>
      <c r="AB217" s="3">
        <f t="shared" si="53"/>
        <v>15253.0698</v>
      </c>
      <c r="AC217" s="3">
        <f t="shared" si="58"/>
        <v>20500.1258112</v>
      </c>
      <c r="AD217" s="3">
        <f t="shared" si="54"/>
        <v>13866.6</v>
      </c>
      <c r="AE217" s="3">
        <f t="shared" si="55"/>
        <v>1386.4698</v>
      </c>
      <c r="AF217" s="3">
        <f t="shared" si="59"/>
        <v>6633.5258112</v>
      </c>
      <c r="AG217">
        <f t="shared" si="56"/>
        <v>0.0908977548899697</v>
      </c>
    </row>
    <row r="218" spans="1:33">
      <c r="A218" t="s">
        <v>534</v>
      </c>
      <c r="B218" s="20">
        <v>45280</v>
      </c>
      <c r="C218" s="2">
        <f t="shared" si="45"/>
        <v>12</v>
      </c>
      <c r="D218" s="21">
        <f t="shared" si="57"/>
        <v>45280</v>
      </c>
      <c r="E218" s="19" t="str">
        <f t="shared" si="46"/>
        <v>Quarter 4</v>
      </c>
      <c r="F218" s="19">
        <v>45305</v>
      </c>
      <c r="G218" s="19">
        <f t="shared" si="47"/>
        <v>45305</v>
      </c>
      <c r="H218" s="22">
        <f t="shared" si="48"/>
        <v>25</v>
      </c>
      <c r="I218" t="str">
        <f t="shared" si="49"/>
        <v>Delayed </v>
      </c>
      <c r="J218" t="s">
        <v>45</v>
      </c>
      <c r="K218" t="s">
        <v>60</v>
      </c>
      <c r="L218" t="s">
        <v>220</v>
      </c>
      <c r="M218" t="s">
        <v>39</v>
      </c>
      <c r="N218" t="s">
        <v>40</v>
      </c>
      <c r="O218" t="s">
        <v>49</v>
      </c>
      <c r="P218" t="s">
        <v>64</v>
      </c>
      <c r="Q218" t="s">
        <v>535</v>
      </c>
      <c r="R218" s="3">
        <v>1085.61</v>
      </c>
      <c r="S218" s="3">
        <v>1246.41</v>
      </c>
      <c r="T218" s="3">
        <f t="shared" si="50"/>
        <v>1246.41</v>
      </c>
      <c r="U218" s="3">
        <f>(1+'10. Whatif Control pannel'!$B$6)*T218</f>
        <v>1395.9792</v>
      </c>
      <c r="V218" s="3" t="str">
        <f t="shared" si="51"/>
        <v>Medium</v>
      </c>
      <c r="W218" s="34">
        <v>0.113</v>
      </c>
      <c r="X218" s="24" t="str">
        <f t="shared" si="52"/>
        <v>Okay</v>
      </c>
      <c r="Y218" s="36">
        <f>IF(W218&lt;=0.25,W218,'10. Whatif Control pannel'!$B$2)</f>
        <v>0.113</v>
      </c>
      <c r="Z218" s="24">
        <v>7</v>
      </c>
      <c r="AA218" s="13">
        <f>(1+'10. Whatif Control pannel'!$B$10)*Z218</f>
        <v>8.4</v>
      </c>
      <c r="AB218" s="3">
        <f t="shared" si="53"/>
        <v>7738.95969</v>
      </c>
      <c r="AC218" s="3">
        <f t="shared" si="58"/>
        <v>10401.16182336</v>
      </c>
      <c r="AD218" s="3">
        <f t="shared" si="54"/>
        <v>7599.27</v>
      </c>
      <c r="AE218" s="3">
        <f t="shared" si="55"/>
        <v>139.689690000001</v>
      </c>
      <c r="AF218" s="3">
        <f t="shared" si="59"/>
        <v>2801.89182336</v>
      </c>
      <c r="AG218">
        <f t="shared" si="56"/>
        <v>0.0180501896373104</v>
      </c>
    </row>
    <row r="219" spans="1:33">
      <c r="A219" t="s">
        <v>536</v>
      </c>
      <c r="B219" s="20">
        <v>44948</v>
      </c>
      <c r="C219" s="2">
        <f t="shared" si="45"/>
        <v>1</v>
      </c>
      <c r="D219" s="21">
        <f t="shared" si="57"/>
        <v>44948</v>
      </c>
      <c r="E219" s="19" t="str">
        <f t="shared" si="46"/>
        <v>Quarter 1</v>
      </c>
      <c r="F219" s="19">
        <v>44947</v>
      </c>
      <c r="G219" s="19">
        <f t="shared" si="47"/>
        <v>44955</v>
      </c>
      <c r="H219" s="22">
        <f t="shared" si="48"/>
        <v>7</v>
      </c>
      <c r="I219" t="str">
        <f t="shared" si="49"/>
        <v>Ontime</v>
      </c>
      <c r="J219" t="s">
        <v>78</v>
      </c>
      <c r="K219" t="s">
        <v>79</v>
      </c>
      <c r="L219" t="s">
        <v>159</v>
      </c>
      <c r="M219" t="s">
        <v>19</v>
      </c>
      <c r="N219" t="s">
        <v>98</v>
      </c>
      <c r="O219" t="s">
        <v>84</v>
      </c>
      <c r="P219" t="s">
        <v>64</v>
      </c>
      <c r="Q219" t="s">
        <v>537</v>
      </c>
      <c r="R219" s="3">
        <v>150.86</v>
      </c>
      <c r="S219" s="3">
        <v>346.96</v>
      </c>
      <c r="T219" s="3">
        <f t="shared" si="50"/>
        <v>346.96</v>
      </c>
      <c r="U219" s="3">
        <f>(1+'10. Whatif Control pannel'!$B$6)*T219</f>
        <v>388.5952</v>
      </c>
      <c r="V219" s="3" t="str">
        <f t="shared" si="51"/>
        <v>Low</v>
      </c>
      <c r="W219" s="34">
        <v>0.196</v>
      </c>
      <c r="X219" s="24" t="str">
        <f t="shared" si="52"/>
        <v>Okay</v>
      </c>
      <c r="Y219" s="36">
        <f>IF(W219&lt;=0.25,W219,'10. Whatif Control pannel'!$B$2)</f>
        <v>0.196</v>
      </c>
      <c r="Z219" s="24">
        <v>8</v>
      </c>
      <c r="AA219" s="13">
        <f>(1+'10. Whatif Control pannel'!$B$10)*Z219</f>
        <v>9.6</v>
      </c>
      <c r="AB219" s="3">
        <f t="shared" si="53"/>
        <v>2231.64672</v>
      </c>
      <c r="AC219" s="3">
        <f t="shared" si="58"/>
        <v>2999.33319168</v>
      </c>
      <c r="AD219" s="3">
        <f t="shared" si="54"/>
        <v>1206.88</v>
      </c>
      <c r="AE219" s="3">
        <f t="shared" si="55"/>
        <v>1024.76672</v>
      </c>
      <c r="AF219" s="3">
        <f t="shared" si="59"/>
        <v>1792.45319168</v>
      </c>
      <c r="AG219">
        <f t="shared" si="56"/>
        <v>0.459197556143653</v>
      </c>
    </row>
    <row r="220" spans="1:33">
      <c r="A220" t="s">
        <v>538</v>
      </c>
      <c r="B220" s="20">
        <v>45576</v>
      </c>
      <c r="C220" s="2">
        <f t="shared" si="45"/>
        <v>10</v>
      </c>
      <c r="D220" s="21">
        <f t="shared" si="57"/>
        <v>45576</v>
      </c>
      <c r="E220" s="19" t="str">
        <f t="shared" si="46"/>
        <v>Quarter 4</v>
      </c>
      <c r="F220" s="19">
        <v>45605</v>
      </c>
      <c r="G220" s="19">
        <f t="shared" si="47"/>
        <v>45605</v>
      </c>
      <c r="H220" s="22">
        <f t="shared" si="48"/>
        <v>29</v>
      </c>
      <c r="I220" t="str">
        <f t="shared" si="49"/>
        <v>Delayed </v>
      </c>
      <c r="J220" t="s">
        <v>45</v>
      </c>
      <c r="K220" t="s">
        <v>116</v>
      </c>
      <c r="L220" t="s">
        <v>162</v>
      </c>
      <c r="M220" t="s">
        <v>39</v>
      </c>
      <c r="N220" t="s">
        <v>28</v>
      </c>
      <c r="O220" t="s">
        <v>84</v>
      </c>
      <c r="P220" t="s">
        <v>30</v>
      </c>
      <c r="Q220" t="s">
        <v>539</v>
      </c>
      <c r="R220" s="3">
        <v>391.64</v>
      </c>
      <c r="S220" s="3">
        <v>504.76</v>
      </c>
      <c r="T220" s="3">
        <f t="shared" si="50"/>
        <v>504.76</v>
      </c>
      <c r="U220" s="3">
        <f>(1+'10. Whatif Control pannel'!$B$6)*T220</f>
        <v>565.3312</v>
      </c>
      <c r="V220" s="3" t="str">
        <f t="shared" si="51"/>
        <v>Low</v>
      </c>
      <c r="W220" s="34">
        <v>0.004</v>
      </c>
      <c r="X220" s="24" t="str">
        <f t="shared" si="52"/>
        <v>Okay</v>
      </c>
      <c r="Y220" s="36">
        <f>IF(W220&lt;=0.25,W220,'10. Whatif Control pannel'!$B$2)</f>
        <v>0.004</v>
      </c>
      <c r="Z220" s="24">
        <v>13</v>
      </c>
      <c r="AA220" s="13">
        <f>(1+'10. Whatif Control pannel'!$B$10)*Z220</f>
        <v>15.6</v>
      </c>
      <c r="AB220" s="3">
        <f t="shared" si="53"/>
        <v>6535.63248</v>
      </c>
      <c r="AC220" s="3">
        <f t="shared" si="58"/>
        <v>8783.89005312</v>
      </c>
      <c r="AD220" s="3">
        <f t="shared" si="54"/>
        <v>5091.32</v>
      </c>
      <c r="AE220" s="3">
        <f t="shared" si="55"/>
        <v>1444.31248</v>
      </c>
      <c r="AF220" s="3">
        <f t="shared" si="59"/>
        <v>3692.57005312</v>
      </c>
      <c r="AG220">
        <f t="shared" si="56"/>
        <v>0.220990467934023</v>
      </c>
    </row>
    <row r="221" spans="1:33">
      <c r="A221" t="s">
        <v>540</v>
      </c>
      <c r="B221" s="20">
        <v>45554</v>
      </c>
      <c r="C221" s="2">
        <f t="shared" si="45"/>
        <v>9</v>
      </c>
      <c r="D221" s="21">
        <f t="shared" si="57"/>
        <v>45554</v>
      </c>
      <c r="E221" s="19" t="str">
        <f t="shared" si="46"/>
        <v>Quarter 3</v>
      </c>
      <c r="F221" s="19">
        <v>45579</v>
      </c>
      <c r="G221" s="19">
        <f t="shared" si="47"/>
        <v>45579</v>
      </c>
      <c r="H221" s="22">
        <f t="shared" si="48"/>
        <v>25</v>
      </c>
      <c r="I221" t="str">
        <f t="shared" si="49"/>
        <v>Delayed </v>
      </c>
      <c r="J221" t="s">
        <v>52</v>
      </c>
      <c r="K221" t="s">
        <v>73</v>
      </c>
      <c r="L221" t="s">
        <v>225</v>
      </c>
      <c r="M221" t="s">
        <v>62</v>
      </c>
      <c r="N221" t="s">
        <v>20</v>
      </c>
      <c r="O221" t="s">
        <v>95</v>
      </c>
      <c r="P221" t="s">
        <v>30</v>
      </c>
      <c r="Q221" t="s">
        <v>541</v>
      </c>
      <c r="R221" s="3">
        <v>386.96</v>
      </c>
      <c r="S221" s="3">
        <v>937.46</v>
      </c>
      <c r="T221" s="3">
        <f t="shared" si="50"/>
        <v>937.46</v>
      </c>
      <c r="U221" s="3">
        <f>(1+'10. Whatif Control pannel'!$B$6)*T221</f>
        <v>1049.9552</v>
      </c>
      <c r="V221" s="3" t="str">
        <f t="shared" si="51"/>
        <v>Medium</v>
      </c>
      <c r="W221" s="34">
        <v>0.266</v>
      </c>
      <c r="X221" s="24" t="str">
        <f t="shared" si="52"/>
        <v>High Discount</v>
      </c>
      <c r="Y221" s="36">
        <f>IF(W221&lt;=0.25,W221,'10. Whatif Control pannel'!$B$2)</f>
        <v>0.23</v>
      </c>
      <c r="Z221" s="24">
        <v>41</v>
      </c>
      <c r="AA221" s="13">
        <f>(1+'10. Whatif Control pannel'!$B$10)*Z221</f>
        <v>49.2</v>
      </c>
      <c r="AB221" s="3">
        <f t="shared" si="53"/>
        <v>28211.92124</v>
      </c>
      <c r="AC221" s="3">
        <f t="shared" si="58"/>
        <v>39776.5027968</v>
      </c>
      <c r="AD221" s="3">
        <f t="shared" si="54"/>
        <v>15865.36</v>
      </c>
      <c r="AE221" s="3">
        <f t="shared" si="55"/>
        <v>12346.56124</v>
      </c>
      <c r="AF221" s="3">
        <f t="shared" si="59"/>
        <v>23911.1427968</v>
      </c>
      <c r="AG221">
        <f t="shared" si="56"/>
        <v>0.437636314626263</v>
      </c>
    </row>
    <row r="222" spans="1:33">
      <c r="A222" t="s">
        <v>542</v>
      </c>
      <c r="B222" s="20">
        <v>45894</v>
      </c>
      <c r="C222" s="2">
        <f t="shared" si="45"/>
        <v>8</v>
      </c>
      <c r="D222" s="21">
        <f t="shared" si="57"/>
        <v>45894</v>
      </c>
      <c r="E222" s="19" t="str">
        <f t="shared" si="46"/>
        <v>Quarter 3</v>
      </c>
      <c r="F222" s="19">
        <v>45924</v>
      </c>
      <c r="G222" s="19">
        <f t="shared" si="47"/>
        <v>45924</v>
      </c>
      <c r="H222" s="22">
        <f t="shared" si="48"/>
        <v>30</v>
      </c>
      <c r="I222" t="str">
        <f t="shared" si="49"/>
        <v>Delayed </v>
      </c>
      <c r="J222" t="s">
        <v>16</v>
      </c>
      <c r="K222" t="s">
        <v>17</v>
      </c>
      <c r="L222" t="s">
        <v>33</v>
      </c>
      <c r="M222" t="s">
        <v>48</v>
      </c>
      <c r="N222" t="s">
        <v>98</v>
      </c>
      <c r="O222" t="s">
        <v>56</v>
      </c>
      <c r="P222" t="s">
        <v>22</v>
      </c>
      <c r="Q222" t="s">
        <v>543</v>
      </c>
      <c r="R222" s="3">
        <v>589.14</v>
      </c>
      <c r="S222" s="3">
        <v>1300.58</v>
      </c>
      <c r="T222" s="3">
        <f t="shared" si="50"/>
        <v>1300.58</v>
      </c>
      <c r="U222" s="3">
        <f>(1+'10. Whatif Control pannel'!$B$6)*T222</f>
        <v>1456.6496</v>
      </c>
      <c r="V222" s="3" t="str">
        <f t="shared" si="51"/>
        <v>Medium</v>
      </c>
      <c r="W222" s="34">
        <v>0.055</v>
      </c>
      <c r="X222" s="24" t="str">
        <f t="shared" si="52"/>
        <v>Okay</v>
      </c>
      <c r="Y222" s="36">
        <f>IF(W222&lt;=0.25,W222,'10. Whatif Control pannel'!$B$2)</f>
        <v>0.055</v>
      </c>
      <c r="Z222" s="24">
        <v>11</v>
      </c>
      <c r="AA222" s="13">
        <f>(1+'10. Whatif Control pannel'!$B$10)*Z222</f>
        <v>13.2</v>
      </c>
      <c r="AB222" s="3">
        <f t="shared" si="53"/>
        <v>13519.5291</v>
      </c>
      <c r="AC222" s="3">
        <f t="shared" si="58"/>
        <v>18170.2471104</v>
      </c>
      <c r="AD222" s="3">
        <f t="shared" si="54"/>
        <v>6480.54</v>
      </c>
      <c r="AE222" s="3">
        <f t="shared" si="55"/>
        <v>7038.9891</v>
      </c>
      <c r="AF222" s="3">
        <f t="shared" si="59"/>
        <v>11689.7071104</v>
      </c>
      <c r="AG222">
        <f t="shared" si="56"/>
        <v>0.520653422758637</v>
      </c>
    </row>
    <row r="223" spans="1:33">
      <c r="A223" t="s">
        <v>544</v>
      </c>
      <c r="B223" s="20">
        <v>45194</v>
      </c>
      <c r="C223" s="2">
        <f t="shared" si="45"/>
        <v>9</v>
      </c>
      <c r="D223" s="21">
        <f t="shared" si="57"/>
        <v>45194</v>
      </c>
      <c r="E223" s="19" t="str">
        <f t="shared" si="46"/>
        <v>Quarter 3</v>
      </c>
      <c r="F223" s="19">
        <v>45201</v>
      </c>
      <c r="G223" s="19">
        <f t="shared" si="47"/>
        <v>45201</v>
      </c>
      <c r="H223" s="22">
        <f t="shared" si="48"/>
        <v>7</v>
      </c>
      <c r="I223" t="str">
        <f t="shared" si="49"/>
        <v>Ontime</v>
      </c>
      <c r="J223" t="s">
        <v>52</v>
      </c>
      <c r="K223" t="s">
        <v>122</v>
      </c>
      <c r="L223" t="s">
        <v>387</v>
      </c>
      <c r="M223" t="s">
        <v>27</v>
      </c>
      <c r="N223" t="s">
        <v>40</v>
      </c>
      <c r="O223" t="s">
        <v>34</v>
      </c>
      <c r="P223" t="s">
        <v>81</v>
      </c>
      <c r="Q223" t="s">
        <v>545</v>
      </c>
      <c r="R223" s="3">
        <v>145.58</v>
      </c>
      <c r="S223" s="3">
        <v>228.15</v>
      </c>
      <c r="T223" s="3">
        <f t="shared" si="50"/>
        <v>228.15</v>
      </c>
      <c r="U223" s="3">
        <f>(1+'10. Whatif Control pannel'!$B$6)*T223</f>
        <v>255.528</v>
      </c>
      <c r="V223" s="3" t="str">
        <f t="shared" si="51"/>
        <v>Low</v>
      </c>
      <c r="W223" s="34">
        <v>0.204</v>
      </c>
      <c r="X223" s="24" t="str">
        <f t="shared" si="52"/>
        <v>High Discount</v>
      </c>
      <c r="Y223" s="36">
        <f>IF(W223&lt;=0.25,W223,'10. Whatif Control pannel'!$B$2)</f>
        <v>0.204</v>
      </c>
      <c r="Z223" s="24">
        <v>5</v>
      </c>
      <c r="AA223" s="13">
        <f>(1+'10. Whatif Control pannel'!$B$10)*Z223</f>
        <v>6</v>
      </c>
      <c r="AB223" s="3">
        <f t="shared" si="53"/>
        <v>908.037</v>
      </c>
      <c r="AC223" s="3">
        <f t="shared" si="58"/>
        <v>1220.401728</v>
      </c>
      <c r="AD223" s="3">
        <f t="shared" si="54"/>
        <v>727.9</v>
      </c>
      <c r="AE223" s="3">
        <f t="shared" si="55"/>
        <v>180.137</v>
      </c>
      <c r="AF223" s="3">
        <f t="shared" si="59"/>
        <v>492.501728</v>
      </c>
      <c r="AG223">
        <f t="shared" si="56"/>
        <v>0.198380682725484</v>
      </c>
    </row>
    <row r="224" spans="1:33">
      <c r="A224" t="s">
        <v>546</v>
      </c>
      <c r="B224" s="20">
        <v>45164</v>
      </c>
      <c r="C224" s="2">
        <f t="shared" si="45"/>
        <v>8</v>
      </c>
      <c r="D224" s="21">
        <f t="shared" si="57"/>
        <v>45164</v>
      </c>
      <c r="E224" s="19" t="str">
        <f t="shared" si="46"/>
        <v>Quarter 3</v>
      </c>
      <c r="F224" s="19">
        <v>45179</v>
      </c>
      <c r="G224" s="19">
        <f t="shared" si="47"/>
        <v>45179</v>
      </c>
      <c r="H224" s="22">
        <f t="shared" si="48"/>
        <v>15</v>
      </c>
      <c r="I224" t="str">
        <f t="shared" si="49"/>
        <v>Delayed </v>
      </c>
      <c r="J224" t="s">
        <v>16</v>
      </c>
      <c r="K224" t="s">
        <v>148</v>
      </c>
      <c r="L224" t="s">
        <v>258</v>
      </c>
      <c r="M224" t="s">
        <v>39</v>
      </c>
      <c r="N224" t="s">
        <v>98</v>
      </c>
      <c r="O224" t="s">
        <v>126</v>
      </c>
      <c r="P224" t="s">
        <v>22</v>
      </c>
      <c r="Q224" t="s">
        <v>547</v>
      </c>
      <c r="R224" s="3">
        <v>241.14</v>
      </c>
      <c r="S224" s="3">
        <v>496.52</v>
      </c>
      <c r="T224" s="3">
        <f t="shared" si="50"/>
        <v>496.52</v>
      </c>
      <c r="U224" s="3">
        <f>(1+'10. Whatif Control pannel'!$B$6)*T224</f>
        <v>556.1024</v>
      </c>
      <c r="V224" s="3" t="str">
        <f t="shared" si="51"/>
        <v>Low</v>
      </c>
      <c r="W224" s="34">
        <v>0.093</v>
      </c>
      <c r="X224" s="24" t="str">
        <f t="shared" si="52"/>
        <v>Okay</v>
      </c>
      <c r="Y224" s="36">
        <f>IF(W224&lt;=0.25,W224,'10. Whatif Control pannel'!$B$2)</f>
        <v>0.093</v>
      </c>
      <c r="Z224" s="24">
        <v>10</v>
      </c>
      <c r="AA224" s="13">
        <f>(1+'10. Whatif Control pannel'!$B$10)*Z224</f>
        <v>12</v>
      </c>
      <c r="AB224" s="3">
        <f t="shared" si="53"/>
        <v>4503.4364</v>
      </c>
      <c r="AC224" s="3">
        <f t="shared" si="58"/>
        <v>6052.6185216</v>
      </c>
      <c r="AD224" s="3">
        <f t="shared" si="54"/>
        <v>2411.4</v>
      </c>
      <c r="AE224" s="3">
        <f t="shared" si="55"/>
        <v>2092.0364</v>
      </c>
      <c r="AF224" s="3">
        <f t="shared" si="59"/>
        <v>3641.2185216</v>
      </c>
      <c r="AG224">
        <f t="shared" si="56"/>
        <v>0.46454223268258</v>
      </c>
    </row>
    <row r="225" spans="1:33">
      <c r="A225" t="s">
        <v>548</v>
      </c>
      <c r="B225" s="20">
        <v>45854</v>
      </c>
      <c r="C225" s="2">
        <f t="shared" si="45"/>
        <v>7</v>
      </c>
      <c r="D225" s="21">
        <f t="shared" si="57"/>
        <v>45854</v>
      </c>
      <c r="E225" s="19" t="str">
        <f t="shared" si="46"/>
        <v>Quarter 3</v>
      </c>
      <c r="F225" s="19">
        <v>45855</v>
      </c>
      <c r="G225" s="19">
        <f t="shared" si="47"/>
        <v>45855</v>
      </c>
      <c r="H225" s="22">
        <f t="shared" si="48"/>
        <v>1</v>
      </c>
      <c r="I225" t="str">
        <f t="shared" si="49"/>
        <v>Ontime</v>
      </c>
      <c r="J225" t="s">
        <v>16</v>
      </c>
      <c r="K225" t="s">
        <v>148</v>
      </c>
      <c r="L225" t="s">
        <v>172</v>
      </c>
      <c r="M225" t="s">
        <v>62</v>
      </c>
      <c r="N225" t="s">
        <v>55</v>
      </c>
      <c r="O225" t="s">
        <v>56</v>
      </c>
      <c r="P225" t="s">
        <v>35</v>
      </c>
      <c r="Q225" t="s">
        <v>549</v>
      </c>
      <c r="R225" s="3">
        <v>1198.9</v>
      </c>
      <c r="S225" s="3">
        <v>2941.2</v>
      </c>
      <c r="T225" s="3">
        <f t="shared" si="50"/>
        <v>2941.2</v>
      </c>
      <c r="U225" s="3">
        <f>(1+'10. Whatif Control pannel'!$B$6)*T225</f>
        <v>3294.144</v>
      </c>
      <c r="V225" s="3" t="str">
        <f t="shared" si="51"/>
        <v>High</v>
      </c>
      <c r="W225" s="34">
        <v>0.051</v>
      </c>
      <c r="X225" s="24" t="str">
        <f t="shared" si="52"/>
        <v>Okay</v>
      </c>
      <c r="Y225" s="36">
        <f>IF(W225&lt;=0.25,W225,'10. Whatif Control pannel'!$B$2)</f>
        <v>0.051</v>
      </c>
      <c r="Z225" s="24">
        <v>24</v>
      </c>
      <c r="AA225" s="13">
        <f>(1+'10. Whatif Control pannel'!$B$10)*Z225</f>
        <v>28.8</v>
      </c>
      <c r="AB225" s="3">
        <f t="shared" si="53"/>
        <v>66988.7712</v>
      </c>
      <c r="AC225" s="3">
        <f t="shared" si="58"/>
        <v>90032.9084928</v>
      </c>
      <c r="AD225" s="3">
        <f t="shared" si="54"/>
        <v>28773.6</v>
      </c>
      <c r="AE225" s="3">
        <f t="shared" si="55"/>
        <v>38215.1712</v>
      </c>
      <c r="AF225" s="3">
        <f t="shared" si="59"/>
        <v>61259.3084928</v>
      </c>
      <c r="AG225">
        <f t="shared" si="56"/>
        <v>0.57047129713584</v>
      </c>
    </row>
    <row r="226" spans="1:33">
      <c r="A226" t="s">
        <v>550</v>
      </c>
      <c r="B226" s="20">
        <v>45035</v>
      </c>
      <c r="C226" s="2">
        <f t="shared" si="45"/>
        <v>4</v>
      </c>
      <c r="D226" s="21">
        <f t="shared" si="57"/>
        <v>45035</v>
      </c>
      <c r="E226" s="19" t="str">
        <f t="shared" si="46"/>
        <v>Quarter 2</v>
      </c>
      <c r="F226" s="19">
        <v>45053</v>
      </c>
      <c r="G226" s="19">
        <f t="shared" si="47"/>
        <v>45053</v>
      </c>
      <c r="H226" s="22">
        <f t="shared" si="48"/>
        <v>18</v>
      </c>
      <c r="I226" t="str">
        <f t="shared" si="49"/>
        <v>Delayed </v>
      </c>
      <c r="J226" t="s">
        <v>78</v>
      </c>
      <c r="K226" t="s">
        <v>108</v>
      </c>
      <c r="L226" t="s">
        <v>109</v>
      </c>
      <c r="M226" t="s">
        <v>105</v>
      </c>
      <c r="N226" t="s">
        <v>20</v>
      </c>
      <c r="O226" t="s">
        <v>126</v>
      </c>
      <c r="P226" t="s">
        <v>57</v>
      </c>
      <c r="Q226" t="s">
        <v>551</v>
      </c>
      <c r="R226" s="3">
        <v>1089.15</v>
      </c>
      <c r="S226" s="3">
        <v>1088.2</v>
      </c>
      <c r="T226" s="3">
        <f t="shared" si="50"/>
        <v>1088.2</v>
      </c>
      <c r="U226" s="3">
        <f>(1+'10. Whatif Control pannel'!$B$6)*T226</f>
        <v>1218.784</v>
      </c>
      <c r="V226" s="3" t="str">
        <f t="shared" si="51"/>
        <v>Medium</v>
      </c>
      <c r="W226" s="34">
        <v>0.051</v>
      </c>
      <c r="X226" s="24" t="str">
        <f t="shared" si="52"/>
        <v>Okay</v>
      </c>
      <c r="Y226" s="36">
        <f>IF(W226&lt;=0.25,W226,'10. Whatif Control pannel'!$B$2)</f>
        <v>0.051</v>
      </c>
      <c r="Z226" s="24">
        <v>15</v>
      </c>
      <c r="AA226" s="13">
        <f>(1+'10. Whatif Control pannel'!$B$10)*Z226</f>
        <v>18</v>
      </c>
      <c r="AB226" s="3">
        <f t="shared" si="53"/>
        <v>15490.527</v>
      </c>
      <c r="AC226" s="3">
        <f t="shared" si="58"/>
        <v>20819.268288</v>
      </c>
      <c r="AD226" s="3">
        <f t="shared" si="54"/>
        <v>16337.25</v>
      </c>
      <c r="AE226" s="3">
        <f t="shared" si="55"/>
        <v>-846.723000000002</v>
      </c>
      <c r="AF226" s="3">
        <f t="shared" si="59"/>
        <v>4482.018288</v>
      </c>
      <c r="AG226">
        <f t="shared" si="56"/>
        <v>-0.054660696824582</v>
      </c>
    </row>
    <row r="227" spans="1:33">
      <c r="A227" t="s">
        <v>552</v>
      </c>
      <c r="B227" s="20">
        <v>45279</v>
      </c>
      <c r="C227" s="2">
        <f t="shared" si="45"/>
        <v>12</v>
      </c>
      <c r="D227" s="21">
        <f t="shared" si="57"/>
        <v>45279</v>
      </c>
      <c r="E227" s="19" t="str">
        <f t="shared" si="46"/>
        <v>Quarter 4</v>
      </c>
      <c r="F227" s="19">
        <v>45280</v>
      </c>
      <c r="G227" s="19">
        <f t="shared" si="47"/>
        <v>45280</v>
      </c>
      <c r="H227" s="22">
        <f t="shared" si="48"/>
        <v>1</v>
      </c>
      <c r="I227" t="str">
        <f t="shared" si="49"/>
        <v>Ontime</v>
      </c>
      <c r="J227" t="s">
        <v>52</v>
      </c>
      <c r="K227" t="s">
        <v>73</v>
      </c>
      <c r="L227" t="s">
        <v>225</v>
      </c>
      <c r="M227" t="s">
        <v>48</v>
      </c>
      <c r="N227" t="s">
        <v>55</v>
      </c>
      <c r="O227" t="s">
        <v>29</v>
      </c>
      <c r="P227" t="s">
        <v>42</v>
      </c>
      <c r="Q227" t="s">
        <v>553</v>
      </c>
      <c r="R227" s="3">
        <v>1080.43</v>
      </c>
      <c r="S227" s="3">
        <v>2529.15</v>
      </c>
      <c r="T227" s="3">
        <f t="shared" si="50"/>
        <v>2529.15</v>
      </c>
      <c r="U227" s="3">
        <f>(1+'10. Whatif Control pannel'!$B$6)*T227</f>
        <v>2832.648</v>
      </c>
      <c r="V227" s="3" t="str">
        <f t="shared" si="51"/>
        <v>High</v>
      </c>
      <c r="W227" s="34">
        <v>0.147</v>
      </c>
      <c r="X227" s="24" t="str">
        <f t="shared" si="52"/>
        <v>Okay</v>
      </c>
      <c r="Y227" s="36">
        <f>IF(W227&lt;=0.25,W227,'10. Whatif Control pannel'!$B$2)</f>
        <v>0.147</v>
      </c>
      <c r="Z227" s="24">
        <v>10</v>
      </c>
      <c r="AA227" s="13">
        <f>(1+'10. Whatif Control pannel'!$B$10)*Z227</f>
        <v>12</v>
      </c>
      <c r="AB227" s="3">
        <f t="shared" si="53"/>
        <v>21573.6495</v>
      </c>
      <c r="AC227" s="3">
        <f t="shared" si="58"/>
        <v>28994.984928</v>
      </c>
      <c r="AD227" s="3">
        <f t="shared" si="54"/>
        <v>10804.3</v>
      </c>
      <c r="AE227" s="3">
        <f t="shared" si="55"/>
        <v>10769.3495</v>
      </c>
      <c r="AF227" s="3">
        <f t="shared" si="59"/>
        <v>18190.684928</v>
      </c>
      <c r="AG227">
        <f t="shared" si="56"/>
        <v>0.499189972470814</v>
      </c>
    </row>
    <row r="228" spans="1:33">
      <c r="A228" t="s">
        <v>554</v>
      </c>
      <c r="B228" s="20">
        <v>45137</v>
      </c>
      <c r="C228" s="2">
        <f t="shared" si="45"/>
        <v>7</v>
      </c>
      <c r="D228" s="21">
        <f t="shared" si="57"/>
        <v>45137</v>
      </c>
      <c r="E228" s="19" t="str">
        <f t="shared" si="46"/>
        <v>Quarter 3</v>
      </c>
      <c r="F228" s="19">
        <v>45145</v>
      </c>
      <c r="G228" s="19">
        <f t="shared" si="47"/>
        <v>45145</v>
      </c>
      <c r="H228" s="22">
        <f t="shared" si="48"/>
        <v>8</v>
      </c>
      <c r="I228" t="str">
        <f t="shared" si="49"/>
        <v>Delayed </v>
      </c>
      <c r="J228" t="s">
        <v>45</v>
      </c>
      <c r="K228" t="s">
        <v>46</v>
      </c>
      <c r="L228" t="s">
        <v>231</v>
      </c>
      <c r="M228" t="s">
        <v>27</v>
      </c>
      <c r="N228" t="s">
        <v>40</v>
      </c>
      <c r="O228" t="s">
        <v>75</v>
      </c>
      <c r="P228" t="s">
        <v>35</v>
      </c>
      <c r="Q228" t="s">
        <v>555</v>
      </c>
      <c r="R228" s="3">
        <v>1352.44</v>
      </c>
      <c r="S228" s="3">
        <v>2698.01</v>
      </c>
      <c r="T228" s="3">
        <f t="shared" si="50"/>
        <v>2698.01</v>
      </c>
      <c r="U228" s="3">
        <f>(1+'10. Whatif Control pannel'!$B$6)*T228</f>
        <v>3021.7712</v>
      </c>
      <c r="V228" s="3" t="str">
        <f t="shared" si="51"/>
        <v>High</v>
      </c>
      <c r="W228" s="34">
        <v>0.131</v>
      </c>
      <c r="X228" s="24" t="str">
        <f t="shared" si="52"/>
        <v>Okay</v>
      </c>
      <c r="Y228" s="36">
        <f>IF(W228&lt;=0.25,W228,'10. Whatif Control pannel'!$B$2)</f>
        <v>0.131</v>
      </c>
      <c r="Z228" s="24">
        <v>13</v>
      </c>
      <c r="AA228" s="13">
        <f>(1+'10. Whatif Control pannel'!$B$10)*Z228</f>
        <v>15.6</v>
      </c>
      <c r="AB228" s="3">
        <f t="shared" si="53"/>
        <v>30479.41897</v>
      </c>
      <c r="AC228" s="3">
        <f t="shared" si="58"/>
        <v>40964.33909568</v>
      </c>
      <c r="AD228" s="3">
        <f t="shared" si="54"/>
        <v>17581.72</v>
      </c>
      <c r="AE228" s="3">
        <f t="shared" si="55"/>
        <v>12897.69897</v>
      </c>
      <c r="AF228" s="3">
        <f t="shared" si="59"/>
        <v>23382.61909568</v>
      </c>
      <c r="AG228">
        <f t="shared" si="56"/>
        <v>0.423160919920909</v>
      </c>
    </row>
    <row r="229" spans="1:33">
      <c r="A229" t="s">
        <v>556</v>
      </c>
      <c r="B229" s="20">
        <v>45203</v>
      </c>
      <c r="C229" s="2">
        <f t="shared" si="45"/>
        <v>10</v>
      </c>
      <c r="D229" s="21">
        <f t="shared" si="57"/>
        <v>45203</v>
      </c>
      <c r="E229" s="19" t="str">
        <f t="shared" si="46"/>
        <v>Quarter 4</v>
      </c>
      <c r="F229" s="19">
        <v>45228</v>
      </c>
      <c r="G229" s="19">
        <f t="shared" si="47"/>
        <v>45228</v>
      </c>
      <c r="H229" s="22">
        <f t="shared" si="48"/>
        <v>25</v>
      </c>
      <c r="I229" t="str">
        <f t="shared" si="49"/>
        <v>Delayed </v>
      </c>
      <c r="J229" t="s">
        <v>52</v>
      </c>
      <c r="K229" t="s">
        <v>122</v>
      </c>
      <c r="L229" t="s">
        <v>167</v>
      </c>
      <c r="M229" t="s">
        <v>62</v>
      </c>
      <c r="N229" t="s">
        <v>55</v>
      </c>
      <c r="O229" t="s">
        <v>68</v>
      </c>
      <c r="P229" t="s">
        <v>81</v>
      </c>
      <c r="Q229" t="s">
        <v>557</v>
      </c>
      <c r="R229" s="3">
        <v>1239.84</v>
      </c>
      <c r="S229" s="3">
        <v>1482.75</v>
      </c>
      <c r="T229" s="3">
        <f t="shared" si="50"/>
        <v>1482.75</v>
      </c>
      <c r="U229" s="3">
        <f>(1+'10. Whatif Control pannel'!$B$6)*T229</f>
        <v>1660.68</v>
      </c>
      <c r="V229" s="3" t="str">
        <f t="shared" si="51"/>
        <v>Medium</v>
      </c>
      <c r="W229" s="34">
        <v>0.067</v>
      </c>
      <c r="X229" s="24" t="str">
        <f t="shared" si="52"/>
        <v>Okay</v>
      </c>
      <c r="Y229" s="36">
        <f>IF(W229&lt;=0.25,W229,'10. Whatif Control pannel'!$B$2)</f>
        <v>0.067</v>
      </c>
      <c r="Z229" s="24">
        <v>4</v>
      </c>
      <c r="AA229" s="13">
        <f>(1+'10. Whatif Control pannel'!$B$10)*Z229</f>
        <v>4.8</v>
      </c>
      <c r="AB229" s="3">
        <f t="shared" si="53"/>
        <v>5533.623</v>
      </c>
      <c r="AC229" s="3">
        <f t="shared" si="58"/>
        <v>7437.189312</v>
      </c>
      <c r="AD229" s="3">
        <f t="shared" si="54"/>
        <v>4959.36</v>
      </c>
      <c r="AE229" s="3">
        <f t="shared" si="55"/>
        <v>574.263000000001</v>
      </c>
      <c r="AF229" s="3">
        <f t="shared" si="59"/>
        <v>2477.829312</v>
      </c>
      <c r="AG229">
        <f t="shared" si="56"/>
        <v>0.103777037214136</v>
      </c>
    </row>
    <row r="230" spans="1:33">
      <c r="A230" t="s">
        <v>558</v>
      </c>
      <c r="B230" s="20">
        <v>45879</v>
      </c>
      <c r="C230" s="2">
        <f t="shared" si="45"/>
        <v>8</v>
      </c>
      <c r="D230" s="21">
        <f t="shared" si="57"/>
        <v>45879</v>
      </c>
      <c r="E230" s="19" t="str">
        <f t="shared" si="46"/>
        <v>Quarter 3</v>
      </c>
      <c r="F230" s="19">
        <v>45899</v>
      </c>
      <c r="G230" s="19">
        <f t="shared" si="47"/>
        <v>45899</v>
      </c>
      <c r="H230" s="22">
        <f t="shared" si="48"/>
        <v>20</v>
      </c>
      <c r="I230" t="str">
        <f t="shared" si="49"/>
        <v>Delayed </v>
      </c>
      <c r="J230" t="s">
        <v>52</v>
      </c>
      <c r="K230" t="s">
        <v>122</v>
      </c>
      <c r="L230" t="s">
        <v>167</v>
      </c>
      <c r="M230" t="s">
        <v>19</v>
      </c>
      <c r="N230" t="s">
        <v>40</v>
      </c>
      <c r="O230" t="s">
        <v>95</v>
      </c>
      <c r="P230" t="s">
        <v>30</v>
      </c>
      <c r="Q230" t="s">
        <v>559</v>
      </c>
      <c r="R230" s="3">
        <v>933.29</v>
      </c>
      <c r="S230" s="3">
        <v>1456.81</v>
      </c>
      <c r="T230" s="3">
        <f t="shared" si="50"/>
        <v>1456.81</v>
      </c>
      <c r="U230" s="3">
        <f>(1+'10. Whatif Control pannel'!$B$6)*T230</f>
        <v>1631.6272</v>
      </c>
      <c r="V230" s="3" t="str">
        <f t="shared" si="51"/>
        <v>Medium</v>
      </c>
      <c r="W230" s="34">
        <v>0.123</v>
      </c>
      <c r="X230" s="24" t="str">
        <f t="shared" si="52"/>
        <v>Okay</v>
      </c>
      <c r="Y230" s="36">
        <f>IF(W230&lt;=0.25,W230,'10. Whatif Control pannel'!$B$2)</f>
        <v>0.123</v>
      </c>
      <c r="Z230" s="24">
        <v>13</v>
      </c>
      <c r="AA230" s="13">
        <f>(1+'10. Whatif Control pannel'!$B$10)*Z230</f>
        <v>15.6</v>
      </c>
      <c r="AB230" s="3">
        <f t="shared" si="53"/>
        <v>16609.09081</v>
      </c>
      <c r="AC230" s="3">
        <f t="shared" si="58"/>
        <v>22322.61804864</v>
      </c>
      <c r="AD230" s="3">
        <f t="shared" si="54"/>
        <v>12132.77</v>
      </c>
      <c r="AE230" s="3">
        <f t="shared" si="55"/>
        <v>4476.32081</v>
      </c>
      <c r="AF230" s="3">
        <f t="shared" si="59"/>
        <v>10189.84804864</v>
      </c>
      <c r="AG230">
        <f t="shared" si="56"/>
        <v>0.2695102857349</v>
      </c>
    </row>
    <row r="231" spans="1:33">
      <c r="A231" t="s">
        <v>560</v>
      </c>
      <c r="B231" s="20">
        <v>44992</v>
      </c>
      <c r="C231" s="2">
        <f t="shared" si="45"/>
        <v>3</v>
      </c>
      <c r="D231" s="21">
        <f t="shared" si="57"/>
        <v>44992</v>
      </c>
      <c r="E231" s="19" t="str">
        <f t="shared" si="46"/>
        <v>Quarter 1</v>
      </c>
      <c r="F231" s="19">
        <v>45017</v>
      </c>
      <c r="G231" s="19">
        <f t="shared" si="47"/>
        <v>45017</v>
      </c>
      <c r="H231" s="22">
        <f t="shared" si="48"/>
        <v>25</v>
      </c>
      <c r="I231" t="str">
        <f t="shared" si="49"/>
        <v>Delayed </v>
      </c>
      <c r="J231" t="s">
        <v>16</v>
      </c>
      <c r="K231" t="s">
        <v>17</v>
      </c>
      <c r="L231" t="s">
        <v>33</v>
      </c>
      <c r="M231" t="s">
        <v>48</v>
      </c>
      <c r="N231" t="s">
        <v>40</v>
      </c>
      <c r="O231" t="s">
        <v>145</v>
      </c>
      <c r="P231" t="s">
        <v>30</v>
      </c>
      <c r="Q231" t="s">
        <v>561</v>
      </c>
      <c r="R231" s="3">
        <v>1024.1</v>
      </c>
      <c r="S231" s="3">
        <v>918.19</v>
      </c>
      <c r="T231" s="3">
        <f t="shared" si="50"/>
        <v>918.19</v>
      </c>
      <c r="U231" s="3">
        <f>(1+'10. Whatif Control pannel'!$B$6)*T231</f>
        <v>1028.3728</v>
      </c>
      <c r="V231" s="3" t="str">
        <f t="shared" si="51"/>
        <v>Medium</v>
      </c>
      <c r="W231" s="34">
        <v>0.189</v>
      </c>
      <c r="X231" s="24" t="str">
        <f t="shared" si="52"/>
        <v>Okay</v>
      </c>
      <c r="Y231" s="36">
        <f>IF(W231&lt;=0.25,W231,'10. Whatif Control pannel'!$B$2)</f>
        <v>0.189</v>
      </c>
      <c r="Z231" s="24">
        <v>10</v>
      </c>
      <c r="AA231" s="13">
        <f>(1+'10. Whatif Control pannel'!$B$10)*Z231</f>
        <v>12</v>
      </c>
      <c r="AB231" s="3">
        <f t="shared" si="53"/>
        <v>7446.5209</v>
      </c>
      <c r="AC231" s="3">
        <f t="shared" si="58"/>
        <v>10008.1240896</v>
      </c>
      <c r="AD231" s="3">
        <f t="shared" si="54"/>
        <v>10241</v>
      </c>
      <c r="AE231" s="3">
        <f t="shared" si="55"/>
        <v>-2794.4791</v>
      </c>
      <c r="AF231" s="3">
        <f t="shared" si="59"/>
        <v>-232.8759104</v>
      </c>
      <c r="AG231">
        <f t="shared" si="56"/>
        <v>-0.375273115798278</v>
      </c>
    </row>
    <row r="232" spans="1:33">
      <c r="A232" t="s">
        <v>562</v>
      </c>
      <c r="B232" s="20">
        <v>45069</v>
      </c>
      <c r="C232" s="2">
        <f t="shared" si="45"/>
        <v>5</v>
      </c>
      <c r="D232" s="21">
        <f t="shared" si="57"/>
        <v>45069</v>
      </c>
      <c r="E232" s="19" t="str">
        <f t="shared" si="46"/>
        <v>Quarter 2</v>
      </c>
      <c r="F232" s="19">
        <v>45087</v>
      </c>
      <c r="G232" s="19">
        <f t="shared" si="47"/>
        <v>45087</v>
      </c>
      <c r="H232" s="22">
        <f t="shared" si="48"/>
        <v>18</v>
      </c>
      <c r="I232" t="str">
        <f t="shared" si="49"/>
        <v>Delayed </v>
      </c>
      <c r="J232" t="s">
        <v>45</v>
      </c>
      <c r="K232" t="s">
        <v>116</v>
      </c>
      <c r="L232" t="s">
        <v>162</v>
      </c>
      <c r="M232" t="s">
        <v>19</v>
      </c>
      <c r="N232" t="s">
        <v>55</v>
      </c>
      <c r="O232" t="s">
        <v>63</v>
      </c>
      <c r="P232" t="s">
        <v>22</v>
      </c>
      <c r="Q232" t="s">
        <v>563</v>
      </c>
      <c r="R232" s="3">
        <v>54.62</v>
      </c>
      <c r="S232" s="3">
        <v>48.94</v>
      </c>
      <c r="T232" s="3">
        <f t="shared" si="50"/>
        <v>48.94</v>
      </c>
      <c r="U232" s="3">
        <f>(1+'10. Whatif Control pannel'!$B$6)*T232</f>
        <v>54.8128</v>
      </c>
      <c r="V232" s="3" t="str">
        <f t="shared" si="51"/>
        <v>Low</v>
      </c>
      <c r="W232" s="34">
        <v>0.148</v>
      </c>
      <c r="X232" s="24" t="str">
        <f t="shared" si="52"/>
        <v>Okay</v>
      </c>
      <c r="Y232" s="36">
        <f>IF(W232&lt;=0.25,W232,'10. Whatif Control pannel'!$B$2)</f>
        <v>0.148</v>
      </c>
      <c r="Z232" s="24">
        <v>16</v>
      </c>
      <c r="AA232" s="13">
        <f>(1+'10. Whatif Control pannel'!$B$10)*Z232</f>
        <v>19.2</v>
      </c>
      <c r="AB232" s="3">
        <f t="shared" si="53"/>
        <v>667.15008</v>
      </c>
      <c r="AC232" s="3">
        <f t="shared" si="58"/>
        <v>896.64970752</v>
      </c>
      <c r="AD232" s="3">
        <f t="shared" si="54"/>
        <v>873.92</v>
      </c>
      <c r="AE232" s="3">
        <f t="shared" si="55"/>
        <v>-206.76992</v>
      </c>
      <c r="AF232" s="3">
        <f t="shared" si="59"/>
        <v>22.7297075200001</v>
      </c>
      <c r="AG232">
        <f t="shared" si="56"/>
        <v>-0.309930143454378</v>
      </c>
    </row>
    <row r="233" spans="1:33">
      <c r="A233" t="s">
        <v>564</v>
      </c>
      <c r="B233" s="20">
        <v>45771</v>
      </c>
      <c r="C233" s="2">
        <f t="shared" si="45"/>
        <v>4</v>
      </c>
      <c r="D233" s="21">
        <f t="shared" si="57"/>
        <v>45771</v>
      </c>
      <c r="E233" s="19" t="str">
        <f t="shared" si="46"/>
        <v>Quarter 2</v>
      </c>
      <c r="F233" s="19">
        <v>45783</v>
      </c>
      <c r="G233" s="19">
        <f t="shared" si="47"/>
        <v>45783</v>
      </c>
      <c r="H233" s="22">
        <f t="shared" si="48"/>
        <v>12</v>
      </c>
      <c r="I233" t="str">
        <f t="shared" si="49"/>
        <v>Delayed </v>
      </c>
      <c r="J233" t="s">
        <v>52</v>
      </c>
      <c r="K233" t="s">
        <v>73</v>
      </c>
      <c r="L233" t="s">
        <v>87</v>
      </c>
      <c r="M233" t="s">
        <v>48</v>
      </c>
      <c r="N233" t="s">
        <v>28</v>
      </c>
      <c r="O233" t="s">
        <v>21</v>
      </c>
      <c r="P233" t="s">
        <v>42</v>
      </c>
      <c r="Q233" t="s">
        <v>565</v>
      </c>
      <c r="R233" s="3">
        <v>394.13</v>
      </c>
      <c r="S233" s="3">
        <v>932.29</v>
      </c>
      <c r="T233" s="3">
        <f t="shared" si="50"/>
        <v>932.29</v>
      </c>
      <c r="U233" s="3">
        <f>(1+'10. Whatif Control pannel'!$B$6)*T233</f>
        <v>1044.1648</v>
      </c>
      <c r="V233" s="3" t="str">
        <f t="shared" si="51"/>
        <v>Medium</v>
      </c>
      <c r="W233" s="34">
        <v>0.109</v>
      </c>
      <c r="X233" s="24" t="str">
        <f t="shared" si="52"/>
        <v>Okay</v>
      </c>
      <c r="Y233" s="36">
        <f>IF(W233&lt;=0.25,W233,'10. Whatif Control pannel'!$B$2)</f>
        <v>0.109</v>
      </c>
      <c r="Z233" s="24">
        <v>7</v>
      </c>
      <c r="AA233" s="13">
        <f>(1+'10. Whatif Control pannel'!$B$10)*Z233</f>
        <v>8.4</v>
      </c>
      <c r="AB233" s="3">
        <f t="shared" si="53"/>
        <v>5814.69273</v>
      </c>
      <c r="AC233" s="3">
        <f t="shared" si="58"/>
        <v>7814.94702912</v>
      </c>
      <c r="AD233" s="3">
        <f t="shared" si="54"/>
        <v>2758.91</v>
      </c>
      <c r="AE233" s="3">
        <f t="shared" si="55"/>
        <v>3055.78273</v>
      </c>
      <c r="AF233" s="3">
        <f t="shared" si="59"/>
        <v>5056.03702912</v>
      </c>
      <c r="AG233">
        <f t="shared" si="56"/>
        <v>0.525527808930327</v>
      </c>
    </row>
    <row r="234" spans="1:33">
      <c r="A234" t="s">
        <v>566</v>
      </c>
      <c r="B234" s="20">
        <v>45538</v>
      </c>
      <c r="C234" s="2">
        <f t="shared" si="45"/>
        <v>9</v>
      </c>
      <c r="D234" s="21">
        <f t="shared" si="57"/>
        <v>45538</v>
      </c>
      <c r="E234" s="19" t="str">
        <f t="shared" si="46"/>
        <v>Quarter 3</v>
      </c>
      <c r="F234" s="19">
        <v>45543</v>
      </c>
      <c r="G234" s="19">
        <f t="shared" si="47"/>
        <v>45543</v>
      </c>
      <c r="H234" s="22">
        <f t="shared" si="48"/>
        <v>5</v>
      </c>
      <c r="I234" t="str">
        <f t="shared" si="49"/>
        <v>Ontime</v>
      </c>
      <c r="J234" t="s">
        <v>16</v>
      </c>
      <c r="K234" t="s">
        <v>25</v>
      </c>
      <c r="L234" t="s">
        <v>38</v>
      </c>
      <c r="M234" t="s">
        <v>62</v>
      </c>
      <c r="N234" t="s">
        <v>98</v>
      </c>
      <c r="O234" t="s">
        <v>95</v>
      </c>
      <c r="P234" t="s">
        <v>30</v>
      </c>
      <c r="Q234" t="s">
        <v>567</v>
      </c>
      <c r="R234" s="3">
        <v>197.63</v>
      </c>
      <c r="S234" s="3">
        <v>325.79</v>
      </c>
      <c r="T234" s="3">
        <f t="shared" si="50"/>
        <v>325.79</v>
      </c>
      <c r="U234" s="3">
        <f>(1+'10. Whatif Control pannel'!$B$6)*T234</f>
        <v>364.8848</v>
      </c>
      <c r="V234" s="3" t="str">
        <f t="shared" si="51"/>
        <v>Low</v>
      </c>
      <c r="W234" s="34">
        <v>0.116</v>
      </c>
      <c r="X234" s="24" t="str">
        <f t="shared" si="52"/>
        <v>Okay</v>
      </c>
      <c r="Y234" s="36">
        <f>IF(W234&lt;=0.25,W234,'10. Whatif Control pannel'!$B$2)</f>
        <v>0.116</v>
      </c>
      <c r="Z234" s="24">
        <v>10</v>
      </c>
      <c r="AA234" s="13">
        <f>(1+'10. Whatif Control pannel'!$B$10)*Z234</f>
        <v>12</v>
      </c>
      <c r="AB234" s="3">
        <f t="shared" si="53"/>
        <v>2879.9836</v>
      </c>
      <c r="AC234" s="3">
        <f t="shared" si="58"/>
        <v>3870.6979584</v>
      </c>
      <c r="AD234" s="3">
        <f t="shared" si="54"/>
        <v>1976.3</v>
      </c>
      <c r="AE234" s="3">
        <f t="shared" si="55"/>
        <v>903.6836</v>
      </c>
      <c r="AF234" s="3">
        <f t="shared" si="59"/>
        <v>1894.3979584</v>
      </c>
      <c r="AG234">
        <f t="shared" si="56"/>
        <v>0.313780814585194</v>
      </c>
    </row>
    <row r="235" spans="1:33">
      <c r="A235" t="s">
        <v>568</v>
      </c>
      <c r="B235" s="20">
        <v>45540</v>
      </c>
      <c r="C235" s="2">
        <f t="shared" si="45"/>
        <v>9</v>
      </c>
      <c r="D235" s="21">
        <f t="shared" si="57"/>
        <v>45540</v>
      </c>
      <c r="E235" s="19" t="str">
        <f t="shared" si="46"/>
        <v>Quarter 3</v>
      </c>
      <c r="F235" s="19">
        <v>45560</v>
      </c>
      <c r="G235" s="19">
        <f t="shared" si="47"/>
        <v>45560</v>
      </c>
      <c r="H235" s="22">
        <f t="shared" si="48"/>
        <v>20</v>
      </c>
      <c r="I235" t="str">
        <f t="shared" si="49"/>
        <v>Delayed </v>
      </c>
      <c r="J235" t="s">
        <v>45</v>
      </c>
      <c r="K235" t="s">
        <v>46</v>
      </c>
      <c r="L235" t="s">
        <v>47</v>
      </c>
      <c r="M235" t="s">
        <v>105</v>
      </c>
      <c r="N235" t="s">
        <v>55</v>
      </c>
      <c r="O235" t="s">
        <v>145</v>
      </c>
      <c r="P235" t="s">
        <v>64</v>
      </c>
      <c r="Q235" t="s">
        <v>569</v>
      </c>
      <c r="R235" s="3">
        <v>195.54</v>
      </c>
      <c r="S235" s="3">
        <v>405.97</v>
      </c>
      <c r="T235" s="3">
        <f t="shared" si="50"/>
        <v>405.97</v>
      </c>
      <c r="U235" s="3">
        <f>(1+'10. Whatif Control pannel'!$B$6)*T235</f>
        <v>454.6864</v>
      </c>
      <c r="V235" s="3" t="str">
        <f t="shared" si="51"/>
        <v>Low</v>
      </c>
      <c r="W235" s="34">
        <v>0.187</v>
      </c>
      <c r="X235" s="24" t="str">
        <f t="shared" si="52"/>
        <v>Okay</v>
      </c>
      <c r="Y235" s="36">
        <f>IF(W235&lt;=0.25,W235,'10. Whatif Control pannel'!$B$2)</f>
        <v>0.187</v>
      </c>
      <c r="Z235" s="24">
        <v>16</v>
      </c>
      <c r="AA235" s="13">
        <f>(1+'10. Whatif Control pannel'!$B$10)*Z235</f>
        <v>19.2</v>
      </c>
      <c r="AB235" s="3">
        <f t="shared" si="53"/>
        <v>5280.85776</v>
      </c>
      <c r="AC235" s="3">
        <f t="shared" si="58"/>
        <v>7097.47282944</v>
      </c>
      <c r="AD235" s="3">
        <f t="shared" si="54"/>
        <v>3128.64</v>
      </c>
      <c r="AE235" s="3">
        <f t="shared" si="55"/>
        <v>2152.21776</v>
      </c>
      <c r="AF235" s="3">
        <f t="shared" si="59"/>
        <v>3968.83282944</v>
      </c>
      <c r="AG235">
        <f t="shared" si="56"/>
        <v>0.407550791521414</v>
      </c>
    </row>
    <row r="236" spans="1:33">
      <c r="A236" t="s">
        <v>570</v>
      </c>
      <c r="B236" s="20">
        <v>44999</v>
      </c>
      <c r="C236" s="2">
        <f t="shared" si="45"/>
        <v>3</v>
      </c>
      <c r="D236" s="21">
        <f t="shared" si="57"/>
        <v>44999</v>
      </c>
      <c r="E236" s="19" t="str">
        <f t="shared" si="46"/>
        <v>Quarter 1</v>
      </c>
      <c r="F236" s="19">
        <v>45015</v>
      </c>
      <c r="G236" s="19">
        <f t="shared" si="47"/>
        <v>45015</v>
      </c>
      <c r="H236" s="22">
        <f t="shared" si="48"/>
        <v>16</v>
      </c>
      <c r="I236" t="str">
        <f t="shared" si="49"/>
        <v>Delayed </v>
      </c>
      <c r="J236" t="s">
        <v>16</v>
      </c>
      <c r="K236" t="s">
        <v>148</v>
      </c>
      <c r="L236" t="s">
        <v>258</v>
      </c>
      <c r="M236" t="s">
        <v>48</v>
      </c>
      <c r="N236" t="s">
        <v>55</v>
      </c>
      <c r="O236" t="s">
        <v>95</v>
      </c>
      <c r="P236" t="s">
        <v>22</v>
      </c>
      <c r="Q236" t="s">
        <v>571</v>
      </c>
      <c r="R236" s="3">
        <v>1309.77</v>
      </c>
      <c r="S236" s="3">
        <v>1589.07</v>
      </c>
      <c r="T236" s="3">
        <f t="shared" si="50"/>
        <v>1589.07</v>
      </c>
      <c r="U236" s="3">
        <f>(1+'10. Whatif Control pannel'!$B$6)*T236</f>
        <v>1779.7584</v>
      </c>
      <c r="V236" s="3" t="str">
        <f t="shared" si="51"/>
        <v>Medium</v>
      </c>
      <c r="W236" s="34">
        <v>0.102</v>
      </c>
      <c r="X236" s="24" t="str">
        <f t="shared" si="52"/>
        <v>Okay</v>
      </c>
      <c r="Y236" s="36">
        <f>IF(W236&lt;=0.25,W236,'10. Whatif Control pannel'!$B$2)</f>
        <v>0.102</v>
      </c>
      <c r="Z236" s="24">
        <v>10</v>
      </c>
      <c r="AA236" s="13">
        <f>(1+'10. Whatif Control pannel'!$B$10)*Z236</f>
        <v>12</v>
      </c>
      <c r="AB236" s="3">
        <f t="shared" si="53"/>
        <v>14269.8486</v>
      </c>
      <c r="AC236" s="3">
        <f t="shared" si="58"/>
        <v>19178.6765184</v>
      </c>
      <c r="AD236" s="3">
        <f t="shared" si="54"/>
        <v>13097.7</v>
      </c>
      <c r="AE236" s="3">
        <f t="shared" si="55"/>
        <v>1172.1486</v>
      </c>
      <c r="AF236" s="3">
        <f t="shared" si="59"/>
        <v>6080.9765184</v>
      </c>
      <c r="AG236">
        <f t="shared" si="56"/>
        <v>0.0821416283281379</v>
      </c>
    </row>
    <row r="237" spans="1:33">
      <c r="A237" t="s">
        <v>572</v>
      </c>
      <c r="B237" s="20">
        <v>45302</v>
      </c>
      <c r="C237" s="2">
        <f t="shared" si="45"/>
        <v>1</v>
      </c>
      <c r="D237" s="21">
        <f t="shared" si="57"/>
        <v>45302</v>
      </c>
      <c r="E237" s="19" t="str">
        <f t="shared" si="46"/>
        <v>Quarter 1</v>
      </c>
      <c r="F237" s="19">
        <v>45324</v>
      </c>
      <c r="G237" s="19">
        <f t="shared" si="47"/>
        <v>45324</v>
      </c>
      <c r="H237" s="22">
        <f t="shared" si="48"/>
        <v>22</v>
      </c>
      <c r="I237" t="str">
        <f t="shared" si="49"/>
        <v>Delayed </v>
      </c>
      <c r="J237" t="s">
        <v>45</v>
      </c>
      <c r="K237" t="s">
        <v>46</v>
      </c>
      <c r="L237" t="s">
        <v>231</v>
      </c>
      <c r="M237" t="s">
        <v>62</v>
      </c>
      <c r="N237" t="s">
        <v>28</v>
      </c>
      <c r="O237" t="s">
        <v>1442</v>
      </c>
      <c r="P237" t="s">
        <v>30</v>
      </c>
      <c r="Q237" t="s">
        <v>573</v>
      </c>
      <c r="R237" s="3">
        <v>1237.68</v>
      </c>
      <c r="S237" s="3">
        <v>1432.8</v>
      </c>
      <c r="T237" s="3">
        <f t="shared" si="50"/>
        <v>1432.8</v>
      </c>
      <c r="U237" s="3">
        <f>(1+'10. Whatif Control pannel'!$B$6)*T237</f>
        <v>1604.736</v>
      </c>
      <c r="V237" s="3" t="str">
        <f t="shared" si="51"/>
        <v>Medium</v>
      </c>
      <c r="W237" s="34">
        <v>0.068</v>
      </c>
      <c r="X237" s="24" t="str">
        <f t="shared" si="52"/>
        <v>Okay</v>
      </c>
      <c r="Y237" s="36">
        <f>IF(W237&lt;=0.25,W237,'10. Whatif Control pannel'!$B$2)</f>
        <v>0.068</v>
      </c>
      <c r="Z237" s="24">
        <v>13</v>
      </c>
      <c r="AA237" s="13">
        <f>(1+'10. Whatif Control pannel'!$B$10)*Z237</f>
        <v>15.6</v>
      </c>
      <c r="AB237" s="3">
        <f t="shared" si="53"/>
        <v>17359.8048</v>
      </c>
      <c r="AC237" s="3">
        <f t="shared" si="58"/>
        <v>23331.5776512</v>
      </c>
      <c r="AD237" s="3">
        <f t="shared" si="54"/>
        <v>16089.84</v>
      </c>
      <c r="AE237" s="3">
        <f t="shared" si="55"/>
        <v>1269.9648</v>
      </c>
      <c r="AF237" s="3">
        <f t="shared" si="59"/>
        <v>7241.7376512</v>
      </c>
      <c r="AG237">
        <f t="shared" si="56"/>
        <v>0.0731554769555933</v>
      </c>
    </row>
    <row r="238" spans="1:33">
      <c r="A238" t="s">
        <v>574</v>
      </c>
      <c r="B238" s="20">
        <v>45548</v>
      </c>
      <c r="C238" s="2">
        <f t="shared" si="45"/>
        <v>9</v>
      </c>
      <c r="D238" s="21">
        <f t="shared" si="57"/>
        <v>45548</v>
      </c>
      <c r="E238" s="19" t="str">
        <f t="shared" si="46"/>
        <v>Quarter 3</v>
      </c>
      <c r="F238" s="19">
        <v>45567</v>
      </c>
      <c r="G238" s="19">
        <f t="shared" si="47"/>
        <v>45567</v>
      </c>
      <c r="H238" s="22">
        <f t="shared" si="48"/>
        <v>19</v>
      </c>
      <c r="I238" t="str">
        <f t="shared" si="49"/>
        <v>Delayed </v>
      </c>
      <c r="J238" t="s">
        <v>16</v>
      </c>
      <c r="K238" t="s">
        <v>17</v>
      </c>
      <c r="L238" t="s">
        <v>113</v>
      </c>
      <c r="M238" t="s">
        <v>62</v>
      </c>
      <c r="N238" t="s">
        <v>20</v>
      </c>
      <c r="O238" t="s">
        <v>110</v>
      </c>
      <c r="P238" t="s">
        <v>42</v>
      </c>
      <c r="Q238" t="s">
        <v>575</v>
      </c>
      <c r="R238" s="3">
        <v>1338.99</v>
      </c>
      <c r="S238" s="3">
        <v>1765.76</v>
      </c>
      <c r="T238" s="3">
        <f t="shared" si="50"/>
        <v>1765.76</v>
      </c>
      <c r="U238" s="3">
        <f>(1+'10. Whatif Control pannel'!$B$6)*T238</f>
        <v>1977.6512</v>
      </c>
      <c r="V238" s="3" t="str">
        <f t="shared" si="51"/>
        <v>High</v>
      </c>
      <c r="W238" s="34">
        <v>0.126</v>
      </c>
      <c r="X238" s="24" t="str">
        <f t="shared" si="52"/>
        <v>Okay</v>
      </c>
      <c r="Y238" s="36">
        <f>IF(W238&lt;=0.25,W238,'10. Whatif Control pannel'!$B$2)</f>
        <v>0.126</v>
      </c>
      <c r="Z238" s="24">
        <v>24</v>
      </c>
      <c r="AA238" s="13">
        <f>(1+'10. Whatif Control pannel'!$B$10)*Z238</f>
        <v>28.8</v>
      </c>
      <c r="AB238" s="3">
        <f t="shared" si="53"/>
        <v>37038.58176</v>
      </c>
      <c r="AC238" s="3">
        <f t="shared" si="58"/>
        <v>49779.85388544</v>
      </c>
      <c r="AD238" s="3">
        <f t="shared" si="54"/>
        <v>32135.76</v>
      </c>
      <c r="AE238" s="3">
        <f t="shared" si="55"/>
        <v>4902.82176</v>
      </c>
      <c r="AF238" s="3">
        <f t="shared" si="59"/>
        <v>17644.09388544</v>
      </c>
      <c r="AG238">
        <f t="shared" si="56"/>
        <v>0.132370666667773</v>
      </c>
    </row>
    <row r="239" spans="1:33">
      <c r="A239" t="s">
        <v>576</v>
      </c>
      <c r="B239" s="20">
        <v>45855</v>
      </c>
      <c r="C239" s="2">
        <f t="shared" si="45"/>
        <v>7</v>
      </c>
      <c r="D239" s="21">
        <f t="shared" si="57"/>
        <v>45855</v>
      </c>
      <c r="E239" s="19" t="str">
        <f t="shared" si="46"/>
        <v>Quarter 3</v>
      </c>
      <c r="F239" s="19">
        <v>45861</v>
      </c>
      <c r="G239" s="19">
        <f t="shared" si="47"/>
        <v>45861</v>
      </c>
      <c r="H239" s="22">
        <f t="shared" si="48"/>
        <v>6</v>
      </c>
      <c r="I239" t="str">
        <f t="shared" si="49"/>
        <v>Ontime</v>
      </c>
      <c r="J239" t="s">
        <v>52</v>
      </c>
      <c r="K239" t="s">
        <v>53</v>
      </c>
      <c r="L239" t="s">
        <v>179</v>
      </c>
      <c r="M239" t="s">
        <v>48</v>
      </c>
      <c r="N239" t="s">
        <v>28</v>
      </c>
      <c r="O239" t="s">
        <v>92</v>
      </c>
      <c r="P239" t="s">
        <v>22</v>
      </c>
      <c r="Q239" t="s">
        <v>577</v>
      </c>
      <c r="R239" s="3">
        <v>1364.89</v>
      </c>
      <c r="S239" s="3">
        <v>2757.54</v>
      </c>
      <c r="T239" s="3">
        <f t="shared" si="50"/>
        <v>2757.54</v>
      </c>
      <c r="U239" s="3">
        <f>(1+'10. Whatif Control pannel'!$B$6)*T239</f>
        <v>3088.4448</v>
      </c>
      <c r="V239" s="3" t="str">
        <f t="shared" si="51"/>
        <v>High</v>
      </c>
      <c r="W239" s="34">
        <v>0.172</v>
      </c>
      <c r="X239" s="24" t="str">
        <f t="shared" si="52"/>
        <v>Okay</v>
      </c>
      <c r="Y239" s="36">
        <f>IF(W239&lt;=0.25,W239,'10. Whatif Control pannel'!$B$2)</f>
        <v>0.172</v>
      </c>
      <c r="Z239" s="24">
        <v>61</v>
      </c>
      <c r="AA239" s="13">
        <f>(1+'10. Whatif Control pannel'!$B$10)*Z239</f>
        <v>73.2</v>
      </c>
      <c r="AB239" s="3">
        <f t="shared" si="53"/>
        <v>139277.83032</v>
      </c>
      <c r="AC239" s="3">
        <f t="shared" si="58"/>
        <v>187189.40395008</v>
      </c>
      <c r="AD239" s="3">
        <f t="shared" si="54"/>
        <v>83258.29</v>
      </c>
      <c r="AE239" s="3">
        <f t="shared" si="55"/>
        <v>56019.54032</v>
      </c>
      <c r="AF239" s="3">
        <f t="shared" si="59"/>
        <v>103931.11395008</v>
      </c>
      <c r="AG239">
        <f t="shared" si="56"/>
        <v>0.402214337998312</v>
      </c>
    </row>
    <row r="240" spans="1:33">
      <c r="A240" t="s">
        <v>578</v>
      </c>
      <c r="B240" s="20">
        <v>45258</v>
      </c>
      <c r="C240" s="2">
        <f t="shared" si="45"/>
        <v>11</v>
      </c>
      <c r="D240" s="21">
        <f t="shared" si="57"/>
        <v>45258</v>
      </c>
      <c r="E240" s="19" t="str">
        <f t="shared" si="46"/>
        <v>Quarter 4</v>
      </c>
      <c r="F240" s="19">
        <v>45267</v>
      </c>
      <c r="G240" s="19">
        <f t="shared" si="47"/>
        <v>45267</v>
      </c>
      <c r="H240" s="22">
        <f t="shared" si="48"/>
        <v>9</v>
      </c>
      <c r="I240" t="str">
        <f t="shared" si="49"/>
        <v>Delayed </v>
      </c>
      <c r="J240" t="s">
        <v>45</v>
      </c>
      <c r="K240" t="s">
        <v>60</v>
      </c>
      <c r="L240" t="s">
        <v>141</v>
      </c>
      <c r="M240" t="s">
        <v>105</v>
      </c>
      <c r="N240" t="s">
        <v>40</v>
      </c>
      <c r="O240" t="s">
        <v>49</v>
      </c>
      <c r="P240" t="s">
        <v>42</v>
      </c>
      <c r="Q240" t="s">
        <v>579</v>
      </c>
      <c r="R240" s="3">
        <v>699.33</v>
      </c>
      <c r="S240" s="3">
        <v>873.75</v>
      </c>
      <c r="T240" s="3">
        <f t="shared" si="50"/>
        <v>873.75</v>
      </c>
      <c r="U240" s="3">
        <f>(1+'10. Whatif Control pannel'!$B$6)*T240</f>
        <v>978.6</v>
      </c>
      <c r="V240" s="3" t="str">
        <f t="shared" si="51"/>
        <v>Medium</v>
      </c>
      <c r="W240" s="34">
        <v>0.235</v>
      </c>
      <c r="X240" s="24" t="str">
        <f t="shared" si="52"/>
        <v>High Discount</v>
      </c>
      <c r="Y240" s="36">
        <f>IF(W240&lt;=0.25,W240,'10. Whatif Control pannel'!$B$2)</f>
        <v>0.235</v>
      </c>
      <c r="Z240" s="24">
        <v>10</v>
      </c>
      <c r="AA240" s="13">
        <f>(1+'10. Whatif Control pannel'!$B$10)*Z240</f>
        <v>12</v>
      </c>
      <c r="AB240" s="3">
        <f t="shared" si="53"/>
        <v>6684.1875</v>
      </c>
      <c r="AC240" s="3">
        <f t="shared" si="58"/>
        <v>8983.548</v>
      </c>
      <c r="AD240" s="3">
        <f t="shared" si="54"/>
        <v>6993.3</v>
      </c>
      <c r="AE240" s="3">
        <f t="shared" si="55"/>
        <v>-309.1125</v>
      </c>
      <c r="AF240" s="3">
        <f t="shared" si="59"/>
        <v>1990.248</v>
      </c>
      <c r="AG240">
        <f t="shared" si="56"/>
        <v>-0.0462453364750765</v>
      </c>
    </row>
    <row r="241" spans="1:33">
      <c r="A241" t="s">
        <v>580</v>
      </c>
      <c r="B241" s="20">
        <v>45381</v>
      </c>
      <c r="C241" s="2">
        <f t="shared" si="45"/>
        <v>3</v>
      </c>
      <c r="D241" s="21">
        <f t="shared" si="57"/>
        <v>45381</v>
      </c>
      <c r="E241" s="19" t="str">
        <f t="shared" si="46"/>
        <v>Quarter 1</v>
      </c>
      <c r="F241" s="19">
        <v>45406</v>
      </c>
      <c r="G241" s="19">
        <f t="shared" si="47"/>
        <v>45406</v>
      </c>
      <c r="H241" s="22">
        <f t="shared" si="48"/>
        <v>25</v>
      </c>
      <c r="I241" t="str">
        <f t="shared" si="49"/>
        <v>Delayed </v>
      </c>
      <c r="J241" t="s">
        <v>52</v>
      </c>
      <c r="K241" t="s">
        <v>122</v>
      </c>
      <c r="L241" t="s">
        <v>326</v>
      </c>
      <c r="M241" t="s">
        <v>39</v>
      </c>
      <c r="N241" t="s">
        <v>28</v>
      </c>
      <c r="O241" t="s">
        <v>41</v>
      </c>
      <c r="P241" t="s">
        <v>57</v>
      </c>
      <c r="Q241" t="s">
        <v>581</v>
      </c>
      <c r="R241" s="3">
        <v>160.82</v>
      </c>
      <c r="S241" s="3">
        <v>258.52</v>
      </c>
      <c r="T241" s="3">
        <f t="shared" si="50"/>
        <v>258.52</v>
      </c>
      <c r="U241" s="3">
        <f>(1+'10. Whatif Control pannel'!$B$6)*T241</f>
        <v>289.5424</v>
      </c>
      <c r="V241" s="3" t="str">
        <f t="shared" si="51"/>
        <v>Low</v>
      </c>
      <c r="W241" s="34">
        <v>0.13</v>
      </c>
      <c r="X241" s="24" t="str">
        <f t="shared" si="52"/>
        <v>Okay</v>
      </c>
      <c r="Y241" s="36">
        <f>IF(W241&lt;=0.25,W241,'10. Whatif Control pannel'!$B$2)</f>
        <v>0.13</v>
      </c>
      <c r="Z241" s="24">
        <v>17</v>
      </c>
      <c r="AA241" s="13">
        <f>(1+'10. Whatif Control pannel'!$B$10)*Z241</f>
        <v>20.4</v>
      </c>
      <c r="AB241" s="3">
        <f t="shared" si="53"/>
        <v>3823.5108</v>
      </c>
      <c r="AC241" s="3">
        <f t="shared" si="58"/>
        <v>5138.7985152</v>
      </c>
      <c r="AD241" s="3">
        <f t="shared" si="54"/>
        <v>2733.94</v>
      </c>
      <c r="AE241" s="3">
        <f t="shared" si="55"/>
        <v>1089.5708</v>
      </c>
      <c r="AF241" s="3">
        <f t="shared" si="59"/>
        <v>2404.8585152</v>
      </c>
      <c r="AG241">
        <f t="shared" si="56"/>
        <v>0.284966057896319</v>
      </c>
    </row>
    <row r="242" spans="1:33">
      <c r="A242" t="s">
        <v>582</v>
      </c>
      <c r="B242" s="20">
        <v>45188</v>
      </c>
      <c r="C242" s="2">
        <f t="shared" si="45"/>
        <v>9</v>
      </c>
      <c r="D242" s="21">
        <f t="shared" si="57"/>
        <v>45188</v>
      </c>
      <c r="E242" s="19" t="str">
        <f t="shared" si="46"/>
        <v>Quarter 3</v>
      </c>
      <c r="F242" s="19">
        <v>45207</v>
      </c>
      <c r="G242" s="19">
        <f t="shared" si="47"/>
        <v>45207</v>
      </c>
      <c r="H242" s="22">
        <f t="shared" si="48"/>
        <v>19</v>
      </c>
      <c r="I242" t="str">
        <f t="shared" si="49"/>
        <v>Delayed </v>
      </c>
      <c r="J242" t="s">
        <v>45</v>
      </c>
      <c r="K242" t="s">
        <v>60</v>
      </c>
      <c r="L242" t="s">
        <v>61</v>
      </c>
      <c r="M242" t="s">
        <v>27</v>
      </c>
      <c r="N242" t="s">
        <v>98</v>
      </c>
      <c r="O242" t="s">
        <v>29</v>
      </c>
      <c r="P242" t="s">
        <v>30</v>
      </c>
      <c r="Q242" t="s">
        <v>583</v>
      </c>
      <c r="R242" s="3">
        <v>385.32</v>
      </c>
      <c r="S242" s="3">
        <v>606.76</v>
      </c>
      <c r="T242" s="3">
        <f t="shared" si="50"/>
        <v>606.76</v>
      </c>
      <c r="U242" s="3">
        <f>(1+'10. Whatif Control pannel'!$B$6)*T242</f>
        <v>679.5712</v>
      </c>
      <c r="V242" s="3" t="str">
        <f t="shared" si="51"/>
        <v>Low</v>
      </c>
      <c r="W242" s="34">
        <v>0.086</v>
      </c>
      <c r="X242" s="24" t="str">
        <f t="shared" si="52"/>
        <v>Okay</v>
      </c>
      <c r="Y242" s="36">
        <f>IF(W242&lt;=0.25,W242,'10. Whatif Control pannel'!$B$2)</f>
        <v>0.086</v>
      </c>
      <c r="Z242" s="24">
        <v>8</v>
      </c>
      <c r="AA242" s="13">
        <f>(1+'10. Whatif Control pannel'!$B$10)*Z242</f>
        <v>9.6</v>
      </c>
      <c r="AB242" s="3">
        <f t="shared" si="53"/>
        <v>4436.62912</v>
      </c>
      <c r="AC242" s="3">
        <f t="shared" si="58"/>
        <v>5962.82953728</v>
      </c>
      <c r="AD242" s="3">
        <f t="shared" si="54"/>
        <v>3082.56</v>
      </c>
      <c r="AE242" s="3">
        <f t="shared" si="55"/>
        <v>1354.06912</v>
      </c>
      <c r="AF242" s="3">
        <f t="shared" si="59"/>
        <v>2880.26953728</v>
      </c>
      <c r="AG242">
        <f t="shared" si="56"/>
        <v>0.305202234258427</v>
      </c>
    </row>
    <row r="243" spans="1:33">
      <c r="A243" t="s">
        <v>584</v>
      </c>
      <c r="B243" s="20">
        <v>45793</v>
      </c>
      <c r="C243" s="2">
        <f t="shared" si="45"/>
        <v>5</v>
      </c>
      <c r="D243" s="21">
        <f t="shared" si="57"/>
        <v>45793</v>
      </c>
      <c r="E243" s="19" t="str">
        <f t="shared" si="46"/>
        <v>Quarter 2</v>
      </c>
      <c r="F243" s="19">
        <v>45804</v>
      </c>
      <c r="G243" s="19">
        <f t="shared" si="47"/>
        <v>45804</v>
      </c>
      <c r="H243" s="22">
        <f t="shared" si="48"/>
        <v>11</v>
      </c>
      <c r="I243" t="str">
        <f t="shared" si="49"/>
        <v>Delayed </v>
      </c>
      <c r="J243" t="s">
        <v>45</v>
      </c>
      <c r="K243" t="s">
        <v>116</v>
      </c>
      <c r="L243" t="s">
        <v>338</v>
      </c>
      <c r="M243" t="s">
        <v>105</v>
      </c>
      <c r="N243" t="s">
        <v>28</v>
      </c>
      <c r="O243" t="s">
        <v>84</v>
      </c>
      <c r="P243" t="s">
        <v>42</v>
      </c>
      <c r="Q243" t="s">
        <v>585</v>
      </c>
      <c r="R243" s="3">
        <v>918.12</v>
      </c>
      <c r="S243" s="3">
        <v>1337.69</v>
      </c>
      <c r="T243" s="3">
        <f t="shared" si="50"/>
        <v>1337.69</v>
      </c>
      <c r="U243" s="3">
        <f>(1+'10. Whatif Control pannel'!$B$6)*T243</f>
        <v>1498.2128</v>
      </c>
      <c r="V243" s="3" t="str">
        <f t="shared" si="51"/>
        <v>Medium</v>
      </c>
      <c r="W243" s="34">
        <v>0.095</v>
      </c>
      <c r="X243" s="24" t="str">
        <f t="shared" si="52"/>
        <v>Okay</v>
      </c>
      <c r="Y243" s="36">
        <f>IF(W243&lt;=0.25,W243,'10. Whatif Control pannel'!$B$2)</f>
        <v>0.095</v>
      </c>
      <c r="Z243" s="24">
        <v>8</v>
      </c>
      <c r="AA243" s="13">
        <f>(1+'10. Whatif Control pannel'!$B$10)*Z243</f>
        <v>9.6</v>
      </c>
      <c r="AB243" s="3">
        <f t="shared" si="53"/>
        <v>9684.8756</v>
      </c>
      <c r="AC243" s="3">
        <f t="shared" si="58"/>
        <v>13016.4728064</v>
      </c>
      <c r="AD243" s="3">
        <f t="shared" si="54"/>
        <v>7344.96</v>
      </c>
      <c r="AE243" s="3">
        <f t="shared" si="55"/>
        <v>2339.9156</v>
      </c>
      <c r="AF243" s="3">
        <f t="shared" si="59"/>
        <v>5671.5128064</v>
      </c>
      <c r="AG243">
        <f t="shared" si="56"/>
        <v>0.241605127070502</v>
      </c>
    </row>
    <row r="244" spans="1:33">
      <c r="A244" t="s">
        <v>586</v>
      </c>
      <c r="B244" s="20">
        <v>45871</v>
      </c>
      <c r="C244" s="2">
        <f t="shared" si="45"/>
        <v>8</v>
      </c>
      <c r="D244" s="21">
        <f t="shared" si="57"/>
        <v>45871</v>
      </c>
      <c r="E244" s="19" t="str">
        <f t="shared" si="46"/>
        <v>Quarter 3</v>
      </c>
      <c r="F244" s="19">
        <v>45877</v>
      </c>
      <c r="G244" s="19">
        <f t="shared" si="47"/>
        <v>45877</v>
      </c>
      <c r="H244" s="22">
        <f t="shared" si="48"/>
        <v>6</v>
      </c>
      <c r="I244" t="str">
        <f t="shared" si="49"/>
        <v>Ontime</v>
      </c>
      <c r="J244" t="s">
        <v>45</v>
      </c>
      <c r="K244" t="s">
        <v>46</v>
      </c>
      <c r="L244" t="s">
        <v>47</v>
      </c>
      <c r="M244" t="s">
        <v>48</v>
      </c>
      <c r="N244" t="s">
        <v>98</v>
      </c>
      <c r="O244" t="s">
        <v>126</v>
      </c>
      <c r="P244" t="s">
        <v>57</v>
      </c>
      <c r="Q244" t="s">
        <v>587</v>
      </c>
      <c r="R244" s="3">
        <v>1225.94</v>
      </c>
      <c r="S244" s="3">
        <v>1793.08</v>
      </c>
      <c r="T244" s="3">
        <f t="shared" si="50"/>
        <v>1793.08</v>
      </c>
      <c r="U244" s="3">
        <f>(1+'10. Whatif Control pannel'!$B$6)*T244</f>
        <v>2008.2496</v>
      </c>
      <c r="V244" s="3" t="str">
        <f t="shared" si="51"/>
        <v>High</v>
      </c>
      <c r="W244" s="34">
        <v>0.136</v>
      </c>
      <c r="X244" s="24" t="str">
        <f t="shared" si="52"/>
        <v>Okay</v>
      </c>
      <c r="Y244" s="36">
        <f>IF(W244&lt;=0.25,W244,'10. Whatif Control pannel'!$B$2)</f>
        <v>0.136</v>
      </c>
      <c r="Z244" s="24">
        <v>22</v>
      </c>
      <c r="AA244" s="13">
        <f>(1+'10. Whatif Control pannel'!$B$10)*Z244</f>
        <v>26.4</v>
      </c>
      <c r="AB244" s="3">
        <f t="shared" si="53"/>
        <v>34082.86464</v>
      </c>
      <c r="AC244" s="3">
        <f t="shared" si="58"/>
        <v>45807.37007616</v>
      </c>
      <c r="AD244" s="3">
        <f t="shared" si="54"/>
        <v>26970.68</v>
      </c>
      <c r="AE244" s="3">
        <f t="shared" si="55"/>
        <v>7112.18463999999</v>
      </c>
      <c r="AF244" s="3">
        <f t="shared" si="59"/>
        <v>18836.69007616</v>
      </c>
      <c r="AG244">
        <f t="shared" si="56"/>
        <v>0.208673323534345</v>
      </c>
    </row>
    <row r="245" spans="1:33">
      <c r="A245" t="s">
        <v>588</v>
      </c>
      <c r="B245" s="20">
        <v>45630</v>
      </c>
      <c r="C245" s="2">
        <f t="shared" si="45"/>
        <v>12</v>
      </c>
      <c r="D245" s="21">
        <f t="shared" si="57"/>
        <v>45630</v>
      </c>
      <c r="E245" s="19" t="str">
        <f t="shared" si="46"/>
        <v>Quarter 4</v>
      </c>
      <c r="F245" s="19">
        <v>45638</v>
      </c>
      <c r="G245" s="19">
        <f t="shared" si="47"/>
        <v>45638</v>
      </c>
      <c r="H245" s="22">
        <f t="shared" si="48"/>
        <v>8</v>
      </c>
      <c r="I245" t="str">
        <f t="shared" si="49"/>
        <v>Delayed </v>
      </c>
      <c r="J245" t="s">
        <v>78</v>
      </c>
      <c r="K245" t="s">
        <v>79</v>
      </c>
      <c r="L245" t="s">
        <v>335</v>
      </c>
      <c r="M245" t="s">
        <v>105</v>
      </c>
      <c r="N245" t="s">
        <v>40</v>
      </c>
      <c r="O245" t="s">
        <v>56</v>
      </c>
      <c r="P245" t="s">
        <v>30</v>
      </c>
      <c r="Q245" t="s">
        <v>589</v>
      </c>
      <c r="R245" s="3">
        <v>72.06</v>
      </c>
      <c r="S245" s="3">
        <v>122.74</v>
      </c>
      <c r="T245" s="3">
        <f t="shared" si="50"/>
        <v>122.74</v>
      </c>
      <c r="U245" s="3">
        <f>(1+'10. Whatif Control pannel'!$B$6)*T245</f>
        <v>137.4688</v>
      </c>
      <c r="V245" s="3" t="str">
        <f t="shared" si="51"/>
        <v>Low</v>
      </c>
      <c r="W245" s="34">
        <v>0.238</v>
      </c>
      <c r="X245" s="24" t="str">
        <f t="shared" si="52"/>
        <v>High Discount</v>
      </c>
      <c r="Y245" s="36">
        <f>IF(W245&lt;=0.25,W245,'10. Whatif Control pannel'!$B$2)</f>
        <v>0.238</v>
      </c>
      <c r="Z245" s="24">
        <v>8</v>
      </c>
      <c r="AA245" s="13">
        <f>(1+'10. Whatif Control pannel'!$B$10)*Z245</f>
        <v>9.6</v>
      </c>
      <c r="AB245" s="3">
        <f t="shared" si="53"/>
        <v>748.22304</v>
      </c>
      <c r="AC245" s="3">
        <f t="shared" si="58"/>
        <v>1005.61176576</v>
      </c>
      <c r="AD245" s="3">
        <f t="shared" si="54"/>
        <v>576.48</v>
      </c>
      <c r="AE245" s="3">
        <f t="shared" si="55"/>
        <v>171.74304</v>
      </c>
      <c r="AF245" s="3">
        <f t="shared" si="59"/>
        <v>429.13176576</v>
      </c>
      <c r="AG245">
        <f t="shared" si="56"/>
        <v>0.229534551622468</v>
      </c>
    </row>
    <row r="246" spans="1:33">
      <c r="A246" t="s">
        <v>590</v>
      </c>
      <c r="B246" s="20">
        <v>45035</v>
      </c>
      <c r="C246" s="2">
        <f t="shared" si="45"/>
        <v>4</v>
      </c>
      <c r="D246" s="21">
        <f t="shared" si="57"/>
        <v>45035</v>
      </c>
      <c r="E246" s="19" t="str">
        <f t="shared" si="46"/>
        <v>Quarter 2</v>
      </c>
      <c r="F246" s="19">
        <v>45044</v>
      </c>
      <c r="G246" s="19">
        <f t="shared" si="47"/>
        <v>45044</v>
      </c>
      <c r="H246" s="22">
        <f t="shared" si="48"/>
        <v>9</v>
      </c>
      <c r="I246" t="str">
        <f t="shared" si="49"/>
        <v>Delayed </v>
      </c>
      <c r="J246" t="s">
        <v>52</v>
      </c>
      <c r="K246" t="s">
        <v>73</v>
      </c>
      <c r="L246" t="s">
        <v>225</v>
      </c>
      <c r="M246" t="s">
        <v>19</v>
      </c>
      <c r="N246" t="s">
        <v>55</v>
      </c>
      <c r="O246" t="s">
        <v>110</v>
      </c>
      <c r="P246" t="s">
        <v>42</v>
      </c>
      <c r="Q246" t="s">
        <v>591</v>
      </c>
      <c r="R246" s="3">
        <v>1013.54</v>
      </c>
      <c r="S246" s="3">
        <v>927.93</v>
      </c>
      <c r="T246" s="3">
        <f t="shared" si="50"/>
        <v>927.93</v>
      </c>
      <c r="U246" s="3">
        <f>(1+'10. Whatif Control pannel'!$B$6)*T246</f>
        <v>1039.2816</v>
      </c>
      <c r="V246" s="3" t="str">
        <f t="shared" si="51"/>
        <v>Medium</v>
      </c>
      <c r="W246" s="34">
        <v>0.175</v>
      </c>
      <c r="X246" s="24" t="str">
        <f t="shared" si="52"/>
        <v>Okay</v>
      </c>
      <c r="Y246" s="36">
        <f>IF(W246&lt;=0.25,W246,'10. Whatif Control pannel'!$B$2)</f>
        <v>0.175</v>
      </c>
      <c r="Z246" s="24">
        <v>16</v>
      </c>
      <c r="AA246" s="13">
        <f>(1+'10. Whatif Control pannel'!$B$10)*Z246</f>
        <v>19.2</v>
      </c>
      <c r="AB246" s="3">
        <f t="shared" si="53"/>
        <v>12248.676</v>
      </c>
      <c r="AC246" s="3">
        <f t="shared" si="58"/>
        <v>16462.220544</v>
      </c>
      <c r="AD246" s="3">
        <f t="shared" si="54"/>
        <v>16216.64</v>
      </c>
      <c r="AE246" s="3">
        <f t="shared" si="55"/>
        <v>-3967.964</v>
      </c>
      <c r="AF246" s="3">
        <f t="shared" si="59"/>
        <v>245.580543999997</v>
      </c>
      <c r="AG246">
        <f t="shared" si="56"/>
        <v>-0.323950441664062</v>
      </c>
    </row>
    <row r="247" spans="1:33">
      <c r="A247" t="s">
        <v>592</v>
      </c>
      <c r="B247" s="20">
        <v>45357</v>
      </c>
      <c r="C247" s="2">
        <f t="shared" si="45"/>
        <v>3</v>
      </c>
      <c r="D247" s="21">
        <f t="shared" si="57"/>
        <v>45357</v>
      </c>
      <c r="E247" s="19" t="str">
        <f t="shared" si="46"/>
        <v>Quarter 1</v>
      </c>
      <c r="F247" s="19">
        <v>45377</v>
      </c>
      <c r="G247" s="19">
        <f t="shared" si="47"/>
        <v>45377</v>
      </c>
      <c r="H247" s="22">
        <f t="shared" si="48"/>
        <v>20</v>
      </c>
      <c r="I247" t="str">
        <f t="shared" si="49"/>
        <v>Delayed </v>
      </c>
      <c r="J247" t="s">
        <v>16</v>
      </c>
      <c r="K247" t="s">
        <v>25</v>
      </c>
      <c r="L247" t="s">
        <v>26</v>
      </c>
      <c r="M247" t="s">
        <v>48</v>
      </c>
      <c r="N247" t="s">
        <v>40</v>
      </c>
      <c r="O247" t="s">
        <v>34</v>
      </c>
      <c r="P247" t="s">
        <v>42</v>
      </c>
      <c r="Q247" t="s">
        <v>593</v>
      </c>
      <c r="R247" s="3">
        <v>65.64</v>
      </c>
      <c r="S247" s="3">
        <v>151.88</v>
      </c>
      <c r="T247" s="3">
        <f t="shared" si="50"/>
        <v>151.88</v>
      </c>
      <c r="U247" s="3">
        <f>(1+'10. Whatif Control pannel'!$B$6)*T247</f>
        <v>170.1056</v>
      </c>
      <c r="V247" s="3" t="str">
        <f t="shared" si="51"/>
        <v>Low</v>
      </c>
      <c r="W247" s="34">
        <v>0.167</v>
      </c>
      <c r="X247" s="24" t="str">
        <f t="shared" si="52"/>
        <v>Okay</v>
      </c>
      <c r="Y247" s="36">
        <f>IF(W247&lt;=0.25,W247,'10. Whatif Control pannel'!$B$2)</f>
        <v>0.167</v>
      </c>
      <c r="Z247" s="24">
        <v>23</v>
      </c>
      <c r="AA247" s="13">
        <f>(1+'10. Whatif Control pannel'!$B$10)*Z247</f>
        <v>27.6</v>
      </c>
      <c r="AB247" s="3">
        <f t="shared" si="53"/>
        <v>2909.86892</v>
      </c>
      <c r="AC247" s="3">
        <f t="shared" si="58"/>
        <v>3910.86382848</v>
      </c>
      <c r="AD247" s="3">
        <f t="shared" si="54"/>
        <v>1509.72</v>
      </c>
      <c r="AE247" s="3">
        <f t="shared" si="55"/>
        <v>1400.14892</v>
      </c>
      <c r="AF247" s="3">
        <f t="shared" si="59"/>
        <v>2401.14382848</v>
      </c>
      <c r="AG247">
        <f t="shared" si="56"/>
        <v>0.481172505873564</v>
      </c>
    </row>
    <row r="248" spans="1:33">
      <c r="A248" t="s">
        <v>594</v>
      </c>
      <c r="B248" s="20">
        <v>45338</v>
      </c>
      <c r="C248" s="2">
        <f t="shared" si="45"/>
        <v>2</v>
      </c>
      <c r="D248" s="21">
        <f t="shared" si="57"/>
        <v>45338</v>
      </c>
      <c r="E248" s="19" t="str">
        <f t="shared" si="46"/>
        <v>Quarter 1</v>
      </c>
      <c r="F248" s="19">
        <v>45355</v>
      </c>
      <c r="G248" s="19">
        <f t="shared" si="47"/>
        <v>45355</v>
      </c>
      <c r="H248" s="22">
        <f t="shared" si="48"/>
        <v>17</v>
      </c>
      <c r="I248" t="str">
        <f t="shared" si="49"/>
        <v>Delayed </v>
      </c>
      <c r="J248" t="s">
        <v>52</v>
      </c>
      <c r="K248" t="s">
        <v>53</v>
      </c>
      <c r="L248" t="s">
        <v>144</v>
      </c>
      <c r="M248" t="s">
        <v>39</v>
      </c>
      <c r="N248" t="s">
        <v>20</v>
      </c>
      <c r="O248" t="s">
        <v>145</v>
      </c>
      <c r="P248" t="s">
        <v>57</v>
      </c>
      <c r="Q248" t="s">
        <v>595</v>
      </c>
      <c r="R248" s="3">
        <v>1350.98</v>
      </c>
      <c r="S248" s="3">
        <v>2210.4</v>
      </c>
      <c r="T248" s="3">
        <f t="shared" si="50"/>
        <v>2210.4</v>
      </c>
      <c r="U248" s="3">
        <f>(1+'10. Whatif Control pannel'!$B$6)*T248</f>
        <v>2475.648</v>
      </c>
      <c r="V248" s="3" t="str">
        <f t="shared" si="51"/>
        <v>High</v>
      </c>
      <c r="W248" s="34">
        <v>0.263</v>
      </c>
      <c r="X248" s="24" t="str">
        <f t="shared" si="52"/>
        <v>High Discount</v>
      </c>
      <c r="Y248" s="36">
        <f>IF(W248&lt;=0.25,W248,'10. Whatif Control pannel'!$B$2)</f>
        <v>0.23</v>
      </c>
      <c r="Z248" s="24">
        <v>6</v>
      </c>
      <c r="AA248" s="13">
        <f>(1+'10. Whatif Control pannel'!$B$10)*Z248</f>
        <v>7.2</v>
      </c>
      <c r="AB248" s="3">
        <f t="shared" si="53"/>
        <v>9774.3888</v>
      </c>
      <c r="AC248" s="3">
        <f t="shared" si="58"/>
        <v>13724.992512</v>
      </c>
      <c r="AD248" s="3">
        <f t="shared" si="54"/>
        <v>8105.88</v>
      </c>
      <c r="AE248" s="3">
        <f t="shared" si="55"/>
        <v>1668.5088</v>
      </c>
      <c r="AF248" s="3">
        <f t="shared" si="59"/>
        <v>5619.112512</v>
      </c>
      <c r="AG248">
        <f t="shared" si="56"/>
        <v>0.170702110806151</v>
      </c>
    </row>
    <row r="249" spans="1:33">
      <c r="A249" t="s">
        <v>596</v>
      </c>
      <c r="B249" s="20">
        <v>45769</v>
      </c>
      <c r="C249" s="2">
        <f t="shared" si="45"/>
        <v>4</v>
      </c>
      <c r="D249" s="21">
        <f t="shared" si="57"/>
        <v>45769</v>
      </c>
      <c r="E249" s="19" t="str">
        <f t="shared" si="46"/>
        <v>Quarter 2</v>
      </c>
      <c r="F249" s="19">
        <v>45779</v>
      </c>
      <c r="G249" s="19">
        <f t="shared" si="47"/>
        <v>45779</v>
      </c>
      <c r="H249" s="22">
        <f t="shared" si="48"/>
        <v>10</v>
      </c>
      <c r="I249" t="str">
        <f t="shared" si="49"/>
        <v>Delayed </v>
      </c>
      <c r="J249" t="s">
        <v>78</v>
      </c>
      <c r="K249" t="s">
        <v>79</v>
      </c>
      <c r="L249" t="s">
        <v>80</v>
      </c>
      <c r="M249" t="s">
        <v>19</v>
      </c>
      <c r="N249" t="s">
        <v>40</v>
      </c>
      <c r="O249" t="s">
        <v>21</v>
      </c>
      <c r="P249" t="s">
        <v>64</v>
      </c>
      <c r="Q249" t="s">
        <v>597</v>
      </c>
      <c r="R249" s="3">
        <v>20.15</v>
      </c>
      <c r="S249" s="3">
        <v>39.74</v>
      </c>
      <c r="T249" s="3">
        <f t="shared" si="50"/>
        <v>39.74</v>
      </c>
      <c r="U249" s="3">
        <f>(1+'10. Whatif Control pannel'!$B$6)*T249</f>
        <v>44.5088</v>
      </c>
      <c r="V249" s="3" t="str">
        <f t="shared" si="51"/>
        <v>Low</v>
      </c>
      <c r="W249" s="34">
        <v>0.151</v>
      </c>
      <c r="X249" s="24" t="str">
        <f t="shared" si="52"/>
        <v>Okay</v>
      </c>
      <c r="Y249" s="36">
        <f>IF(W249&lt;=0.25,W249,'10. Whatif Control pannel'!$B$2)</f>
        <v>0.151</v>
      </c>
      <c r="Z249" s="24">
        <v>18</v>
      </c>
      <c r="AA249" s="13">
        <f>(1+'10. Whatif Control pannel'!$B$10)*Z249</f>
        <v>21.6</v>
      </c>
      <c r="AB249" s="3">
        <f t="shared" si="53"/>
        <v>607.30668</v>
      </c>
      <c r="AC249" s="3">
        <f t="shared" si="58"/>
        <v>816.22017792</v>
      </c>
      <c r="AD249" s="3">
        <f t="shared" si="54"/>
        <v>362.7</v>
      </c>
      <c r="AE249" s="3">
        <f t="shared" si="55"/>
        <v>244.60668</v>
      </c>
      <c r="AF249" s="3">
        <f t="shared" si="59"/>
        <v>453.52017792</v>
      </c>
      <c r="AG249">
        <f t="shared" si="56"/>
        <v>0.402772912031858</v>
      </c>
    </row>
    <row r="250" spans="1:33">
      <c r="A250" t="s">
        <v>598</v>
      </c>
      <c r="B250" s="20">
        <v>45604</v>
      </c>
      <c r="C250" s="2">
        <f t="shared" si="45"/>
        <v>11</v>
      </c>
      <c r="D250" s="21">
        <f t="shared" si="57"/>
        <v>45604</v>
      </c>
      <c r="E250" s="19" t="str">
        <f t="shared" si="46"/>
        <v>Quarter 4</v>
      </c>
      <c r="F250" s="19">
        <v>45604</v>
      </c>
      <c r="G250" s="19">
        <f t="shared" si="47"/>
        <v>45604</v>
      </c>
      <c r="H250" s="22">
        <f t="shared" si="48"/>
        <v>0</v>
      </c>
      <c r="I250" t="str">
        <f t="shared" si="49"/>
        <v>Ontime</v>
      </c>
      <c r="J250" t="s">
        <v>16</v>
      </c>
      <c r="K250" t="s">
        <v>17</v>
      </c>
      <c r="L250" t="s">
        <v>135</v>
      </c>
      <c r="M250" t="s">
        <v>105</v>
      </c>
      <c r="N250" t="s">
        <v>40</v>
      </c>
      <c r="O250" t="s">
        <v>110</v>
      </c>
      <c r="P250" t="s">
        <v>35</v>
      </c>
      <c r="Q250" t="s">
        <v>599</v>
      </c>
      <c r="R250" s="3">
        <v>803.28</v>
      </c>
      <c r="S250" s="3">
        <v>1009</v>
      </c>
      <c r="T250" s="3">
        <f t="shared" si="50"/>
        <v>1009</v>
      </c>
      <c r="U250" s="3">
        <f>(1+'10. Whatif Control pannel'!$B$6)*T250</f>
        <v>1130.08</v>
      </c>
      <c r="V250" s="3" t="str">
        <f t="shared" si="51"/>
        <v>Medium</v>
      </c>
      <c r="W250" s="34">
        <v>0.11</v>
      </c>
      <c r="X250" s="24" t="str">
        <f t="shared" si="52"/>
        <v>Okay</v>
      </c>
      <c r="Y250" s="36">
        <f>IF(W250&lt;=0.25,W250,'10. Whatif Control pannel'!$B$2)</f>
        <v>0.11</v>
      </c>
      <c r="Z250" s="24">
        <v>4</v>
      </c>
      <c r="AA250" s="13">
        <f>(1+'10. Whatif Control pannel'!$B$10)*Z250</f>
        <v>4.8</v>
      </c>
      <c r="AB250" s="3">
        <f t="shared" si="53"/>
        <v>3592.04</v>
      </c>
      <c r="AC250" s="3">
        <f t="shared" si="58"/>
        <v>4827.70176</v>
      </c>
      <c r="AD250" s="3">
        <f t="shared" si="54"/>
        <v>3213.12</v>
      </c>
      <c r="AE250" s="3">
        <f t="shared" si="55"/>
        <v>378.92</v>
      </c>
      <c r="AF250" s="3">
        <f t="shared" si="59"/>
        <v>1614.58176</v>
      </c>
      <c r="AG250">
        <f t="shared" si="56"/>
        <v>0.105488803020011</v>
      </c>
    </row>
    <row r="251" spans="1:33">
      <c r="A251" t="s">
        <v>600</v>
      </c>
      <c r="B251" s="20">
        <v>45912</v>
      </c>
      <c r="C251" s="2">
        <f t="shared" si="45"/>
        <v>9</v>
      </c>
      <c r="D251" s="21">
        <f t="shared" si="57"/>
        <v>45912</v>
      </c>
      <c r="E251" s="19" t="str">
        <f t="shared" si="46"/>
        <v>Quarter 3</v>
      </c>
      <c r="F251" s="19">
        <v>45930</v>
      </c>
      <c r="G251" s="19">
        <f t="shared" si="47"/>
        <v>45930</v>
      </c>
      <c r="H251" s="22">
        <f t="shared" si="48"/>
        <v>18</v>
      </c>
      <c r="I251" t="str">
        <f t="shared" si="49"/>
        <v>Delayed </v>
      </c>
      <c r="J251" t="s">
        <v>45</v>
      </c>
      <c r="K251" t="s">
        <v>46</v>
      </c>
      <c r="L251" t="s">
        <v>231</v>
      </c>
      <c r="M251" t="s">
        <v>39</v>
      </c>
      <c r="N251" t="s">
        <v>40</v>
      </c>
      <c r="O251" t="s">
        <v>84</v>
      </c>
      <c r="P251" t="s">
        <v>64</v>
      </c>
      <c r="Q251" t="s">
        <v>601</v>
      </c>
      <c r="R251" s="3">
        <v>1212.99</v>
      </c>
      <c r="S251" s="3">
        <v>1653.64</v>
      </c>
      <c r="T251" s="3">
        <f t="shared" si="50"/>
        <v>1653.64</v>
      </c>
      <c r="U251" s="3">
        <f>(1+'10. Whatif Control pannel'!$B$6)*T251</f>
        <v>1852.0768</v>
      </c>
      <c r="V251" s="3" t="str">
        <f t="shared" si="51"/>
        <v>High</v>
      </c>
      <c r="W251" s="34">
        <v>0.107</v>
      </c>
      <c r="X251" s="24" t="str">
        <f t="shared" si="52"/>
        <v>Okay</v>
      </c>
      <c r="Y251" s="36">
        <f>IF(W251&lt;=0.25,W251,'10. Whatif Control pannel'!$B$2)</f>
        <v>0.107</v>
      </c>
      <c r="Z251" s="24">
        <v>8</v>
      </c>
      <c r="AA251" s="13">
        <f>(1+'10. Whatif Control pannel'!$B$10)*Z251</f>
        <v>9.6</v>
      </c>
      <c r="AB251" s="3">
        <f t="shared" si="53"/>
        <v>11813.60416</v>
      </c>
      <c r="AC251" s="3">
        <f t="shared" si="58"/>
        <v>15877.48399104</v>
      </c>
      <c r="AD251" s="3">
        <f t="shared" si="54"/>
        <v>9703.92</v>
      </c>
      <c r="AE251" s="3">
        <f t="shared" si="55"/>
        <v>2109.68416</v>
      </c>
      <c r="AF251" s="3">
        <f t="shared" si="59"/>
        <v>6173.56399104</v>
      </c>
      <c r="AG251">
        <f t="shared" si="56"/>
        <v>0.178580908199315</v>
      </c>
    </row>
    <row r="252" spans="1:33">
      <c r="A252" t="s">
        <v>602</v>
      </c>
      <c r="B252" s="20">
        <v>45537</v>
      </c>
      <c r="C252" s="2">
        <f t="shared" si="45"/>
        <v>9</v>
      </c>
      <c r="D252" s="21">
        <f t="shared" si="57"/>
        <v>45537</v>
      </c>
      <c r="E252" s="19" t="str">
        <f t="shared" si="46"/>
        <v>Quarter 3</v>
      </c>
      <c r="F252" s="19">
        <v>45543</v>
      </c>
      <c r="G252" s="19">
        <f t="shared" si="47"/>
        <v>45543</v>
      </c>
      <c r="H252" s="22">
        <f t="shared" si="48"/>
        <v>6</v>
      </c>
      <c r="I252" t="str">
        <f t="shared" si="49"/>
        <v>Ontime</v>
      </c>
      <c r="J252" t="s">
        <v>52</v>
      </c>
      <c r="K252" t="s">
        <v>122</v>
      </c>
      <c r="L252" t="s">
        <v>326</v>
      </c>
      <c r="M252" t="s">
        <v>48</v>
      </c>
      <c r="N252" t="s">
        <v>98</v>
      </c>
      <c r="O252" t="s">
        <v>92</v>
      </c>
      <c r="P252" t="s">
        <v>22</v>
      </c>
      <c r="Q252" t="s">
        <v>603</v>
      </c>
      <c r="R252" s="3">
        <v>462.94</v>
      </c>
      <c r="S252" s="3">
        <v>1015.7</v>
      </c>
      <c r="T252" s="3">
        <f t="shared" si="50"/>
        <v>1015.7</v>
      </c>
      <c r="U252" s="3">
        <f>(1+'10. Whatif Control pannel'!$B$6)*T252</f>
        <v>1137.584</v>
      </c>
      <c r="V252" s="3" t="str">
        <f t="shared" si="51"/>
        <v>Medium</v>
      </c>
      <c r="W252" s="34">
        <v>0.143</v>
      </c>
      <c r="X252" s="24" t="str">
        <f t="shared" si="52"/>
        <v>Okay</v>
      </c>
      <c r="Y252" s="36">
        <f>IF(W252&lt;=0.25,W252,'10. Whatif Control pannel'!$B$2)</f>
        <v>0.143</v>
      </c>
      <c r="Z252" s="24">
        <v>14</v>
      </c>
      <c r="AA252" s="13">
        <f>(1+'10. Whatif Control pannel'!$B$10)*Z252</f>
        <v>16.8</v>
      </c>
      <c r="AB252" s="3">
        <f t="shared" si="53"/>
        <v>12186.3686</v>
      </c>
      <c r="AC252" s="3">
        <f t="shared" si="58"/>
        <v>16378.4793984</v>
      </c>
      <c r="AD252" s="3">
        <f t="shared" si="54"/>
        <v>6481.16</v>
      </c>
      <c r="AE252" s="3">
        <f t="shared" si="55"/>
        <v>5705.2086</v>
      </c>
      <c r="AF252" s="3">
        <f t="shared" si="59"/>
        <v>9897.3193984</v>
      </c>
      <c r="AG252">
        <f t="shared" si="56"/>
        <v>0.46816314090483</v>
      </c>
    </row>
    <row r="253" spans="1:33">
      <c r="A253" t="s">
        <v>604</v>
      </c>
      <c r="B253" s="20">
        <v>44989</v>
      </c>
      <c r="C253" s="2">
        <f t="shared" si="45"/>
        <v>3</v>
      </c>
      <c r="D253" s="21">
        <f t="shared" si="57"/>
        <v>44989</v>
      </c>
      <c r="E253" s="19" t="str">
        <f t="shared" si="46"/>
        <v>Quarter 1</v>
      </c>
      <c r="F253" s="19">
        <v>45009</v>
      </c>
      <c r="G253" s="19">
        <f t="shared" si="47"/>
        <v>45009</v>
      </c>
      <c r="H253" s="22">
        <f t="shared" si="48"/>
        <v>20</v>
      </c>
      <c r="I253" t="str">
        <f t="shared" si="49"/>
        <v>Delayed </v>
      </c>
      <c r="J253" t="s">
        <v>52</v>
      </c>
      <c r="K253" t="s">
        <v>53</v>
      </c>
      <c r="L253" t="s">
        <v>144</v>
      </c>
      <c r="M253" t="s">
        <v>48</v>
      </c>
      <c r="N253" t="s">
        <v>55</v>
      </c>
      <c r="O253" t="s">
        <v>34</v>
      </c>
      <c r="P253" t="s">
        <v>57</v>
      </c>
      <c r="Q253" t="s">
        <v>605</v>
      </c>
      <c r="R253" s="3">
        <v>481.71</v>
      </c>
      <c r="S253" s="3">
        <v>912.45</v>
      </c>
      <c r="T253" s="3">
        <f t="shared" si="50"/>
        <v>912.45</v>
      </c>
      <c r="U253" s="3">
        <f>(1+'10. Whatif Control pannel'!$B$6)*T253</f>
        <v>1021.944</v>
      </c>
      <c r="V253" s="3" t="str">
        <f t="shared" si="51"/>
        <v>Medium</v>
      </c>
      <c r="W253" s="34">
        <v>0.203</v>
      </c>
      <c r="X253" s="24" t="str">
        <f t="shared" si="52"/>
        <v>High Discount</v>
      </c>
      <c r="Y253" s="36">
        <f>IF(W253&lt;=0.25,W253,'10. Whatif Control pannel'!$B$2)</f>
        <v>0.203</v>
      </c>
      <c r="Z253" s="24">
        <v>24</v>
      </c>
      <c r="AA253" s="13">
        <f>(1+'10. Whatif Control pannel'!$B$10)*Z253</f>
        <v>28.8</v>
      </c>
      <c r="AB253" s="3">
        <f t="shared" si="53"/>
        <v>17453.3436</v>
      </c>
      <c r="AC253" s="3">
        <f t="shared" si="58"/>
        <v>23457.2937984</v>
      </c>
      <c r="AD253" s="3">
        <f t="shared" si="54"/>
        <v>11561.04</v>
      </c>
      <c r="AE253" s="3">
        <f t="shared" si="55"/>
        <v>5892.3036</v>
      </c>
      <c r="AF253" s="3">
        <f t="shared" si="59"/>
        <v>11896.2537984</v>
      </c>
      <c r="AG253">
        <f t="shared" si="56"/>
        <v>0.337603139836197</v>
      </c>
    </row>
    <row r="254" spans="1:33">
      <c r="A254" t="s">
        <v>606</v>
      </c>
      <c r="B254" s="20">
        <v>45366</v>
      </c>
      <c r="C254" s="2">
        <f t="shared" si="45"/>
        <v>3</v>
      </c>
      <c r="D254" s="21">
        <f t="shared" si="57"/>
        <v>45366</v>
      </c>
      <c r="E254" s="19" t="str">
        <f t="shared" si="46"/>
        <v>Quarter 1</v>
      </c>
      <c r="F254" s="19">
        <v>45391</v>
      </c>
      <c r="G254" s="19">
        <f t="shared" si="47"/>
        <v>45391</v>
      </c>
      <c r="H254" s="22">
        <f t="shared" si="48"/>
        <v>25</v>
      </c>
      <c r="I254" t="str">
        <f t="shared" si="49"/>
        <v>Delayed </v>
      </c>
      <c r="J254" t="s">
        <v>52</v>
      </c>
      <c r="K254" t="s">
        <v>53</v>
      </c>
      <c r="L254" t="s">
        <v>179</v>
      </c>
      <c r="M254" t="s">
        <v>48</v>
      </c>
      <c r="N254" t="s">
        <v>28</v>
      </c>
      <c r="O254" t="s">
        <v>84</v>
      </c>
      <c r="P254" t="s">
        <v>64</v>
      </c>
      <c r="Q254" t="s">
        <v>607</v>
      </c>
      <c r="R254" s="3">
        <v>648.64</v>
      </c>
      <c r="S254" s="3">
        <v>815.19</v>
      </c>
      <c r="T254" s="3">
        <f t="shared" si="50"/>
        <v>815.19</v>
      </c>
      <c r="U254" s="3">
        <f>(1+'10. Whatif Control pannel'!$B$6)*T254</f>
        <v>913.0128</v>
      </c>
      <c r="V254" s="3" t="str">
        <f t="shared" si="51"/>
        <v>Low</v>
      </c>
      <c r="W254" s="34">
        <v>0.225</v>
      </c>
      <c r="X254" s="24" t="str">
        <f t="shared" si="52"/>
        <v>High Discount</v>
      </c>
      <c r="Y254" s="36">
        <f>IF(W254&lt;=0.25,W254,'10. Whatif Control pannel'!$B$2)</f>
        <v>0.225</v>
      </c>
      <c r="Z254" s="24">
        <v>28</v>
      </c>
      <c r="AA254" s="13">
        <f>(1+'10. Whatif Control pannel'!$B$10)*Z254</f>
        <v>33.6</v>
      </c>
      <c r="AB254" s="3">
        <f t="shared" si="53"/>
        <v>17689.623</v>
      </c>
      <c r="AC254" s="3">
        <f t="shared" si="58"/>
        <v>23774.853312</v>
      </c>
      <c r="AD254" s="3">
        <f t="shared" si="54"/>
        <v>18161.92</v>
      </c>
      <c r="AE254" s="3">
        <f t="shared" si="55"/>
        <v>-472.296999999999</v>
      </c>
      <c r="AF254" s="3">
        <f t="shared" si="59"/>
        <v>5612.93331200001</v>
      </c>
      <c r="AG254">
        <f t="shared" si="56"/>
        <v>-0.026699099240272</v>
      </c>
    </row>
    <row r="255" spans="1:33">
      <c r="A255" t="s">
        <v>608</v>
      </c>
      <c r="B255" s="20">
        <v>45502</v>
      </c>
      <c r="C255" s="2">
        <f t="shared" si="45"/>
        <v>7</v>
      </c>
      <c r="D255" s="21">
        <f t="shared" si="57"/>
        <v>45502</v>
      </c>
      <c r="E255" s="19" t="str">
        <f t="shared" si="46"/>
        <v>Quarter 3</v>
      </c>
      <c r="F255" s="19">
        <v>45504</v>
      </c>
      <c r="G255" s="19">
        <f t="shared" si="47"/>
        <v>45504</v>
      </c>
      <c r="H255" s="22">
        <f t="shared" si="48"/>
        <v>2</v>
      </c>
      <c r="I255" t="str">
        <f t="shared" si="49"/>
        <v>Ontime</v>
      </c>
      <c r="J255" t="s">
        <v>52</v>
      </c>
      <c r="K255" t="s">
        <v>122</v>
      </c>
      <c r="L255" t="s">
        <v>387</v>
      </c>
      <c r="M255" t="s">
        <v>27</v>
      </c>
      <c r="N255" t="s">
        <v>40</v>
      </c>
      <c r="O255" t="s">
        <v>34</v>
      </c>
      <c r="P255" t="s">
        <v>30</v>
      </c>
      <c r="Q255" t="s">
        <v>609</v>
      </c>
      <c r="R255" s="3">
        <v>798.97</v>
      </c>
      <c r="S255" s="3">
        <v>1814.06</v>
      </c>
      <c r="T255" s="3">
        <f t="shared" si="50"/>
        <v>1814.06</v>
      </c>
      <c r="U255" s="3">
        <f>(1+'10. Whatif Control pannel'!$B$6)*T255</f>
        <v>2031.7472</v>
      </c>
      <c r="V255" s="3" t="str">
        <f t="shared" si="51"/>
        <v>High</v>
      </c>
      <c r="W255" s="34">
        <v>0.122</v>
      </c>
      <c r="X255" s="24" t="str">
        <f t="shared" si="52"/>
        <v>Okay</v>
      </c>
      <c r="Y255" s="36">
        <f>IF(W255&lt;=0.25,W255,'10. Whatif Control pannel'!$B$2)</f>
        <v>0.122</v>
      </c>
      <c r="Z255" s="24">
        <v>16</v>
      </c>
      <c r="AA255" s="13">
        <f>(1+'10. Whatif Control pannel'!$B$10)*Z255</f>
        <v>19.2</v>
      </c>
      <c r="AB255" s="3">
        <f t="shared" si="53"/>
        <v>25483.91488</v>
      </c>
      <c r="AC255" s="3">
        <f t="shared" si="58"/>
        <v>34250.38159872</v>
      </c>
      <c r="AD255" s="3">
        <f t="shared" si="54"/>
        <v>12783.52</v>
      </c>
      <c r="AE255" s="3">
        <f t="shared" si="55"/>
        <v>12700.39488</v>
      </c>
      <c r="AF255" s="3">
        <f t="shared" si="59"/>
        <v>21466.86159872</v>
      </c>
      <c r="AG255">
        <f t="shared" si="56"/>
        <v>0.498369066911591</v>
      </c>
    </row>
    <row r="256" spans="1:33">
      <c r="A256" t="s">
        <v>610</v>
      </c>
      <c r="B256" s="20">
        <v>45592</v>
      </c>
      <c r="C256" s="2">
        <f t="shared" si="45"/>
        <v>10</v>
      </c>
      <c r="D256" s="21">
        <f t="shared" si="57"/>
        <v>45592</v>
      </c>
      <c r="E256" s="19" t="str">
        <f t="shared" si="46"/>
        <v>Quarter 4</v>
      </c>
      <c r="F256" s="19">
        <v>45616</v>
      </c>
      <c r="G256" s="19">
        <f t="shared" si="47"/>
        <v>45616</v>
      </c>
      <c r="H256" s="22">
        <f t="shared" si="48"/>
        <v>24</v>
      </c>
      <c r="I256" t="str">
        <f t="shared" si="49"/>
        <v>Delayed </v>
      </c>
      <c r="J256" t="s">
        <v>45</v>
      </c>
      <c r="K256" t="s">
        <v>46</v>
      </c>
      <c r="L256" t="s">
        <v>231</v>
      </c>
      <c r="M256" t="s">
        <v>39</v>
      </c>
      <c r="N256" t="s">
        <v>28</v>
      </c>
      <c r="O256" t="s">
        <v>92</v>
      </c>
      <c r="P256" t="s">
        <v>64</v>
      </c>
      <c r="Q256" t="s">
        <v>611</v>
      </c>
      <c r="R256" s="3">
        <v>317.25</v>
      </c>
      <c r="S256" s="3">
        <v>758.92</v>
      </c>
      <c r="T256" s="3">
        <f t="shared" si="50"/>
        <v>758.92</v>
      </c>
      <c r="U256" s="3">
        <f>(1+'10. Whatif Control pannel'!$B$6)*T256</f>
        <v>849.9904</v>
      </c>
      <c r="V256" s="3" t="str">
        <f t="shared" si="51"/>
        <v>Low</v>
      </c>
      <c r="W256" s="34">
        <v>0.053</v>
      </c>
      <c r="X256" s="24" t="str">
        <f t="shared" si="52"/>
        <v>Okay</v>
      </c>
      <c r="Y256" s="36">
        <f>IF(W256&lt;=0.25,W256,'10. Whatif Control pannel'!$B$2)</f>
        <v>0.053</v>
      </c>
      <c r="Z256" s="24">
        <v>9</v>
      </c>
      <c r="AA256" s="13">
        <f>(1+'10. Whatif Control pannel'!$B$10)*Z256</f>
        <v>10.8</v>
      </c>
      <c r="AB256" s="3">
        <f t="shared" si="53"/>
        <v>6468.27516</v>
      </c>
      <c r="AC256" s="3">
        <f t="shared" si="58"/>
        <v>8693.36181504</v>
      </c>
      <c r="AD256" s="3">
        <f t="shared" si="54"/>
        <v>2855.25</v>
      </c>
      <c r="AE256" s="3">
        <f t="shared" si="55"/>
        <v>3613.02516</v>
      </c>
      <c r="AF256" s="3">
        <f t="shared" si="59"/>
        <v>5838.11181504</v>
      </c>
      <c r="AG256">
        <f t="shared" si="56"/>
        <v>0.558576292848989</v>
      </c>
    </row>
    <row r="257" spans="1:33">
      <c r="A257" t="s">
        <v>612</v>
      </c>
      <c r="B257" s="20">
        <v>45411</v>
      </c>
      <c r="C257" s="2">
        <f t="shared" si="45"/>
        <v>4</v>
      </c>
      <c r="D257" s="21">
        <f t="shared" si="57"/>
        <v>45411</v>
      </c>
      <c r="E257" s="19" t="str">
        <f t="shared" si="46"/>
        <v>Quarter 2</v>
      </c>
      <c r="F257" s="19">
        <v>45431</v>
      </c>
      <c r="G257" s="19">
        <f t="shared" si="47"/>
        <v>45431</v>
      </c>
      <c r="H257" s="22">
        <f t="shared" si="48"/>
        <v>20</v>
      </c>
      <c r="I257" t="str">
        <f t="shared" si="49"/>
        <v>Delayed </v>
      </c>
      <c r="J257" t="s">
        <v>78</v>
      </c>
      <c r="K257" t="s">
        <v>79</v>
      </c>
      <c r="L257" t="s">
        <v>335</v>
      </c>
      <c r="M257" t="s">
        <v>105</v>
      </c>
      <c r="N257" t="s">
        <v>40</v>
      </c>
      <c r="O257" t="s">
        <v>21</v>
      </c>
      <c r="P257" t="s">
        <v>57</v>
      </c>
      <c r="Q257" t="s">
        <v>613</v>
      </c>
      <c r="R257" s="3">
        <v>668.97</v>
      </c>
      <c r="S257" s="3">
        <v>1667.44</v>
      </c>
      <c r="T257" s="3">
        <f t="shared" si="50"/>
        <v>1667.44</v>
      </c>
      <c r="U257" s="3">
        <f>(1+'10. Whatif Control pannel'!$B$6)*T257</f>
        <v>1867.5328</v>
      </c>
      <c r="V257" s="3" t="str">
        <f t="shared" si="51"/>
        <v>High</v>
      </c>
      <c r="W257" s="34">
        <v>0.034</v>
      </c>
      <c r="X257" s="24" t="str">
        <f t="shared" si="52"/>
        <v>Okay</v>
      </c>
      <c r="Y257" s="36">
        <f>IF(W257&lt;=0.25,W257,'10. Whatif Control pannel'!$B$2)</f>
        <v>0.034</v>
      </c>
      <c r="Z257" s="24">
        <v>15</v>
      </c>
      <c r="AA257" s="13">
        <f>(1+'10. Whatif Control pannel'!$B$10)*Z257</f>
        <v>18</v>
      </c>
      <c r="AB257" s="3">
        <f t="shared" si="53"/>
        <v>24161.2056</v>
      </c>
      <c r="AC257" s="3">
        <f t="shared" si="58"/>
        <v>32472.6603264</v>
      </c>
      <c r="AD257" s="3">
        <f t="shared" si="54"/>
        <v>10034.55</v>
      </c>
      <c r="AE257" s="3">
        <f t="shared" si="55"/>
        <v>14126.6556</v>
      </c>
      <c r="AF257" s="3">
        <f t="shared" si="59"/>
        <v>22438.1103264</v>
      </c>
      <c r="AG257">
        <f t="shared" si="56"/>
        <v>0.58468339013679</v>
      </c>
    </row>
    <row r="258" spans="1:33">
      <c r="A258" t="s">
        <v>614</v>
      </c>
      <c r="B258" s="20">
        <v>45204</v>
      </c>
      <c r="C258" s="2">
        <f t="shared" ref="C258:C321" si="60">MONTH(B258)</f>
        <v>10</v>
      </c>
      <c r="D258" s="21">
        <f t="shared" si="57"/>
        <v>45204</v>
      </c>
      <c r="E258" s="19" t="str">
        <f t="shared" ref="E258:E321" si="61">IF(AND(MONTH(B258)&gt;=1,MONTH(B258)&lt;=3),"Quarter 1",IF(AND(MONTH(B258)&gt;=4,MONTH(B258)&lt;=6),"Quarter 2",IF(AND(MONTH(B258)&gt;=7,MONTH(B258)&lt;=9),"Quarter 3",IF(AND(MONTH(B258)&gt;=10,MONTH(B258)&lt;=12),"Quarter 4"))))</f>
        <v>Quarter 4</v>
      </c>
      <c r="F258" s="19">
        <v>45205</v>
      </c>
      <c r="G258" s="19">
        <f t="shared" ref="G258:G321" si="62">IF(B258&gt;F258,B258+7,F258)</f>
        <v>45205</v>
      </c>
      <c r="H258" s="22">
        <f t="shared" ref="H258:H321" si="63">G258-B258</f>
        <v>1</v>
      </c>
      <c r="I258" t="str">
        <f t="shared" ref="I258:I321" si="64">IF(H258&lt;=7,"Ontime","Delayed ")</f>
        <v>Ontime</v>
      </c>
      <c r="J258" t="s">
        <v>45</v>
      </c>
      <c r="K258" t="s">
        <v>60</v>
      </c>
      <c r="L258" t="s">
        <v>61</v>
      </c>
      <c r="M258" t="s">
        <v>39</v>
      </c>
      <c r="N258" t="s">
        <v>28</v>
      </c>
      <c r="O258" t="s">
        <v>34</v>
      </c>
      <c r="P258" t="s">
        <v>22</v>
      </c>
      <c r="Q258" t="s">
        <v>615</v>
      </c>
      <c r="R258" s="3">
        <v>1470.26</v>
      </c>
      <c r="S258" s="3">
        <v>2562.55</v>
      </c>
      <c r="T258" s="3">
        <f t="shared" ref="T258:T321" si="65">IF(S258&lt;=0,R258,S258)</f>
        <v>2562.55</v>
      </c>
      <c r="U258" s="3">
        <f>(1+'10. Whatif Control pannel'!$B$6)*T258</f>
        <v>2870.056</v>
      </c>
      <c r="V258" s="3" t="str">
        <f t="shared" ref="V258:V321" si="66">IF(T258&lt;=_xlfn.PERCENTILE.INC(T258:T889,33%),"Low",IF(T258&lt;=_xlfn.PERCENTILE.INC(T258:T889,67%),"Medium","High"))</f>
        <v>High</v>
      </c>
      <c r="W258" s="34">
        <v>0.173</v>
      </c>
      <c r="X258" s="24" t="str">
        <f t="shared" ref="X258:X321" si="67">IF(W258&gt;0.2,"High Discount","Okay")</f>
        <v>Okay</v>
      </c>
      <c r="Y258" s="36">
        <f>IF(W258&lt;=0.25,W258,'10. Whatif Control pannel'!$B$2)</f>
        <v>0.173</v>
      </c>
      <c r="Z258" s="24">
        <v>9</v>
      </c>
      <c r="AA258" s="13">
        <f>(1+'10. Whatif Control pannel'!$B$10)*Z258</f>
        <v>10.8</v>
      </c>
      <c r="AB258" s="3">
        <f t="shared" ref="AB258:AB321" si="68">T258*Z258*(1-W258)</f>
        <v>19073.05965</v>
      </c>
      <c r="AC258" s="3">
        <f t="shared" si="58"/>
        <v>25634.1921696</v>
      </c>
      <c r="AD258" s="3">
        <f t="shared" ref="AD258:AD321" si="69">R258*Z258</f>
        <v>13232.34</v>
      </c>
      <c r="AE258" s="3">
        <f t="shared" ref="AE258:AE321" si="70">AB258-AD258</f>
        <v>5840.71965</v>
      </c>
      <c r="AF258" s="3">
        <f t="shared" si="59"/>
        <v>12401.8521696</v>
      </c>
      <c r="AG258">
        <f t="shared" ref="AG258:AG321" si="71">IF(AB258=0,0,AE258/AB258)</f>
        <v>0.306228772791575</v>
      </c>
    </row>
    <row r="259" spans="1:33">
      <c r="A259" t="s">
        <v>616</v>
      </c>
      <c r="B259" s="20">
        <v>45035</v>
      </c>
      <c r="C259" s="2">
        <f t="shared" si="60"/>
        <v>4</v>
      </c>
      <c r="D259" s="21">
        <f t="shared" ref="D259:D322" si="72">B259</f>
        <v>45035</v>
      </c>
      <c r="E259" s="19" t="str">
        <f t="shared" si="61"/>
        <v>Quarter 2</v>
      </c>
      <c r="F259" s="19">
        <v>45053</v>
      </c>
      <c r="G259" s="19">
        <f t="shared" si="62"/>
        <v>45053</v>
      </c>
      <c r="H259" s="22">
        <f t="shared" si="63"/>
        <v>18</v>
      </c>
      <c r="I259" t="str">
        <f t="shared" si="64"/>
        <v>Delayed </v>
      </c>
      <c r="J259" t="s">
        <v>78</v>
      </c>
      <c r="K259" t="s">
        <v>108</v>
      </c>
      <c r="L259" t="s">
        <v>152</v>
      </c>
      <c r="M259" t="s">
        <v>39</v>
      </c>
      <c r="N259" t="s">
        <v>98</v>
      </c>
      <c r="O259" t="s">
        <v>92</v>
      </c>
      <c r="P259" t="s">
        <v>35</v>
      </c>
      <c r="Q259" t="s">
        <v>617</v>
      </c>
      <c r="R259" s="3">
        <v>516.96</v>
      </c>
      <c r="S259" s="3">
        <v>745.38</v>
      </c>
      <c r="T259" s="3">
        <f t="shared" si="65"/>
        <v>745.38</v>
      </c>
      <c r="U259" s="3">
        <f>(1+'10. Whatif Control pannel'!$B$6)*T259</f>
        <v>834.8256</v>
      </c>
      <c r="V259" s="3" t="str">
        <f t="shared" si="66"/>
        <v>Low</v>
      </c>
      <c r="W259" s="34">
        <v>0.197</v>
      </c>
      <c r="X259" s="24" t="str">
        <f t="shared" si="67"/>
        <v>Okay</v>
      </c>
      <c r="Y259" s="36">
        <f>IF(W259&lt;=0.25,W259,'10. Whatif Control pannel'!$B$2)</f>
        <v>0.197</v>
      </c>
      <c r="Z259" s="24">
        <v>4</v>
      </c>
      <c r="AA259" s="13">
        <f>(1+'10. Whatif Control pannel'!$B$10)*Z259</f>
        <v>4.8</v>
      </c>
      <c r="AB259" s="3">
        <f t="shared" si="68"/>
        <v>2394.16056</v>
      </c>
      <c r="AC259" s="3">
        <f t="shared" ref="AC259:AC322" si="73">U259*AA259*(1-Y259)</f>
        <v>3217.75179264</v>
      </c>
      <c r="AD259" s="3">
        <f t="shared" si="69"/>
        <v>2067.84</v>
      </c>
      <c r="AE259" s="3">
        <f t="shared" si="70"/>
        <v>326.32056</v>
      </c>
      <c r="AF259" s="3">
        <f t="shared" ref="AF259:AF322" si="74">AC259-AD259</f>
        <v>1149.91179264</v>
      </c>
      <c r="AG259">
        <f t="shared" si="71"/>
        <v>0.136298527948351</v>
      </c>
    </row>
    <row r="260" spans="1:33">
      <c r="A260" t="s">
        <v>618</v>
      </c>
      <c r="B260" s="20">
        <v>45835</v>
      </c>
      <c r="C260" s="2">
        <f t="shared" si="60"/>
        <v>6</v>
      </c>
      <c r="D260" s="21">
        <f t="shared" si="72"/>
        <v>45835</v>
      </c>
      <c r="E260" s="19" t="str">
        <f t="shared" si="61"/>
        <v>Quarter 2</v>
      </c>
      <c r="F260" s="19">
        <v>45843</v>
      </c>
      <c r="G260" s="19">
        <f t="shared" si="62"/>
        <v>45843</v>
      </c>
      <c r="H260" s="22">
        <f t="shared" si="63"/>
        <v>8</v>
      </c>
      <c r="I260" t="str">
        <f t="shared" si="64"/>
        <v>Delayed </v>
      </c>
      <c r="J260" t="s">
        <v>78</v>
      </c>
      <c r="K260" t="s">
        <v>79</v>
      </c>
      <c r="L260" t="s">
        <v>159</v>
      </c>
      <c r="M260" t="s">
        <v>62</v>
      </c>
      <c r="N260" t="s">
        <v>98</v>
      </c>
      <c r="O260" t="s">
        <v>41</v>
      </c>
      <c r="P260" t="s">
        <v>64</v>
      </c>
      <c r="Q260" t="s">
        <v>619</v>
      </c>
      <c r="R260" s="3">
        <v>314.93</v>
      </c>
      <c r="S260" s="3">
        <v>687.95</v>
      </c>
      <c r="T260" s="3">
        <f t="shared" si="65"/>
        <v>687.95</v>
      </c>
      <c r="U260" s="3">
        <f>(1+'10. Whatif Control pannel'!$B$6)*T260</f>
        <v>770.504</v>
      </c>
      <c r="V260" s="3" t="str">
        <f t="shared" si="66"/>
        <v>Low</v>
      </c>
      <c r="W260" s="34">
        <v>0.205</v>
      </c>
      <c r="X260" s="24" t="str">
        <f t="shared" si="67"/>
        <v>High Discount</v>
      </c>
      <c r="Y260" s="36">
        <f>IF(W260&lt;=0.25,W260,'10. Whatif Control pannel'!$B$2)</f>
        <v>0.205</v>
      </c>
      <c r="Z260" s="24">
        <v>8</v>
      </c>
      <c r="AA260" s="13">
        <f>(1+'10. Whatif Control pannel'!$B$10)*Z260</f>
        <v>9.6</v>
      </c>
      <c r="AB260" s="3">
        <f t="shared" si="68"/>
        <v>4375.362</v>
      </c>
      <c r="AC260" s="3">
        <f t="shared" si="73"/>
        <v>5880.486528</v>
      </c>
      <c r="AD260" s="3">
        <f t="shared" si="69"/>
        <v>2519.44</v>
      </c>
      <c r="AE260" s="3">
        <f t="shared" si="70"/>
        <v>1855.922</v>
      </c>
      <c r="AF260" s="3">
        <f t="shared" si="74"/>
        <v>3361.046528</v>
      </c>
      <c r="AG260">
        <f t="shared" si="71"/>
        <v>0.424175645352316</v>
      </c>
    </row>
    <row r="261" spans="1:33">
      <c r="A261" t="s">
        <v>620</v>
      </c>
      <c r="B261" s="20">
        <v>45210</v>
      </c>
      <c r="C261" s="2">
        <f t="shared" si="60"/>
        <v>10</v>
      </c>
      <c r="D261" s="21">
        <f t="shared" si="72"/>
        <v>45210</v>
      </c>
      <c r="E261" s="19" t="str">
        <f t="shared" si="61"/>
        <v>Quarter 4</v>
      </c>
      <c r="F261" s="19">
        <v>45212</v>
      </c>
      <c r="G261" s="19">
        <f t="shared" si="62"/>
        <v>45212</v>
      </c>
      <c r="H261" s="22">
        <f t="shared" si="63"/>
        <v>2</v>
      </c>
      <c r="I261" t="str">
        <f t="shared" si="64"/>
        <v>Ontime</v>
      </c>
      <c r="J261" t="s">
        <v>52</v>
      </c>
      <c r="K261" t="s">
        <v>73</v>
      </c>
      <c r="L261" t="s">
        <v>87</v>
      </c>
      <c r="M261" t="s">
        <v>48</v>
      </c>
      <c r="N261" t="s">
        <v>55</v>
      </c>
      <c r="O261" t="s">
        <v>1442</v>
      </c>
      <c r="P261" t="s">
        <v>81</v>
      </c>
      <c r="Q261" t="s">
        <v>621</v>
      </c>
      <c r="R261" s="3">
        <v>715.94</v>
      </c>
      <c r="S261" s="3">
        <v>550.07</v>
      </c>
      <c r="T261" s="3">
        <f t="shared" si="65"/>
        <v>550.07</v>
      </c>
      <c r="U261" s="3">
        <f>(1+'10. Whatif Control pannel'!$B$6)*T261</f>
        <v>616.0784</v>
      </c>
      <c r="V261" s="3" t="str">
        <f t="shared" si="66"/>
        <v>Low</v>
      </c>
      <c r="W261" s="34">
        <v>0.14</v>
      </c>
      <c r="X261" s="24" t="str">
        <f t="shared" si="67"/>
        <v>Okay</v>
      </c>
      <c r="Y261" s="36">
        <f>IF(W261&lt;=0.25,W261,'10. Whatif Control pannel'!$B$2)</f>
        <v>0.14</v>
      </c>
      <c r="Z261" s="24">
        <v>16</v>
      </c>
      <c r="AA261" s="13">
        <f>(1+'10. Whatif Control pannel'!$B$10)*Z261</f>
        <v>19.2</v>
      </c>
      <c r="AB261" s="3">
        <f t="shared" si="68"/>
        <v>7568.9632</v>
      </c>
      <c r="AC261" s="3">
        <f t="shared" si="73"/>
        <v>10172.6865408</v>
      </c>
      <c r="AD261" s="3">
        <f t="shared" si="69"/>
        <v>11455.04</v>
      </c>
      <c r="AE261" s="3">
        <f t="shared" si="70"/>
        <v>-3886.0768</v>
      </c>
      <c r="AF261" s="3">
        <f t="shared" si="74"/>
        <v>-1282.3534592</v>
      </c>
      <c r="AG261">
        <f t="shared" si="71"/>
        <v>-0.513422604564916</v>
      </c>
    </row>
    <row r="262" spans="1:33">
      <c r="A262" t="s">
        <v>622</v>
      </c>
      <c r="B262" s="20">
        <v>45066</v>
      </c>
      <c r="C262" s="2">
        <f t="shared" si="60"/>
        <v>5</v>
      </c>
      <c r="D262" s="21">
        <f t="shared" si="72"/>
        <v>45066</v>
      </c>
      <c r="E262" s="19" t="str">
        <f t="shared" si="61"/>
        <v>Quarter 2</v>
      </c>
      <c r="F262" s="19">
        <v>45084</v>
      </c>
      <c r="G262" s="19">
        <f t="shared" si="62"/>
        <v>45084</v>
      </c>
      <c r="H262" s="22">
        <f t="shared" si="63"/>
        <v>18</v>
      </c>
      <c r="I262" t="str">
        <f t="shared" si="64"/>
        <v>Delayed </v>
      </c>
      <c r="J262" t="s">
        <v>16</v>
      </c>
      <c r="K262" t="s">
        <v>25</v>
      </c>
      <c r="L262" t="s">
        <v>26</v>
      </c>
      <c r="M262" t="s">
        <v>105</v>
      </c>
      <c r="N262" t="s">
        <v>55</v>
      </c>
      <c r="O262" t="s">
        <v>63</v>
      </c>
      <c r="P262" t="s">
        <v>22</v>
      </c>
      <c r="Q262" t="s">
        <v>623</v>
      </c>
      <c r="R262" s="3">
        <v>1120.06</v>
      </c>
      <c r="S262" s="3">
        <v>2068.21</v>
      </c>
      <c r="T262" s="3">
        <f t="shared" si="65"/>
        <v>2068.21</v>
      </c>
      <c r="U262" s="3">
        <f>(1+'10. Whatif Control pannel'!$B$6)*T262</f>
        <v>2316.3952</v>
      </c>
      <c r="V262" s="3" t="str">
        <f t="shared" si="66"/>
        <v>High</v>
      </c>
      <c r="W262" s="34">
        <v>0.078</v>
      </c>
      <c r="X262" s="24" t="str">
        <f t="shared" si="67"/>
        <v>Okay</v>
      </c>
      <c r="Y262" s="36">
        <f>IF(W262&lt;=0.25,W262,'10. Whatif Control pannel'!$B$2)</f>
        <v>0.078</v>
      </c>
      <c r="Z262" s="24">
        <v>12</v>
      </c>
      <c r="AA262" s="13">
        <f>(1+'10. Whatif Control pannel'!$B$10)*Z262</f>
        <v>14.4</v>
      </c>
      <c r="AB262" s="3">
        <f t="shared" si="68"/>
        <v>22882.67544</v>
      </c>
      <c r="AC262" s="3">
        <f t="shared" si="73"/>
        <v>30754.31579136</v>
      </c>
      <c r="AD262" s="3">
        <f t="shared" si="69"/>
        <v>13440.72</v>
      </c>
      <c r="AE262" s="3">
        <f t="shared" si="70"/>
        <v>9441.95544</v>
      </c>
      <c r="AF262" s="3">
        <f t="shared" si="74"/>
        <v>17313.59579136</v>
      </c>
      <c r="AG262">
        <f t="shared" si="71"/>
        <v>0.412624627953033</v>
      </c>
    </row>
    <row r="263" spans="1:33">
      <c r="A263" t="s">
        <v>624</v>
      </c>
      <c r="B263" s="20">
        <v>45073</v>
      </c>
      <c r="C263" s="2">
        <f t="shared" si="60"/>
        <v>5</v>
      </c>
      <c r="D263" s="21">
        <f t="shared" si="72"/>
        <v>45073</v>
      </c>
      <c r="E263" s="19" t="str">
        <f t="shared" si="61"/>
        <v>Quarter 2</v>
      </c>
      <c r="F263" s="19">
        <v>45096</v>
      </c>
      <c r="G263" s="19">
        <f t="shared" si="62"/>
        <v>45096</v>
      </c>
      <c r="H263" s="22">
        <f t="shared" si="63"/>
        <v>23</v>
      </c>
      <c r="I263" t="str">
        <f t="shared" si="64"/>
        <v>Delayed </v>
      </c>
      <c r="J263" t="s">
        <v>78</v>
      </c>
      <c r="K263" t="s">
        <v>79</v>
      </c>
      <c r="L263" t="s">
        <v>80</v>
      </c>
      <c r="M263" t="s">
        <v>27</v>
      </c>
      <c r="N263" t="s">
        <v>20</v>
      </c>
      <c r="O263" t="s">
        <v>68</v>
      </c>
      <c r="P263" t="s">
        <v>81</v>
      </c>
      <c r="Q263" t="s">
        <v>625</v>
      </c>
      <c r="R263" s="3">
        <v>1471.58</v>
      </c>
      <c r="S263" s="3">
        <v>2576.65</v>
      </c>
      <c r="T263" s="3">
        <f t="shared" si="65"/>
        <v>2576.65</v>
      </c>
      <c r="U263" s="3">
        <f>(1+'10. Whatif Control pannel'!$B$6)*T263</f>
        <v>2885.848</v>
      </c>
      <c r="V263" s="3" t="str">
        <f t="shared" si="66"/>
        <v>High</v>
      </c>
      <c r="W263" s="34">
        <v>0.004</v>
      </c>
      <c r="X263" s="24" t="str">
        <f t="shared" si="67"/>
        <v>Okay</v>
      </c>
      <c r="Y263" s="36">
        <f>IF(W263&lt;=0.25,W263,'10. Whatif Control pannel'!$B$2)</f>
        <v>0.004</v>
      </c>
      <c r="Z263" s="24">
        <v>7</v>
      </c>
      <c r="AA263" s="13">
        <f>(1+'10. Whatif Control pannel'!$B$10)*Z263</f>
        <v>8.4</v>
      </c>
      <c r="AB263" s="3">
        <f t="shared" si="68"/>
        <v>17964.4038</v>
      </c>
      <c r="AC263" s="3">
        <f t="shared" si="73"/>
        <v>24144.1587072</v>
      </c>
      <c r="AD263" s="3">
        <f t="shared" si="69"/>
        <v>10301.06</v>
      </c>
      <c r="AE263" s="3">
        <f t="shared" si="70"/>
        <v>7663.3438</v>
      </c>
      <c r="AF263" s="3">
        <f t="shared" si="74"/>
        <v>13843.0987072</v>
      </c>
      <c r="AG263">
        <f t="shared" si="71"/>
        <v>0.426584922345155</v>
      </c>
    </row>
    <row r="264" spans="1:33">
      <c r="A264" t="s">
        <v>626</v>
      </c>
      <c r="B264" s="20">
        <v>45142</v>
      </c>
      <c r="C264" s="2">
        <f t="shared" si="60"/>
        <v>8</v>
      </c>
      <c r="D264" s="21">
        <f t="shared" si="72"/>
        <v>45142</v>
      </c>
      <c r="E264" s="19" t="str">
        <f t="shared" si="61"/>
        <v>Quarter 3</v>
      </c>
      <c r="F264" s="19">
        <v>45162</v>
      </c>
      <c r="G264" s="19">
        <f t="shared" si="62"/>
        <v>45162</v>
      </c>
      <c r="H264" s="22">
        <f t="shared" si="63"/>
        <v>20</v>
      </c>
      <c r="I264" t="str">
        <f t="shared" si="64"/>
        <v>Delayed </v>
      </c>
      <c r="J264" t="s">
        <v>52</v>
      </c>
      <c r="K264" t="s">
        <v>73</v>
      </c>
      <c r="L264" t="s">
        <v>87</v>
      </c>
      <c r="M264" t="s">
        <v>39</v>
      </c>
      <c r="N264" t="s">
        <v>98</v>
      </c>
      <c r="O264" t="s">
        <v>1442</v>
      </c>
      <c r="P264" t="s">
        <v>35</v>
      </c>
      <c r="Q264" t="s">
        <v>627</v>
      </c>
      <c r="R264" s="3">
        <v>582.88</v>
      </c>
      <c r="S264" s="3">
        <v>1044.14</v>
      </c>
      <c r="T264" s="3">
        <f t="shared" si="65"/>
        <v>1044.14</v>
      </c>
      <c r="U264" s="3">
        <f>(1+'10. Whatif Control pannel'!$B$6)*T264</f>
        <v>1169.4368</v>
      </c>
      <c r="V264" s="3" t="str">
        <f t="shared" si="66"/>
        <v>Medium</v>
      </c>
      <c r="W264" s="34">
        <v>0.216</v>
      </c>
      <c r="X264" s="24" t="str">
        <f t="shared" si="67"/>
        <v>High Discount</v>
      </c>
      <c r="Y264" s="36">
        <f>IF(W264&lt;=0.25,W264,'10. Whatif Control pannel'!$B$2)</f>
        <v>0.216</v>
      </c>
      <c r="Z264" s="24">
        <v>10</v>
      </c>
      <c r="AA264" s="13">
        <f>(1+'10. Whatif Control pannel'!$B$10)*Z264</f>
        <v>12</v>
      </c>
      <c r="AB264" s="3">
        <f t="shared" si="68"/>
        <v>8186.0576</v>
      </c>
      <c r="AC264" s="3">
        <f t="shared" si="73"/>
        <v>11002.0614144</v>
      </c>
      <c r="AD264" s="3">
        <f t="shared" si="69"/>
        <v>5828.8</v>
      </c>
      <c r="AE264" s="3">
        <f t="shared" si="70"/>
        <v>2357.2576</v>
      </c>
      <c r="AF264" s="3">
        <f t="shared" si="74"/>
        <v>5173.2614144</v>
      </c>
      <c r="AG264">
        <f t="shared" si="71"/>
        <v>0.287960055399561</v>
      </c>
    </row>
    <row r="265" spans="1:33">
      <c r="A265" t="s">
        <v>628</v>
      </c>
      <c r="B265" s="20">
        <v>45829</v>
      </c>
      <c r="C265" s="2">
        <f t="shared" si="60"/>
        <v>6</v>
      </c>
      <c r="D265" s="21">
        <f t="shared" si="72"/>
        <v>45829</v>
      </c>
      <c r="E265" s="19" t="str">
        <f t="shared" si="61"/>
        <v>Quarter 2</v>
      </c>
      <c r="F265" s="19">
        <v>45835</v>
      </c>
      <c r="G265" s="19">
        <f t="shared" si="62"/>
        <v>45835</v>
      </c>
      <c r="H265" s="22">
        <f t="shared" si="63"/>
        <v>6</v>
      </c>
      <c r="I265" t="str">
        <f t="shared" si="64"/>
        <v>Ontime</v>
      </c>
      <c r="J265" t="s">
        <v>16</v>
      </c>
      <c r="K265" t="s">
        <v>148</v>
      </c>
      <c r="L265" t="s">
        <v>172</v>
      </c>
      <c r="M265" t="s">
        <v>105</v>
      </c>
      <c r="N265" t="s">
        <v>55</v>
      </c>
      <c r="O265" t="s">
        <v>126</v>
      </c>
      <c r="P265" t="s">
        <v>42</v>
      </c>
      <c r="Q265" t="s">
        <v>629</v>
      </c>
      <c r="R265" s="3">
        <v>93.91</v>
      </c>
      <c r="S265" s="3">
        <v>99.04</v>
      </c>
      <c r="T265" s="3">
        <f t="shared" si="65"/>
        <v>99.04</v>
      </c>
      <c r="U265" s="3">
        <f>(1+'10. Whatif Control pannel'!$B$6)*T265</f>
        <v>110.9248</v>
      </c>
      <c r="V265" s="3" t="str">
        <f t="shared" si="66"/>
        <v>Low</v>
      </c>
      <c r="W265" s="34">
        <v>0.057</v>
      </c>
      <c r="X265" s="24" t="str">
        <f t="shared" si="67"/>
        <v>Okay</v>
      </c>
      <c r="Y265" s="36">
        <f>IF(W265&lt;=0.25,W265,'10. Whatif Control pannel'!$B$2)</f>
        <v>0.057</v>
      </c>
      <c r="Z265" s="24">
        <v>6</v>
      </c>
      <c r="AA265" s="13">
        <f>(1+'10. Whatif Control pannel'!$B$10)*Z265</f>
        <v>7.2</v>
      </c>
      <c r="AB265" s="3">
        <f t="shared" si="68"/>
        <v>560.36832</v>
      </c>
      <c r="AC265" s="3">
        <f t="shared" si="73"/>
        <v>753.13502208</v>
      </c>
      <c r="AD265" s="3">
        <f t="shared" si="69"/>
        <v>563.46</v>
      </c>
      <c r="AE265" s="3">
        <f t="shared" si="70"/>
        <v>-3.09168000000011</v>
      </c>
      <c r="AF265" s="3">
        <f t="shared" si="74"/>
        <v>189.67502208</v>
      </c>
      <c r="AG265">
        <f t="shared" si="71"/>
        <v>-0.00551722838293234</v>
      </c>
    </row>
    <row r="266" spans="1:33">
      <c r="A266" t="s">
        <v>630</v>
      </c>
      <c r="B266" s="20">
        <v>45763</v>
      </c>
      <c r="C266" s="2">
        <f t="shared" si="60"/>
        <v>4</v>
      </c>
      <c r="D266" s="21">
        <f t="shared" si="72"/>
        <v>45763</v>
      </c>
      <c r="E266" s="19" t="str">
        <f t="shared" si="61"/>
        <v>Quarter 2</v>
      </c>
      <c r="F266" s="19">
        <v>45773</v>
      </c>
      <c r="G266" s="19">
        <f t="shared" si="62"/>
        <v>45773</v>
      </c>
      <c r="H266" s="22">
        <f t="shared" si="63"/>
        <v>10</v>
      </c>
      <c r="I266" t="str">
        <f t="shared" si="64"/>
        <v>Delayed </v>
      </c>
      <c r="J266" t="s">
        <v>16</v>
      </c>
      <c r="K266" t="s">
        <v>25</v>
      </c>
      <c r="L266" t="s">
        <v>26</v>
      </c>
      <c r="M266" t="s">
        <v>105</v>
      </c>
      <c r="N266" t="s">
        <v>40</v>
      </c>
      <c r="O266" t="s">
        <v>84</v>
      </c>
      <c r="P266" t="s">
        <v>57</v>
      </c>
      <c r="Q266" t="s">
        <v>631</v>
      </c>
      <c r="R266" s="3">
        <v>1457.44</v>
      </c>
      <c r="S266" s="3">
        <v>1996.81</v>
      </c>
      <c r="T266" s="3">
        <f t="shared" si="65"/>
        <v>1996.81</v>
      </c>
      <c r="U266" s="3">
        <f>(1+'10. Whatif Control pannel'!$B$6)*T266</f>
        <v>2236.4272</v>
      </c>
      <c r="V266" s="3" t="str">
        <f t="shared" si="66"/>
        <v>High</v>
      </c>
      <c r="W266" s="34">
        <v>0.126</v>
      </c>
      <c r="X266" s="24" t="str">
        <f t="shared" si="67"/>
        <v>Okay</v>
      </c>
      <c r="Y266" s="36">
        <f>IF(W266&lt;=0.25,W266,'10. Whatif Control pannel'!$B$2)</f>
        <v>0.126</v>
      </c>
      <c r="Z266" s="24">
        <v>23</v>
      </c>
      <c r="AA266" s="13">
        <f>(1+'10. Whatif Control pannel'!$B$10)*Z266</f>
        <v>27.6</v>
      </c>
      <c r="AB266" s="3">
        <f t="shared" si="68"/>
        <v>40139.87462</v>
      </c>
      <c r="AC266" s="3">
        <f t="shared" si="73"/>
        <v>53947.99148928</v>
      </c>
      <c r="AD266" s="3">
        <f t="shared" si="69"/>
        <v>33521.12</v>
      </c>
      <c r="AE266" s="3">
        <f t="shared" si="70"/>
        <v>6618.75461999999</v>
      </c>
      <c r="AF266" s="3">
        <f t="shared" si="74"/>
        <v>20426.87148928</v>
      </c>
      <c r="AG266">
        <f t="shared" si="71"/>
        <v>0.164892259446724</v>
      </c>
    </row>
    <row r="267" spans="1:33">
      <c r="A267" t="s">
        <v>632</v>
      </c>
      <c r="B267" s="20">
        <v>45902</v>
      </c>
      <c r="C267" s="2">
        <f t="shared" si="60"/>
        <v>9</v>
      </c>
      <c r="D267" s="21">
        <f t="shared" si="72"/>
        <v>45902</v>
      </c>
      <c r="E267" s="19" t="str">
        <f t="shared" si="61"/>
        <v>Quarter 3</v>
      </c>
      <c r="F267" s="19">
        <v>45911</v>
      </c>
      <c r="G267" s="19">
        <f t="shared" si="62"/>
        <v>45911</v>
      </c>
      <c r="H267" s="22">
        <f t="shared" si="63"/>
        <v>9</v>
      </c>
      <c r="I267" t="str">
        <f t="shared" si="64"/>
        <v>Delayed </v>
      </c>
      <c r="J267" t="s">
        <v>52</v>
      </c>
      <c r="K267" t="s">
        <v>53</v>
      </c>
      <c r="L267" t="s">
        <v>54</v>
      </c>
      <c r="M267" t="s">
        <v>19</v>
      </c>
      <c r="N267" t="s">
        <v>55</v>
      </c>
      <c r="O267" t="s">
        <v>110</v>
      </c>
      <c r="P267" t="s">
        <v>30</v>
      </c>
      <c r="Q267" t="s">
        <v>633</v>
      </c>
      <c r="R267" s="3">
        <v>1207.63</v>
      </c>
      <c r="S267" s="3">
        <v>921.68</v>
      </c>
      <c r="T267" s="3">
        <f t="shared" si="65"/>
        <v>921.68</v>
      </c>
      <c r="U267" s="3">
        <f>(1+'10. Whatif Control pannel'!$B$6)*T267</f>
        <v>1032.2816</v>
      </c>
      <c r="V267" s="3" t="str">
        <f t="shared" si="66"/>
        <v>Medium</v>
      </c>
      <c r="W267" s="34">
        <v>0.196</v>
      </c>
      <c r="X267" s="24" t="str">
        <f t="shared" si="67"/>
        <v>Okay</v>
      </c>
      <c r="Y267" s="36">
        <f>IF(W267&lt;=0.25,W267,'10. Whatif Control pannel'!$B$2)</f>
        <v>0.196</v>
      </c>
      <c r="Z267" s="24">
        <v>17</v>
      </c>
      <c r="AA267" s="13">
        <f>(1+'10. Whatif Control pannel'!$B$10)*Z267</f>
        <v>20.4</v>
      </c>
      <c r="AB267" s="3">
        <f t="shared" si="68"/>
        <v>12597.52224</v>
      </c>
      <c r="AC267" s="3">
        <f t="shared" si="73"/>
        <v>16931.06989056</v>
      </c>
      <c r="AD267" s="3">
        <f t="shared" si="69"/>
        <v>20529.71</v>
      </c>
      <c r="AE267" s="3">
        <f t="shared" si="70"/>
        <v>-7932.18776</v>
      </c>
      <c r="AF267" s="3">
        <f t="shared" si="74"/>
        <v>-3598.64010944</v>
      </c>
      <c r="AG267">
        <f t="shared" si="71"/>
        <v>-0.62966253274898</v>
      </c>
    </row>
    <row r="268" spans="1:33">
      <c r="A268" t="s">
        <v>634</v>
      </c>
      <c r="B268" s="20">
        <v>45573</v>
      </c>
      <c r="C268" s="2">
        <f t="shared" si="60"/>
        <v>10</v>
      </c>
      <c r="D268" s="21">
        <f t="shared" si="72"/>
        <v>45573</v>
      </c>
      <c r="E268" s="19" t="str">
        <f t="shared" si="61"/>
        <v>Quarter 4</v>
      </c>
      <c r="F268" s="19">
        <v>45573</v>
      </c>
      <c r="G268" s="19">
        <f t="shared" si="62"/>
        <v>45573</v>
      </c>
      <c r="H268" s="22">
        <f t="shared" si="63"/>
        <v>0</v>
      </c>
      <c r="I268" t="str">
        <f t="shared" si="64"/>
        <v>Ontime</v>
      </c>
      <c r="J268" t="s">
        <v>78</v>
      </c>
      <c r="K268" t="s">
        <v>108</v>
      </c>
      <c r="L268" t="s">
        <v>152</v>
      </c>
      <c r="M268" t="s">
        <v>19</v>
      </c>
      <c r="N268" t="s">
        <v>28</v>
      </c>
      <c r="O268" t="s">
        <v>63</v>
      </c>
      <c r="P268" t="s">
        <v>64</v>
      </c>
      <c r="Q268" t="s">
        <v>635</v>
      </c>
      <c r="R268" s="3">
        <v>1108.11</v>
      </c>
      <c r="S268" s="3">
        <v>2503.79</v>
      </c>
      <c r="T268" s="3">
        <f t="shared" si="65"/>
        <v>2503.79</v>
      </c>
      <c r="U268" s="3">
        <f>(1+'10. Whatif Control pannel'!$B$6)*T268</f>
        <v>2804.2448</v>
      </c>
      <c r="V268" s="3" t="str">
        <f t="shared" si="66"/>
        <v>High</v>
      </c>
      <c r="W268" s="34">
        <v>0.184</v>
      </c>
      <c r="X268" s="24" t="str">
        <f t="shared" si="67"/>
        <v>Okay</v>
      </c>
      <c r="Y268" s="36">
        <f>IF(W268&lt;=0.25,W268,'10. Whatif Control pannel'!$B$2)</f>
        <v>0.184</v>
      </c>
      <c r="Z268" s="24">
        <v>19</v>
      </c>
      <c r="AA268" s="13">
        <f>(1+'10. Whatif Control pannel'!$B$10)*Z268</f>
        <v>22.8</v>
      </c>
      <c r="AB268" s="3">
        <f t="shared" si="68"/>
        <v>38818.76016</v>
      </c>
      <c r="AC268" s="3">
        <f t="shared" si="73"/>
        <v>52172.41365504</v>
      </c>
      <c r="AD268" s="3">
        <f t="shared" si="69"/>
        <v>21054.09</v>
      </c>
      <c r="AE268" s="3">
        <f t="shared" si="70"/>
        <v>17764.67016</v>
      </c>
      <c r="AF268" s="3">
        <f t="shared" si="74"/>
        <v>31118.32365504</v>
      </c>
      <c r="AG268">
        <f t="shared" si="71"/>
        <v>0.457631054850259</v>
      </c>
    </row>
    <row r="269" spans="1:33">
      <c r="A269" t="s">
        <v>636</v>
      </c>
      <c r="B269" s="20">
        <v>45053</v>
      </c>
      <c r="C269" s="2">
        <f t="shared" si="60"/>
        <v>5</v>
      </c>
      <c r="D269" s="21">
        <f t="shared" si="72"/>
        <v>45053</v>
      </c>
      <c r="E269" s="19" t="str">
        <f t="shared" si="61"/>
        <v>Quarter 2</v>
      </c>
      <c r="F269" s="19">
        <v>45051</v>
      </c>
      <c r="G269" s="19">
        <f t="shared" si="62"/>
        <v>45060</v>
      </c>
      <c r="H269" s="22">
        <f t="shared" si="63"/>
        <v>7</v>
      </c>
      <c r="I269" t="str">
        <f t="shared" si="64"/>
        <v>Ontime</v>
      </c>
      <c r="J269" t="s">
        <v>16</v>
      </c>
      <c r="K269" t="s">
        <v>25</v>
      </c>
      <c r="L269" t="s">
        <v>26</v>
      </c>
      <c r="M269" t="s">
        <v>39</v>
      </c>
      <c r="N269" t="s">
        <v>40</v>
      </c>
      <c r="O269" t="s">
        <v>75</v>
      </c>
      <c r="P269" t="s">
        <v>22</v>
      </c>
      <c r="Q269" t="s">
        <v>637</v>
      </c>
      <c r="R269" s="3">
        <v>1269.65</v>
      </c>
      <c r="S269" s="3">
        <v>2462.77</v>
      </c>
      <c r="T269" s="3">
        <f t="shared" si="65"/>
        <v>2462.77</v>
      </c>
      <c r="U269" s="3">
        <f>(1+'10. Whatif Control pannel'!$B$6)*T269</f>
        <v>2758.3024</v>
      </c>
      <c r="V269" s="3" t="str">
        <f t="shared" si="66"/>
        <v>High</v>
      </c>
      <c r="W269" s="34">
        <v>0.107</v>
      </c>
      <c r="X269" s="24" t="str">
        <f t="shared" si="67"/>
        <v>Okay</v>
      </c>
      <c r="Y269" s="36">
        <f>IF(W269&lt;=0.25,W269,'10. Whatif Control pannel'!$B$2)</f>
        <v>0.107</v>
      </c>
      <c r="Z269" s="24">
        <v>8</v>
      </c>
      <c r="AA269" s="13">
        <f>(1+'10. Whatif Control pannel'!$B$10)*Z269</f>
        <v>9.6</v>
      </c>
      <c r="AB269" s="3">
        <f t="shared" si="68"/>
        <v>17594.02888</v>
      </c>
      <c r="AC269" s="3">
        <f t="shared" si="73"/>
        <v>23646.37481472</v>
      </c>
      <c r="AD269" s="3">
        <f t="shared" si="69"/>
        <v>10157.2</v>
      </c>
      <c r="AE269" s="3">
        <f t="shared" si="70"/>
        <v>7436.82888</v>
      </c>
      <c r="AF269" s="3">
        <f t="shared" si="74"/>
        <v>13489.17481472</v>
      </c>
      <c r="AG269">
        <f t="shared" si="71"/>
        <v>0.422690500892255</v>
      </c>
    </row>
    <row r="270" spans="1:33">
      <c r="A270" t="s">
        <v>638</v>
      </c>
      <c r="B270" s="20">
        <v>45284</v>
      </c>
      <c r="C270" s="2">
        <f t="shared" si="60"/>
        <v>12</v>
      </c>
      <c r="D270" s="21">
        <f t="shared" si="72"/>
        <v>45284</v>
      </c>
      <c r="E270" s="19" t="str">
        <f t="shared" si="61"/>
        <v>Quarter 4</v>
      </c>
      <c r="F270" s="19">
        <v>45292</v>
      </c>
      <c r="G270" s="19">
        <f t="shared" si="62"/>
        <v>45292</v>
      </c>
      <c r="H270" s="22">
        <f t="shared" si="63"/>
        <v>8</v>
      </c>
      <c r="I270" t="str">
        <f t="shared" si="64"/>
        <v>Delayed </v>
      </c>
      <c r="J270" t="s">
        <v>52</v>
      </c>
      <c r="K270" t="s">
        <v>73</v>
      </c>
      <c r="L270" t="s">
        <v>74</v>
      </c>
      <c r="M270" t="s">
        <v>27</v>
      </c>
      <c r="N270" t="s">
        <v>98</v>
      </c>
      <c r="O270" t="s">
        <v>21</v>
      </c>
      <c r="P270" t="s">
        <v>42</v>
      </c>
      <c r="Q270" t="s">
        <v>639</v>
      </c>
      <c r="R270" s="3">
        <v>526.49</v>
      </c>
      <c r="S270" s="3">
        <v>496.2</v>
      </c>
      <c r="T270" s="3">
        <f t="shared" si="65"/>
        <v>496.2</v>
      </c>
      <c r="U270" s="3">
        <f>(1+'10. Whatif Control pannel'!$B$6)*T270</f>
        <v>555.744</v>
      </c>
      <c r="V270" s="3" t="str">
        <f t="shared" si="66"/>
        <v>Low</v>
      </c>
      <c r="W270" s="34">
        <v>0</v>
      </c>
      <c r="X270" s="24" t="str">
        <f t="shared" si="67"/>
        <v>Okay</v>
      </c>
      <c r="Y270" s="36">
        <f>IF(W270&lt;=0.25,W270,'10. Whatif Control pannel'!$B$2)</f>
        <v>0</v>
      </c>
      <c r="Z270" s="24">
        <v>14</v>
      </c>
      <c r="AA270" s="13">
        <f>(1+'10. Whatif Control pannel'!$B$10)*Z270</f>
        <v>16.8</v>
      </c>
      <c r="AB270" s="3">
        <f t="shared" si="68"/>
        <v>6946.8</v>
      </c>
      <c r="AC270" s="3">
        <f t="shared" si="73"/>
        <v>9336.4992</v>
      </c>
      <c r="AD270" s="3">
        <f t="shared" si="69"/>
        <v>7370.86</v>
      </c>
      <c r="AE270" s="3">
        <f t="shared" si="70"/>
        <v>-424.06</v>
      </c>
      <c r="AF270" s="3">
        <f t="shared" si="74"/>
        <v>1965.6392</v>
      </c>
      <c r="AG270">
        <f t="shared" si="71"/>
        <v>-0.061043933897622</v>
      </c>
    </row>
    <row r="271" spans="1:33">
      <c r="A271" t="s">
        <v>640</v>
      </c>
      <c r="B271" s="20">
        <v>45301</v>
      </c>
      <c r="C271" s="2">
        <f t="shared" si="60"/>
        <v>1</v>
      </c>
      <c r="D271" s="21">
        <f t="shared" si="72"/>
        <v>45301</v>
      </c>
      <c r="E271" s="19" t="str">
        <f t="shared" si="61"/>
        <v>Quarter 1</v>
      </c>
      <c r="F271" s="19">
        <v>45314</v>
      </c>
      <c r="G271" s="19">
        <f t="shared" si="62"/>
        <v>45314</v>
      </c>
      <c r="H271" s="22">
        <f t="shared" si="63"/>
        <v>13</v>
      </c>
      <c r="I271" t="str">
        <f t="shared" si="64"/>
        <v>Delayed </v>
      </c>
      <c r="J271" t="s">
        <v>78</v>
      </c>
      <c r="K271" t="s">
        <v>90</v>
      </c>
      <c r="L271" t="s">
        <v>91</v>
      </c>
      <c r="M271" t="s">
        <v>19</v>
      </c>
      <c r="N271" t="s">
        <v>98</v>
      </c>
      <c r="O271" t="s">
        <v>75</v>
      </c>
      <c r="P271" t="s">
        <v>30</v>
      </c>
      <c r="Q271" t="s">
        <v>641</v>
      </c>
      <c r="R271" s="3">
        <v>720</v>
      </c>
      <c r="S271" s="3">
        <v>907.59</v>
      </c>
      <c r="T271" s="3">
        <f t="shared" si="65"/>
        <v>907.59</v>
      </c>
      <c r="U271" s="3">
        <f>(1+'10. Whatif Control pannel'!$B$6)*T271</f>
        <v>1016.5008</v>
      </c>
      <c r="V271" s="3" t="str">
        <f t="shared" si="66"/>
        <v>Medium</v>
      </c>
      <c r="W271" s="34">
        <v>0.154</v>
      </c>
      <c r="X271" s="24" t="str">
        <f t="shared" si="67"/>
        <v>Okay</v>
      </c>
      <c r="Y271" s="36">
        <f>IF(W271&lt;=0.25,W271,'10. Whatif Control pannel'!$B$2)</f>
        <v>0.154</v>
      </c>
      <c r="Z271" s="24">
        <v>10</v>
      </c>
      <c r="AA271" s="13">
        <f>(1+'10. Whatif Control pannel'!$B$10)*Z271</f>
        <v>12</v>
      </c>
      <c r="AB271" s="3">
        <f t="shared" si="68"/>
        <v>7678.2114</v>
      </c>
      <c r="AC271" s="3">
        <f t="shared" si="73"/>
        <v>10319.5161216</v>
      </c>
      <c r="AD271" s="3">
        <f t="shared" si="69"/>
        <v>7200</v>
      </c>
      <c r="AE271" s="3">
        <f t="shared" si="70"/>
        <v>478.211399999999</v>
      </c>
      <c r="AF271" s="3">
        <f t="shared" si="74"/>
        <v>3119.5161216</v>
      </c>
      <c r="AG271">
        <f t="shared" si="71"/>
        <v>0.0622816141790521</v>
      </c>
    </row>
    <row r="272" spans="1:33">
      <c r="A272" t="s">
        <v>642</v>
      </c>
      <c r="B272" s="20">
        <v>45141</v>
      </c>
      <c r="C272" s="2">
        <f t="shared" si="60"/>
        <v>8</v>
      </c>
      <c r="D272" s="21">
        <f t="shared" si="72"/>
        <v>45141</v>
      </c>
      <c r="E272" s="19" t="str">
        <f t="shared" si="61"/>
        <v>Quarter 3</v>
      </c>
      <c r="F272" s="19">
        <v>45152</v>
      </c>
      <c r="G272" s="19">
        <f t="shared" si="62"/>
        <v>45152</v>
      </c>
      <c r="H272" s="22">
        <f t="shared" si="63"/>
        <v>11</v>
      </c>
      <c r="I272" t="str">
        <f t="shared" si="64"/>
        <v>Delayed </v>
      </c>
      <c r="J272" t="s">
        <v>52</v>
      </c>
      <c r="K272" t="s">
        <v>73</v>
      </c>
      <c r="L272" t="s">
        <v>87</v>
      </c>
      <c r="M272" t="s">
        <v>19</v>
      </c>
      <c r="N272" t="s">
        <v>98</v>
      </c>
      <c r="O272" t="s">
        <v>29</v>
      </c>
      <c r="P272" t="s">
        <v>81</v>
      </c>
      <c r="Q272" t="s">
        <v>643</v>
      </c>
      <c r="R272" s="3">
        <v>232.73</v>
      </c>
      <c r="S272" s="3">
        <v>334.19</v>
      </c>
      <c r="T272" s="3">
        <f t="shared" si="65"/>
        <v>334.19</v>
      </c>
      <c r="U272" s="3">
        <f>(1+'10. Whatif Control pannel'!$B$6)*T272</f>
        <v>374.2928</v>
      </c>
      <c r="V272" s="3" t="str">
        <f t="shared" si="66"/>
        <v>Low</v>
      </c>
      <c r="W272" s="34">
        <v>0.134</v>
      </c>
      <c r="X272" s="24" t="str">
        <f t="shared" si="67"/>
        <v>Okay</v>
      </c>
      <c r="Y272" s="36">
        <f>IF(W272&lt;=0.25,W272,'10. Whatif Control pannel'!$B$2)</f>
        <v>0.134</v>
      </c>
      <c r="Z272" s="24">
        <v>25</v>
      </c>
      <c r="AA272" s="13">
        <f>(1+'10. Whatif Control pannel'!$B$10)*Z272</f>
        <v>30</v>
      </c>
      <c r="AB272" s="3">
        <f t="shared" si="68"/>
        <v>7235.2135</v>
      </c>
      <c r="AC272" s="3">
        <f t="shared" si="73"/>
        <v>9724.126944</v>
      </c>
      <c r="AD272" s="3">
        <f t="shared" si="69"/>
        <v>5818.25</v>
      </c>
      <c r="AE272" s="3">
        <f t="shared" si="70"/>
        <v>1416.9635</v>
      </c>
      <c r="AF272" s="3">
        <f t="shared" si="74"/>
        <v>3905.876944</v>
      </c>
      <c r="AG272">
        <f t="shared" si="71"/>
        <v>0.195842665872956</v>
      </c>
    </row>
    <row r="273" spans="1:33">
      <c r="A273" t="s">
        <v>644</v>
      </c>
      <c r="B273" s="20">
        <v>45707</v>
      </c>
      <c r="C273" s="2">
        <f t="shared" si="60"/>
        <v>2</v>
      </c>
      <c r="D273" s="21">
        <f t="shared" si="72"/>
        <v>45707</v>
      </c>
      <c r="E273" s="19" t="str">
        <f t="shared" si="61"/>
        <v>Quarter 1</v>
      </c>
      <c r="F273" s="19">
        <v>45725</v>
      </c>
      <c r="G273" s="19">
        <f t="shared" si="62"/>
        <v>45725</v>
      </c>
      <c r="H273" s="22">
        <f t="shared" si="63"/>
        <v>18</v>
      </c>
      <c r="I273" t="str">
        <f t="shared" si="64"/>
        <v>Delayed </v>
      </c>
      <c r="J273" t="s">
        <v>45</v>
      </c>
      <c r="K273" t="s">
        <v>60</v>
      </c>
      <c r="L273" t="s">
        <v>141</v>
      </c>
      <c r="M273" t="s">
        <v>62</v>
      </c>
      <c r="N273" t="s">
        <v>98</v>
      </c>
      <c r="O273" t="s">
        <v>68</v>
      </c>
      <c r="P273" t="s">
        <v>64</v>
      </c>
      <c r="Q273" t="s">
        <v>645</v>
      </c>
      <c r="R273" s="3">
        <v>325.87</v>
      </c>
      <c r="S273" s="3">
        <v>538.79</v>
      </c>
      <c r="T273" s="3">
        <f t="shared" si="65"/>
        <v>538.79</v>
      </c>
      <c r="U273" s="3">
        <f>(1+'10. Whatif Control pannel'!$B$6)*T273</f>
        <v>603.4448</v>
      </c>
      <c r="V273" s="3" t="str">
        <f t="shared" si="66"/>
        <v>Low</v>
      </c>
      <c r="W273" s="34">
        <v>0.174</v>
      </c>
      <c r="X273" s="24" t="str">
        <f t="shared" si="67"/>
        <v>Okay</v>
      </c>
      <c r="Y273" s="36">
        <f>IF(W273&lt;=0.25,W273,'10. Whatif Control pannel'!$B$2)</f>
        <v>0.174</v>
      </c>
      <c r="Z273" s="24">
        <v>16</v>
      </c>
      <c r="AA273" s="13">
        <f>(1+'10. Whatif Control pannel'!$B$10)*Z273</f>
        <v>19.2</v>
      </c>
      <c r="AB273" s="3">
        <f t="shared" si="68"/>
        <v>7120.64864</v>
      </c>
      <c r="AC273" s="3">
        <f t="shared" si="73"/>
        <v>9570.15177216</v>
      </c>
      <c r="AD273" s="3">
        <f t="shared" si="69"/>
        <v>5213.92</v>
      </c>
      <c r="AE273" s="3">
        <f t="shared" si="70"/>
        <v>1906.72864</v>
      </c>
      <c r="AF273" s="3">
        <f t="shared" si="74"/>
        <v>4356.23177216</v>
      </c>
      <c r="AG273">
        <f t="shared" si="71"/>
        <v>0.26777457172778</v>
      </c>
    </row>
    <row r="274" spans="1:33">
      <c r="A274" t="s">
        <v>646</v>
      </c>
      <c r="B274" s="20">
        <v>45382</v>
      </c>
      <c r="C274" s="2">
        <f t="shared" si="60"/>
        <v>3</v>
      </c>
      <c r="D274" s="21">
        <f t="shared" si="72"/>
        <v>45382</v>
      </c>
      <c r="E274" s="19" t="str">
        <f t="shared" si="61"/>
        <v>Quarter 1</v>
      </c>
      <c r="F274" s="19">
        <v>45399</v>
      </c>
      <c r="G274" s="19">
        <f t="shared" si="62"/>
        <v>45399</v>
      </c>
      <c r="H274" s="22">
        <f t="shared" si="63"/>
        <v>17</v>
      </c>
      <c r="I274" t="str">
        <f t="shared" si="64"/>
        <v>Delayed </v>
      </c>
      <c r="J274" t="s">
        <v>78</v>
      </c>
      <c r="K274" t="s">
        <v>79</v>
      </c>
      <c r="L274" t="s">
        <v>335</v>
      </c>
      <c r="M274" t="s">
        <v>27</v>
      </c>
      <c r="N274" t="s">
        <v>98</v>
      </c>
      <c r="O274" t="s">
        <v>92</v>
      </c>
      <c r="P274" t="s">
        <v>64</v>
      </c>
      <c r="Q274" t="s">
        <v>647</v>
      </c>
      <c r="R274" s="3">
        <v>1025.51</v>
      </c>
      <c r="S274" s="3">
        <v>1436.54</v>
      </c>
      <c r="T274" s="3">
        <f t="shared" si="65"/>
        <v>1436.54</v>
      </c>
      <c r="U274" s="3">
        <f>(1+'10. Whatif Control pannel'!$B$6)*T274</f>
        <v>1608.9248</v>
      </c>
      <c r="V274" s="3" t="str">
        <f t="shared" si="66"/>
        <v>Medium</v>
      </c>
      <c r="W274" s="34">
        <v>0.139</v>
      </c>
      <c r="X274" s="24" t="str">
        <f t="shared" si="67"/>
        <v>Okay</v>
      </c>
      <c r="Y274" s="36">
        <f>IF(W274&lt;=0.25,W274,'10. Whatif Control pannel'!$B$2)</f>
        <v>0.139</v>
      </c>
      <c r="Z274" s="24">
        <v>28</v>
      </c>
      <c r="AA274" s="13">
        <f>(1+'10. Whatif Control pannel'!$B$10)*Z274</f>
        <v>33.6</v>
      </c>
      <c r="AB274" s="3">
        <f t="shared" si="68"/>
        <v>34632.10632</v>
      </c>
      <c r="AC274" s="3">
        <f t="shared" si="73"/>
        <v>46545.55089408</v>
      </c>
      <c r="AD274" s="3">
        <f t="shared" si="69"/>
        <v>28714.28</v>
      </c>
      <c r="AE274" s="3">
        <f t="shared" si="70"/>
        <v>5917.82632</v>
      </c>
      <c r="AF274" s="3">
        <f t="shared" si="74"/>
        <v>17831.27089408</v>
      </c>
      <c r="AG274">
        <f t="shared" si="71"/>
        <v>0.170876881276565</v>
      </c>
    </row>
    <row r="275" spans="1:33">
      <c r="A275" t="s">
        <v>648</v>
      </c>
      <c r="B275" s="20">
        <v>45131</v>
      </c>
      <c r="C275" s="2">
        <f t="shared" si="60"/>
        <v>7</v>
      </c>
      <c r="D275" s="21">
        <f t="shared" si="72"/>
        <v>45131</v>
      </c>
      <c r="E275" s="19" t="str">
        <f t="shared" si="61"/>
        <v>Quarter 3</v>
      </c>
      <c r="F275" s="19">
        <v>45151</v>
      </c>
      <c r="G275" s="19">
        <f t="shared" si="62"/>
        <v>45151</v>
      </c>
      <c r="H275" s="22">
        <f t="shared" si="63"/>
        <v>20</v>
      </c>
      <c r="I275" t="str">
        <f t="shared" si="64"/>
        <v>Delayed </v>
      </c>
      <c r="J275" t="s">
        <v>52</v>
      </c>
      <c r="K275" t="s">
        <v>53</v>
      </c>
      <c r="L275" t="s">
        <v>144</v>
      </c>
      <c r="M275" t="s">
        <v>27</v>
      </c>
      <c r="N275" t="s">
        <v>98</v>
      </c>
      <c r="O275" t="s">
        <v>21</v>
      </c>
      <c r="P275" t="s">
        <v>64</v>
      </c>
      <c r="Q275" t="s">
        <v>649</v>
      </c>
      <c r="R275" s="3">
        <v>1082.38</v>
      </c>
      <c r="S275" s="3">
        <v>1766.55</v>
      </c>
      <c r="T275" s="3">
        <f t="shared" si="65"/>
        <v>1766.55</v>
      </c>
      <c r="U275" s="3">
        <f>(1+'10. Whatif Control pannel'!$B$6)*T275</f>
        <v>1978.536</v>
      </c>
      <c r="V275" s="3" t="str">
        <f t="shared" si="66"/>
        <v>High</v>
      </c>
      <c r="W275" s="34">
        <v>0.164</v>
      </c>
      <c r="X275" s="24" t="str">
        <f t="shared" si="67"/>
        <v>Okay</v>
      </c>
      <c r="Y275" s="36">
        <f>IF(W275&lt;=0.25,W275,'10. Whatif Control pannel'!$B$2)</f>
        <v>0.164</v>
      </c>
      <c r="Z275" s="24">
        <v>20</v>
      </c>
      <c r="AA275" s="13">
        <f>(1+'10. Whatif Control pannel'!$B$10)*Z275</f>
        <v>24</v>
      </c>
      <c r="AB275" s="3">
        <f t="shared" si="68"/>
        <v>29536.716</v>
      </c>
      <c r="AC275" s="3">
        <f t="shared" si="73"/>
        <v>39697.346304</v>
      </c>
      <c r="AD275" s="3">
        <f t="shared" si="69"/>
        <v>21647.6</v>
      </c>
      <c r="AE275" s="3">
        <f t="shared" si="70"/>
        <v>7889.116</v>
      </c>
      <c r="AF275" s="3">
        <f t="shared" si="74"/>
        <v>18049.746304</v>
      </c>
      <c r="AG275">
        <f t="shared" si="71"/>
        <v>0.267095231575508</v>
      </c>
    </row>
    <row r="276" spans="1:33">
      <c r="A276" t="s">
        <v>650</v>
      </c>
      <c r="B276" s="20">
        <v>45367</v>
      </c>
      <c r="C276" s="2">
        <f t="shared" si="60"/>
        <v>3</v>
      </c>
      <c r="D276" s="21">
        <f t="shared" si="72"/>
        <v>45367</v>
      </c>
      <c r="E276" s="19" t="str">
        <f t="shared" si="61"/>
        <v>Quarter 1</v>
      </c>
      <c r="F276" s="19">
        <v>45395</v>
      </c>
      <c r="G276" s="19">
        <f t="shared" si="62"/>
        <v>45395</v>
      </c>
      <c r="H276" s="22">
        <f t="shared" si="63"/>
        <v>28</v>
      </c>
      <c r="I276" t="str">
        <f t="shared" si="64"/>
        <v>Delayed </v>
      </c>
      <c r="J276" t="s">
        <v>78</v>
      </c>
      <c r="K276" t="s">
        <v>90</v>
      </c>
      <c r="L276" t="s">
        <v>217</v>
      </c>
      <c r="M276" t="s">
        <v>62</v>
      </c>
      <c r="N276" t="s">
        <v>28</v>
      </c>
      <c r="O276" t="s">
        <v>95</v>
      </c>
      <c r="P276" t="s">
        <v>30</v>
      </c>
      <c r="Q276" t="s">
        <v>651</v>
      </c>
      <c r="R276" s="3">
        <v>287.61</v>
      </c>
      <c r="S276" s="3">
        <v>628.54</v>
      </c>
      <c r="T276" s="3">
        <f t="shared" si="65"/>
        <v>628.54</v>
      </c>
      <c r="U276" s="3">
        <f>(1+'10. Whatif Control pannel'!$B$6)*T276</f>
        <v>703.9648</v>
      </c>
      <c r="V276" s="3" t="str">
        <f t="shared" si="66"/>
        <v>Low</v>
      </c>
      <c r="W276" s="34">
        <v>0.135</v>
      </c>
      <c r="X276" s="24" t="str">
        <f t="shared" si="67"/>
        <v>Okay</v>
      </c>
      <c r="Y276" s="36">
        <f>IF(W276&lt;=0.25,W276,'10. Whatif Control pannel'!$B$2)</f>
        <v>0.135</v>
      </c>
      <c r="Z276" s="24">
        <v>21</v>
      </c>
      <c r="AA276" s="13">
        <f>(1+'10. Whatif Control pannel'!$B$10)*Z276</f>
        <v>25.2</v>
      </c>
      <c r="AB276" s="3">
        <f t="shared" si="68"/>
        <v>11417.4291</v>
      </c>
      <c r="AC276" s="3">
        <f t="shared" si="73"/>
        <v>15345.0247104</v>
      </c>
      <c r="AD276" s="3">
        <f t="shared" si="69"/>
        <v>6039.81</v>
      </c>
      <c r="AE276" s="3">
        <f t="shared" si="70"/>
        <v>5377.6191</v>
      </c>
      <c r="AF276" s="3">
        <f t="shared" si="74"/>
        <v>9305.2147104</v>
      </c>
      <c r="AG276">
        <f t="shared" si="71"/>
        <v>0.471000875319646</v>
      </c>
    </row>
    <row r="277" spans="1:33">
      <c r="A277" t="s">
        <v>652</v>
      </c>
      <c r="B277" s="20">
        <v>45316</v>
      </c>
      <c r="C277" s="2">
        <f t="shared" si="60"/>
        <v>1</v>
      </c>
      <c r="D277" s="21">
        <f t="shared" si="72"/>
        <v>45316</v>
      </c>
      <c r="E277" s="19" t="str">
        <f t="shared" si="61"/>
        <v>Quarter 1</v>
      </c>
      <c r="F277" s="19">
        <v>45318</v>
      </c>
      <c r="G277" s="19">
        <f t="shared" si="62"/>
        <v>45318</v>
      </c>
      <c r="H277" s="22">
        <f t="shared" si="63"/>
        <v>2</v>
      </c>
      <c r="I277" t="str">
        <f t="shared" si="64"/>
        <v>Ontime</v>
      </c>
      <c r="J277" t="s">
        <v>52</v>
      </c>
      <c r="K277" t="s">
        <v>73</v>
      </c>
      <c r="L277" t="s">
        <v>74</v>
      </c>
      <c r="M277" t="s">
        <v>39</v>
      </c>
      <c r="N277" t="s">
        <v>40</v>
      </c>
      <c r="O277" t="s">
        <v>126</v>
      </c>
      <c r="P277" t="s">
        <v>57</v>
      </c>
      <c r="Q277" t="s">
        <v>653</v>
      </c>
      <c r="R277" s="3">
        <v>1410.97</v>
      </c>
      <c r="S277" s="3">
        <v>1650.75</v>
      </c>
      <c r="T277" s="3">
        <f t="shared" si="65"/>
        <v>1650.75</v>
      </c>
      <c r="U277" s="3">
        <f>(1+'10. Whatif Control pannel'!$B$6)*T277</f>
        <v>1848.84</v>
      </c>
      <c r="V277" s="3" t="str">
        <f t="shared" si="66"/>
        <v>High</v>
      </c>
      <c r="W277" s="34">
        <v>0.135</v>
      </c>
      <c r="X277" s="24" t="str">
        <f t="shared" si="67"/>
        <v>Okay</v>
      </c>
      <c r="Y277" s="36">
        <f>IF(W277&lt;=0.25,W277,'10. Whatif Control pannel'!$B$2)</f>
        <v>0.135</v>
      </c>
      <c r="Z277" s="24">
        <v>6</v>
      </c>
      <c r="AA277" s="13">
        <f>(1+'10. Whatif Control pannel'!$B$10)*Z277</f>
        <v>7.2</v>
      </c>
      <c r="AB277" s="3">
        <f t="shared" si="68"/>
        <v>8567.3925</v>
      </c>
      <c r="AC277" s="3">
        <f t="shared" si="73"/>
        <v>11514.57552</v>
      </c>
      <c r="AD277" s="3">
        <f t="shared" si="69"/>
        <v>8465.82</v>
      </c>
      <c r="AE277" s="3">
        <f t="shared" si="70"/>
        <v>101.5725</v>
      </c>
      <c r="AF277" s="3">
        <f t="shared" si="74"/>
        <v>3048.75552</v>
      </c>
      <c r="AG277">
        <f t="shared" si="71"/>
        <v>0.0118557075562956</v>
      </c>
    </row>
    <row r="278" spans="1:33">
      <c r="A278" t="s">
        <v>654</v>
      </c>
      <c r="B278" s="20">
        <v>45378</v>
      </c>
      <c r="C278" s="2">
        <f t="shared" si="60"/>
        <v>3</v>
      </c>
      <c r="D278" s="21">
        <f t="shared" si="72"/>
        <v>45378</v>
      </c>
      <c r="E278" s="19" t="str">
        <f t="shared" si="61"/>
        <v>Quarter 1</v>
      </c>
      <c r="F278" s="19">
        <v>45393</v>
      </c>
      <c r="G278" s="19">
        <f t="shared" si="62"/>
        <v>45393</v>
      </c>
      <c r="H278" s="22">
        <f t="shared" si="63"/>
        <v>15</v>
      </c>
      <c r="I278" t="str">
        <f t="shared" si="64"/>
        <v>Delayed </v>
      </c>
      <c r="J278" t="s">
        <v>52</v>
      </c>
      <c r="K278" t="s">
        <v>122</v>
      </c>
      <c r="L278" t="s">
        <v>167</v>
      </c>
      <c r="M278" t="s">
        <v>62</v>
      </c>
      <c r="N278" t="s">
        <v>98</v>
      </c>
      <c r="O278" t="s">
        <v>68</v>
      </c>
      <c r="P278" t="s">
        <v>35</v>
      </c>
      <c r="Q278" t="s">
        <v>655</v>
      </c>
      <c r="R278" s="3">
        <v>1338.35</v>
      </c>
      <c r="S278" s="3">
        <v>2247.14</v>
      </c>
      <c r="T278" s="3">
        <f t="shared" si="65"/>
        <v>2247.14</v>
      </c>
      <c r="U278" s="3">
        <f>(1+'10. Whatif Control pannel'!$B$6)*T278</f>
        <v>2516.7968</v>
      </c>
      <c r="V278" s="3" t="str">
        <f t="shared" si="66"/>
        <v>High</v>
      </c>
      <c r="W278" s="34">
        <v>0.115</v>
      </c>
      <c r="X278" s="24" t="str">
        <f t="shared" si="67"/>
        <v>Okay</v>
      </c>
      <c r="Y278" s="36">
        <f>IF(W278&lt;=0.25,W278,'10. Whatif Control pannel'!$B$2)</f>
        <v>0.115</v>
      </c>
      <c r="Z278" s="24">
        <v>40</v>
      </c>
      <c r="AA278" s="13">
        <f>(1+'10. Whatif Control pannel'!$B$10)*Z278</f>
        <v>48</v>
      </c>
      <c r="AB278" s="3">
        <f t="shared" si="68"/>
        <v>79548.756</v>
      </c>
      <c r="AC278" s="3">
        <f t="shared" si="73"/>
        <v>106913.528064</v>
      </c>
      <c r="AD278" s="3">
        <f t="shared" si="69"/>
        <v>53534</v>
      </c>
      <c r="AE278" s="3">
        <f t="shared" si="70"/>
        <v>26014.756</v>
      </c>
      <c r="AF278" s="3">
        <f t="shared" si="74"/>
        <v>53379.528064</v>
      </c>
      <c r="AG278">
        <f t="shared" si="71"/>
        <v>0.327029073842462</v>
      </c>
    </row>
    <row r="279" spans="1:33">
      <c r="A279" t="s">
        <v>656</v>
      </c>
      <c r="B279" s="20">
        <v>45832</v>
      </c>
      <c r="C279" s="2">
        <f t="shared" si="60"/>
        <v>6</v>
      </c>
      <c r="D279" s="21">
        <f t="shared" si="72"/>
        <v>45832</v>
      </c>
      <c r="E279" s="19" t="str">
        <f t="shared" si="61"/>
        <v>Quarter 2</v>
      </c>
      <c r="F279" s="19">
        <v>45852</v>
      </c>
      <c r="G279" s="19">
        <f t="shared" si="62"/>
        <v>45852</v>
      </c>
      <c r="H279" s="22">
        <f t="shared" si="63"/>
        <v>20</v>
      </c>
      <c r="I279" t="str">
        <f t="shared" si="64"/>
        <v>Delayed </v>
      </c>
      <c r="J279" t="s">
        <v>78</v>
      </c>
      <c r="K279" t="s">
        <v>79</v>
      </c>
      <c r="L279" t="s">
        <v>80</v>
      </c>
      <c r="M279" t="s">
        <v>19</v>
      </c>
      <c r="N279" t="s">
        <v>98</v>
      </c>
      <c r="O279" t="s">
        <v>68</v>
      </c>
      <c r="P279" t="s">
        <v>81</v>
      </c>
      <c r="Q279" t="s">
        <v>657</v>
      </c>
      <c r="R279" s="3">
        <v>385.08</v>
      </c>
      <c r="S279" s="3">
        <v>893.19</v>
      </c>
      <c r="T279" s="3">
        <f t="shared" si="65"/>
        <v>893.19</v>
      </c>
      <c r="U279" s="3">
        <f>(1+'10. Whatif Control pannel'!$B$6)*T279</f>
        <v>1000.3728</v>
      </c>
      <c r="V279" s="3" t="str">
        <f t="shared" si="66"/>
        <v>Medium</v>
      </c>
      <c r="W279" s="34">
        <v>0.151</v>
      </c>
      <c r="X279" s="24" t="str">
        <f t="shared" si="67"/>
        <v>Okay</v>
      </c>
      <c r="Y279" s="36">
        <f>IF(W279&lt;=0.25,W279,'10. Whatif Control pannel'!$B$2)</f>
        <v>0.151</v>
      </c>
      <c r="Z279" s="24">
        <v>8</v>
      </c>
      <c r="AA279" s="13">
        <f>(1+'10. Whatif Control pannel'!$B$10)*Z279</f>
        <v>9.6</v>
      </c>
      <c r="AB279" s="3">
        <f t="shared" si="68"/>
        <v>6066.54648</v>
      </c>
      <c r="AC279" s="3">
        <f t="shared" si="73"/>
        <v>8153.43846912</v>
      </c>
      <c r="AD279" s="3">
        <f t="shared" si="69"/>
        <v>3080.64</v>
      </c>
      <c r="AE279" s="3">
        <f t="shared" si="70"/>
        <v>2985.90648</v>
      </c>
      <c r="AF279" s="3">
        <f t="shared" si="74"/>
        <v>5072.79846912</v>
      </c>
      <c r="AG279">
        <f t="shared" si="71"/>
        <v>0.492192137626217</v>
      </c>
    </row>
    <row r="280" spans="1:33">
      <c r="A280" t="s">
        <v>658</v>
      </c>
      <c r="B280" s="20">
        <v>45459</v>
      </c>
      <c r="C280" s="2">
        <f t="shared" si="60"/>
        <v>6</v>
      </c>
      <c r="D280" s="21">
        <f t="shared" si="72"/>
        <v>45459</v>
      </c>
      <c r="E280" s="19" t="str">
        <f t="shared" si="61"/>
        <v>Quarter 2</v>
      </c>
      <c r="F280" s="19">
        <v>45476</v>
      </c>
      <c r="G280" s="19">
        <f t="shared" si="62"/>
        <v>45476</v>
      </c>
      <c r="H280" s="22">
        <f t="shared" si="63"/>
        <v>17</v>
      </c>
      <c r="I280" t="str">
        <f t="shared" si="64"/>
        <v>Delayed </v>
      </c>
      <c r="J280" t="s">
        <v>16</v>
      </c>
      <c r="K280" t="s">
        <v>148</v>
      </c>
      <c r="L280" t="s">
        <v>149</v>
      </c>
      <c r="M280" t="s">
        <v>105</v>
      </c>
      <c r="N280" t="s">
        <v>40</v>
      </c>
      <c r="O280" t="s">
        <v>84</v>
      </c>
      <c r="P280" t="s">
        <v>42</v>
      </c>
      <c r="Q280" t="s">
        <v>659</v>
      </c>
      <c r="R280" s="3">
        <v>1173.83</v>
      </c>
      <c r="S280" s="3">
        <v>2328.9</v>
      </c>
      <c r="T280" s="3">
        <f t="shared" si="65"/>
        <v>2328.9</v>
      </c>
      <c r="U280" s="3">
        <f>(1+'10. Whatif Control pannel'!$B$6)*T280</f>
        <v>2608.368</v>
      </c>
      <c r="V280" s="3" t="str">
        <f t="shared" si="66"/>
        <v>High</v>
      </c>
      <c r="W280" s="34">
        <v>0.12</v>
      </c>
      <c r="X280" s="24" t="str">
        <f t="shared" si="67"/>
        <v>Okay</v>
      </c>
      <c r="Y280" s="36">
        <f>IF(W280&lt;=0.25,W280,'10. Whatif Control pannel'!$B$2)</f>
        <v>0.12</v>
      </c>
      <c r="Z280" s="24">
        <v>17</v>
      </c>
      <c r="AA280" s="13">
        <f>(1+'10. Whatif Control pannel'!$B$10)*Z280</f>
        <v>20.4</v>
      </c>
      <c r="AB280" s="3">
        <f t="shared" si="68"/>
        <v>34840.344</v>
      </c>
      <c r="AC280" s="3">
        <f t="shared" si="73"/>
        <v>46825.422336</v>
      </c>
      <c r="AD280" s="3">
        <f t="shared" si="69"/>
        <v>19955.11</v>
      </c>
      <c r="AE280" s="3">
        <f t="shared" si="70"/>
        <v>14885.234</v>
      </c>
      <c r="AF280" s="3">
        <f t="shared" si="74"/>
        <v>26870.312336</v>
      </c>
      <c r="AG280">
        <f t="shared" si="71"/>
        <v>0.427241303932016</v>
      </c>
    </row>
    <row r="281" spans="1:33">
      <c r="A281" t="s">
        <v>660</v>
      </c>
      <c r="B281" s="20">
        <v>45229</v>
      </c>
      <c r="C281" s="2">
        <f t="shared" si="60"/>
        <v>10</v>
      </c>
      <c r="D281" s="21">
        <f t="shared" si="72"/>
        <v>45229</v>
      </c>
      <c r="E281" s="19" t="str">
        <f t="shared" si="61"/>
        <v>Quarter 4</v>
      </c>
      <c r="F281" s="19">
        <v>45244</v>
      </c>
      <c r="G281" s="19">
        <f t="shared" si="62"/>
        <v>45244</v>
      </c>
      <c r="H281" s="22">
        <f t="shared" si="63"/>
        <v>15</v>
      </c>
      <c r="I281" t="str">
        <f t="shared" si="64"/>
        <v>Delayed </v>
      </c>
      <c r="J281" t="s">
        <v>45</v>
      </c>
      <c r="K281" t="s">
        <v>60</v>
      </c>
      <c r="L281" t="s">
        <v>61</v>
      </c>
      <c r="M281" t="s">
        <v>19</v>
      </c>
      <c r="N281" t="s">
        <v>28</v>
      </c>
      <c r="O281" t="s">
        <v>84</v>
      </c>
      <c r="P281" t="s">
        <v>57</v>
      </c>
      <c r="Q281" t="s">
        <v>661</v>
      </c>
      <c r="R281" s="3">
        <v>953.46</v>
      </c>
      <c r="S281" s="3">
        <v>2066.75</v>
      </c>
      <c r="T281" s="3">
        <f t="shared" si="65"/>
        <v>2066.75</v>
      </c>
      <c r="U281" s="3">
        <f>(1+'10. Whatif Control pannel'!$B$6)*T281</f>
        <v>2314.76</v>
      </c>
      <c r="V281" s="3" t="str">
        <f t="shared" si="66"/>
        <v>High</v>
      </c>
      <c r="W281" s="34">
        <v>0.138</v>
      </c>
      <c r="X281" s="24" t="str">
        <f t="shared" si="67"/>
        <v>Okay</v>
      </c>
      <c r="Y281" s="36">
        <f>IF(W281&lt;=0.25,W281,'10. Whatif Control pannel'!$B$2)</f>
        <v>0.138</v>
      </c>
      <c r="Z281" s="24">
        <v>5</v>
      </c>
      <c r="AA281" s="13">
        <f>(1+'10. Whatif Control pannel'!$B$10)*Z281</f>
        <v>6</v>
      </c>
      <c r="AB281" s="3">
        <f t="shared" si="68"/>
        <v>8907.6925</v>
      </c>
      <c r="AC281" s="3">
        <f t="shared" si="73"/>
        <v>11971.93872</v>
      </c>
      <c r="AD281" s="3">
        <f t="shared" si="69"/>
        <v>4767.3</v>
      </c>
      <c r="AE281" s="3">
        <f t="shared" si="70"/>
        <v>4140.3925</v>
      </c>
      <c r="AF281" s="3">
        <f t="shared" si="74"/>
        <v>7204.63872</v>
      </c>
      <c r="AG281">
        <f t="shared" si="71"/>
        <v>0.464810892383184</v>
      </c>
    </row>
    <row r="282" spans="1:33">
      <c r="A282" t="s">
        <v>662</v>
      </c>
      <c r="B282" s="20">
        <v>45092</v>
      </c>
      <c r="C282" s="2">
        <f t="shared" si="60"/>
        <v>6</v>
      </c>
      <c r="D282" s="21">
        <f t="shared" si="72"/>
        <v>45092</v>
      </c>
      <c r="E282" s="19" t="str">
        <f t="shared" si="61"/>
        <v>Quarter 2</v>
      </c>
      <c r="F282" s="19">
        <v>45100</v>
      </c>
      <c r="G282" s="19">
        <f t="shared" si="62"/>
        <v>45100</v>
      </c>
      <c r="H282" s="22">
        <f t="shared" si="63"/>
        <v>8</v>
      </c>
      <c r="I282" t="str">
        <f t="shared" si="64"/>
        <v>Delayed </v>
      </c>
      <c r="J282" t="s">
        <v>52</v>
      </c>
      <c r="K282" t="s">
        <v>122</v>
      </c>
      <c r="L282" t="s">
        <v>167</v>
      </c>
      <c r="M282" t="s">
        <v>48</v>
      </c>
      <c r="N282" t="s">
        <v>55</v>
      </c>
      <c r="O282" t="s">
        <v>68</v>
      </c>
      <c r="P282" t="s">
        <v>64</v>
      </c>
      <c r="Q282" t="s">
        <v>663</v>
      </c>
      <c r="R282" s="3">
        <v>1097.09</v>
      </c>
      <c r="S282" s="3">
        <v>2182.31</v>
      </c>
      <c r="T282" s="3">
        <f t="shared" si="65"/>
        <v>2182.31</v>
      </c>
      <c r="U282" s="3">
        <f>(1+'10. Whatif Control pannel'!$B$6)*T282</f>
        <v>2444.1872</v>
      </c>
      <c r="V282" s="3" t="str">
        <f t="shared" si="66"/>
        <v>High</v>
      </c>
      <c r="W282" s="34">
        <v>0.112</v>
      </c>
      <c r="X282" s="24" t="str">
        <f t="shared" si="67"/>
        <v>Okay</v>
      </c>
      <c r="Y282" s="36">
        <f>IF(W282&lt;=0.25,W282,'10. Whatif Control pannel'!$B$2)</f>
        <v>0.112</v>
      </c>
      <c r="Z282" s="24">
        <v>9</v>
      </c>
      <c r="AA282" s="13">
        <f>(1+'10. Whatif Control pannel'!$B$10)*Z282</f>
        <v>10.8</v>
      </c>
      <c r="AB282" s="3">
        <f t="shared" si="68"/>
        <v>17441.02152</v>
      </c>
      <c r="AC282" s="3">
        <f t="shared" si="73"/>
        <v>23440.73292288</v>
      </c>
      <c r="AD282" s="3">
        <f t="shared" si="69"/>
        <v>9873.81</v>
      </c>
      <c r="AE282" s="3">
        <f t="shared" si="70"/>
        <v>7567.21152</v>
      </c>
      <c r="AF282" s="3">
        <f t="shared" si="74"/>
        <v>13566.92292288</v>
      </c>
      <c r="AG282">
        <f t="shared" si="71"/>
        <v>0.433874329626995</v>
      </c>
    </row>
    <row r="283" spans="1:33">
      <c r="A283" t="s">
        <v>664</v>
      </c>
      <c r="B283" s="20">
        <v>45730</v>
      </c>
      <c r="C283" s="2">
        <f t="shared" si="60"/>
        <v>3</v>
      </c>
      <c r="D283" s="21">
        <f t="shared" si="72"/>
        <v>45730</v>
      </c>
      <c r="E283" s="19" t="str">
        <f t="shared" si="61"/>
        <v>Quarter 1</v>
      </c>
      <c r="F283" s="19">
        <v>45745</v>
      </c>
      <c r="G283" s="19">
        <f t="shared" si="62"/>
        <v>45745</v>
      </c>
      <c r="H283" s="22">
        <f t="shared" si="63"/>
        <v>15</v>
      </c>
      <c r="I283" t="str">
        <f t="shared" si="64"/>
        <v>Delayed </v>
      </c>
      <c r="J283" t="s">
        <v>45</v>
      </c>
      <c r="K283" t="s">
        <v>46</v>
      </c>
      <c r="L283" t="s">
        <v>214</v>
      </c>
      <c r="M283" t="s">
        <v>39</v>
      </c>
      <c r="N283" t="s">
        <v>98</v>
      </c>
      <c r="O283" t="s">
        <v>92</v>
      </c>
      <c r="P283" t="s">
        <v>35</v>
      </c>
      <c r="Q283" t="s">
        <v>665</v>
      </c>
      <c r="R283" s="3">
        <v>1106.96</v>
      </c>
      <c r="S283" s="3">
        <v>2726.62</v>
      </c>
      <c r="T283" s="3">
        <f t="shared" si="65"/>
        <v>2726.62</v>
      </c>
      <c r="U283" s="3">
        <f>(1+'10. Whatif Control pannel'!$B$6)*T283</f>
        <v>3053.8144</v>
      </c>
      <c r="V283" s="3" t="str">
        <f t="shared" si="66"/>
        <v>High</v>
      </c>
      <c r="W283" s="34">
        <v>0.317</v>
      </c>
      <c r="X283" s="24" t="str">
        <f t="shared" si="67"/>
        <v>High Discount</v>
      </c>
      <c r="Y283" s="36">
        <f>IF(W283&lt;=0.25,W283,'10. Whatif Control pannel'!$B$2)</f>
        <v>0.23</v>
      </c>
      <c r="Z283" s="24">
        <v>7</v>
      </c>
      <c r="AA283" s="13">
        <f>(1+'10. Whatif Control pannel'!$B$10)*Z283</f>
        <v>8.4</v>
      </c>
      <c r="AB283" s="3">
        <f t="shared" si="68"/>
        <v>13035.97022</v>
      </c>
      <c r="AC283" s="3">
        <f t="shared" si="73"/>
        <v>19752.0715392</v>
      </c>
      <c r="AD283" s="3">
        <f t="shared" si="69"/>
        <v>7748.72</v>
      </c>
      <c r="AE283" s="3">
        <f t="shared" si="70"/>
        <v>5287.25022</v>
      </c>
      <c r="AF283" s="3">
        <f t="shared" si="74"/>
        <v>12003.3515392</v>
      </c>
      <c r="AG283">
        <f t="shared" si="71"/>
        <v>0.405589314087893</v>
      </c>
    </row>
    <row r="284" spans="1:33">
      <c r="A284" t="s">
        <v>666</v>
      </c>
      <c r="B284" s="20">
        <v>45153</v>
      </c>
      <c r="C284" s="2">
        <f t="shared" si="60"/>
        <v>8</v>
      </c>
      <c r="D284" s="21">
        <f t="shared" si="72"/>
        <v>45153</v>
      </c>
      <c r="E284" s="19" t="str">
        <f t="shared" si="61"/>
        <v>Quarter 3</v>
      </c>
      <c r="F284" s="19">
        <v>45163</v>
      </c>
      <c r="G284" s="19">
        <f t="shared" si="62"/>
        <v>45163</v>
      </c>
      <c r="H284" s="22">
        <f t="shared" si="63"/>
        <v>10</v>
      </c>
      <c r="I284" t="str">
        <f t="shared" si="64"/>
        <v>Delayed </v>
      </c>
      <c r="J284" t="s">
        <v>16</v>
      </c>
      <c r="K284" t="s">
        <v>17</v>
      </c>
      <c r="L284" t="s">
        <v>33</v>
      </c>
      <c r="M284" t="s">
        <v>62</v>
      </c>
      <c r="N284" t="s">
        <v>20</v>
      </c>
      <c r="O284" t="s">
        <v>126</v>
      </c>
      <c r="P284" t="s">
        <v>42</v>
      </c>
      <c r="Q284" t="s">
        <v>667</v>
      </c>
      <c r="R284" s="3">
        <v>91.85</v>
      </c>
      <c r="S284" s="3">
        <v>111.29</v>
      </c>
      <c r="T284" s="3">
        <f t="shared" si="65"/>
        <v>111.29</v>
      </c>
      <c r="U284" s="3">
        <f>(1+'10. Whatif Control pannel'!$B$6)*T284</f>
        <v>124.6448</v>
      </c>
      <c r="V284" s="3" t="str">
        <f t="shared" si="66"/>
        <v>Low</v>
      </c>
      <c r="W284" s="34">
        <v>0</v>
      </c>
      <c r="X284" s="24" t="str">
        <f t="shared" si="67"/>
        <v>Okay</v>
      </c>
      <c r="Y284" s="36">
        <f>IF(W284&lt;=0.25,W284,'10. Whatif Control pannel'!$B$2)</f>
        <v>0</v>
      </c>
      <c r="Z284" s="24">
        <v>6</v>
      </c>
      <c r="AA284" s="13">
        <f>(1+'10. Whatif Control pannel'!$B$10)*Z284</f>
        <v>7.2</v>
      </c>
      <c r="AB284" s="3">
        <f t="shared" si="68"/>
        <v>667.74</v>
      </c>
      <c r="AC284" s="3">
        <f t="shared" si="73"/>
        <v>897.44256</v>
      </c>
      <c r="AD284" s="3">
        <f t="shared" si="69"/>
        <v>551.1</v>
      </c>
      <c r="AE284" s="3">
        <f t="shared" si="70"/>
        <v>116.64</v>
      </c>
      <c r="AF284" s="3">
        <f t="shared" si="74"/>
        <v>346.34256</v>
      </c>
      <c r="AG284">
        <f t="shared" si="71"/>
        <v>0.174678767184833</v>
      </c>
    </row>
    <row r="285" spans="1:33">
      <c r="A285" t="s">
        <v>668</v>
      </c>
      <c r="B285" s="20">
        <v>45794</v>
      </c>
      <c r="C285" s="2">
        <f t="shared" si="60"/>
        <v>5</v>
      </c>
      <c r="D285" s="21">
        <f t="shared" si="72"/>
        <v>45794</v>
      </c>
      <c r="E285" s="19" t="str">
        <f t="shared" si="61"/>
        <v>Quarter 2</v>
      </c>
      <c r="F285" s="19">
        <v>45805</v>
      </c>
      <c r="G285" s="19">
        <f t="shared" si="62"/>
        <v>45805</v>
      </c>
      <c r="H285" s="22">
        <f t="shared" si="63"/>
        <v>11</v>
      </c>
      <c r="I285" t="str">
        <f t="shared" si="64"/>
        <v>Delayed </v>
      </c>
      <c r="J285" t="s">
        <v>45</v>
      </c>
      <c r="K285" t="s">
        <v>60</v>
      </c>
      <c r="L285" t="s">
        <v>61</v>
      </c>
      <c r="M285" t="s">
        <v>19</v>
      </c>
      <c r="N285" t="s">
        <v>55</v>
      </c>
      <c r="O285" t="s">
        <v>56</v>
      </c>
      <c r="P285" t="s">
        <v>57</v>
      </c>
      <c r="Q285" t="s">
        <v>669</v>
      </c>
      <c r="R285" s="3">
        <v>623.4</v>
      </c>
      <c r="S285" s="3">
        <v>1100.09</v>
      </c>
      <c r="T285" s="3">
        <f t="shared" si="65"/>
        <v>1100.09</v>
      </c>
      <c r="U285" s="3">
        <f>(1+'10. Whatif Control pannel'!$B$6)*T285</f>
        <v>1232.1008</v>
      </c>
      <c r="V285" s="3" t="str">
        <f t="shared" si="66"/>
        <v>Medium</v>
      </c>
      <c r="W285" s="34">
        <v>0.114</v>
      </c>
      <c r="X285" s="24" t="str">
        <f t="shared" si="67"/>
        <v>Okay</v>
      </c>
      <c r="Y285" s="36">
        <f>IF(W285&lt;=0.25,W285,'10. Whatif Control pannel'!$B$2)</f>
        <v>0.114</v>
      </c>
      <c r="Z285" s="24">
        <v>12</v>
      </c>
      <c r="AA285" s="13">
        <f>(1+'10. Whatif Control pannel'!$B$10)*Z285</f>
        <v>14.4</v>
      </c>
      <c r="AB285" s="3">
        <f t="shared" si="68"/>
        <v>11696.15688</v>
      </c>
      <c r="AC285" s="3">
        <f t="shared" si="73"/>
        <v>15719.63484672</v>
      </c>
      <c r="AD285" s="3">
        <f t="shared" si="69"/>
        <v>7480.8</v>
      </c>
      <c r="AE285" s="3">
        <f t="shared" si="70"/>
        <v>4215.35688</v>
      </c>
      <c r="AF285" s="3">
        <f t="shared" si="74"/>
        <v>8238.83484672</v>
      </c>
      <c r="AG285">
        <f t="shared" si="71"/>
        <v>0.360405295794904</v>
      </c>
    </row>
    <row r="286" spans="1:33">
      <c r="A286" t="s">
        <v>670</v>
      </c>
      <c r="B286" s="20">
        <v>45304</v>
      </c>
      <c r="C286" s="2">
        <f t="shared" si="60"/>
        <v>1</v>
      </c>
      <c r="D286" s="21">
        <f t="shared" si="72"/>
        <v>45304</v>
      </c>
      <c r="E286" s="19" t="str">
        <f t="shared" si="61"/>
        <v>Quarter 1</v>
      </c>
      <c r="F286" s="19">
        <v>45327</v>
      </c>
      <c r="G286" s="19">
        <f t="shared" si="62"/>
        <v>45327</v>
      </c>
      <c r="H286" s="22">
        <f t="shared" si="63"/>
        <v>23</v>
      </c>
      <c r="I286" t="str">
        <f t="shared" si="64"/>
        <v>Delayed </v>
      </c>
      <c r="J286" t="s">
        <v>78</v>
      </c>
      <c r="K286" t="s">
        <v>79</v>
      </c>
      <c r="L286" t="s">
        <v>335</v>
      </c>
      <c r="M286" t="s">
        <v>27</v>
      </c>
      <c r="N286" t="s">
        <v>98</v>
      </c>
      <c r="O286" t="s">
        <v>56</v>
      </c>
      <c r="P286" t="s">
        <v>57</v>
      </c>
      <c r="Q286" t="s">
        <v>671</v>
      </c>
      <c r="R286" s="3">
        <v>1017.93</v>
      </c>
      <c r="S286" s="3">
        <v>1529.14</v>
      </c>
      <c r="T286" s="3">
        <f t="shared" si="65"/>
        <v>1529.14</v>
      </c>
      <c r="U286" s="3">
        <f>(1+'10. Whatif Control pannel'!$B$6)*T286</f>
        <v>1712.6368</v>
      </c>
      <c r="V286" s="3" t="str">
        <f t="shared" si="66"/>
        <v>Medium</v>
      </c>
      <c r="W286" s="34">
        <v>0.155</v>
      </c>
      <c r="X286" s="24" t="str">
        <f t="shared" si="67"/>
        <v>Okay</v>
      </c>
      <c r="Y286" s="36">
        <f>IF(W286&lt;=0.25,W286,'10. Whatif Control pannel'!$B$2)</f>
        <v>0.155</v>
      </c>
      <c r="Z286" s="24">
        <v>12</v>
      </c>
      <c r="AA286" s="13">
        <f>(1+'10. Whatif Control pannel'!$B$10)*Z286</f>
        <v>14.4</v>
      </c>
      <c r="AB286" s="3">
        <f t="shared" si="68"/>
        <v>15505.4796</v>
      </c>
      <c r="AC286" s="3">
        <f t="shared" si="73"/>
        <v>20839.3645824</v>
      </c>
      <c r="AD286" s="3">
        <f t="shared" si="69"/>
        <v>12215.16</v>
      </c>
      <c r="AE286" s="3">
        <f t="shared" si="70"/>
        <v>3290.3196</v>
      </c>
      <c r="AF286" s="3">
        <f t="shared" si="74"/>
        <v>8624.2045824</v>
      </c>
      <c r="AG286">
        <f t="shared" si="71"/>
        <v>0.212203665083665</v>
      </c>
    </row>
    <row r="287" spans="1:33">
      <c r="A287" t="s">
        <v>672</v>
      </c>
      <c r="B287" s="20">
        <v>45101</v>
      </c>
      <c r="C287" s="2">
        <f t="shared" si="60"/>
        <v>6</v>
      </c>
      <c r="D287" s="21">
        <f t="shared" si="72"/>
        <v>45101</v>
      </c>
      <c r="E287" s="19" t="str">
        <f t="shared" si="61"/>
        <v>Quarter 2</v>
      </c>
      <c r="F287" s="19">
        <v>45128</v>
      </c>
      <c r="G287" s="19">
        <f t="shared" si="62"/>
        <v>45128</v>
      </c>
      <c r="H287" s="22">
        <f t="shared" si="63"/>
        <v>27</v>
      </c>
      <c r="I287" t="str">
        <f t="shared" si="64"/>
        <v>Delayed </v>
      </c>
      <c r="J287" t="s">
        <v>45</v>
      </c>
      <c r="K287" t="s">
        <v>46</v>
      </c>
      <c r="L287" t="s">
        <v>231</v>
      </c>
      <c r="M287" t="s">
        <v>48</v>
      </c>
      <c r="N287" t="s">
        <v>40</v>
      </c>
      <c r="O287" t="s">
        <v>29</v>
      </c>
      <c r="P287" t="s">
        <v>42</v>
      </c>
      <c r="Q287" t="s">
        <v>673</v>
      </c>
      <c r="R287" s="3">
        <v>554.76</v>
      </c>
      <c r="S287" s="3">
        <v>728.69</v>
      </c>
      <c r="T287" s="3">
        <f t="shared" si="65"/>
        <v>728.69</v>
      </c>
      <c r="U287" s="3">
        <f>(1+'10. Whatif Control pannel'!$B$6)*T287</f>
        <v>816.1328</v>
      </c>
      <c r="V287" s="3" t="str">
        <f t="shared" si="66"/>
        <v>Low</v>
      </c>
      <c r="W287" s="34">
        <v>0.22</v>
      </c>
      <c r="X287" s="24" t="str">
        <f t="shared" si="67"/>
        <v>High Discount</v>
      </c>
      <c r="Y287" s="36">
        <f>IF(W287&lt;=0.25,W287,'10. Whatif Control pannel'!$B$2)</f>
        <v>0.22</v>
      </c>
      <c r="Z287" s="24">
        <v>7</v>
      </c>
      <c r="AA287" s="13">
        <f>(1+'10. Whatif Control pannel'!$B$10)*Z287</f>
        <v>8.4</v>
      </c>
      <c r="AB287" s="3">
        <f t="shared" si="68"/>
        <v>3978.6474</v>
      </c>
      <c r="AC287" s="3">
        <f t="shared" si="73"/>
        <v>5347.3021056</v>
      </c>
      <c r="AD287" s="3">
        <f t="shared" si="69"/>
        <v>3883.32</v>
      </c>
      <c r="AE287" s="3">
        <f t="shared" si="70"/>
        <v>95.3274000000006</v>
      </c>
      <c r="AF287" s="3">
        <f t="shared" si="74"/>
        <v>1463.9821056</v>
      </c>
      <c r="AG287">
        <f t="shared" si="71"/>
        <v>0.0239597507434312</v>
      </c>
    </row>
    <row r="288" spans="1:33">
      <c r="A288" t="s">
        <v>674</v>
      </c>
      <c r="B288" s="20">
        <v>45751</v>
      </c>
      <c r="C288" s="2">
        <f t="shared" si="60"/>
        <v>4</v>
      </c>
      <c r="D288" s="21">
        <f t="shared" si="72"/>
        <v>45751</v>
      </c>
      <c r="E288" s="19" t="str">
        <f t="shared" si="61"/>
        <v>Quarter 2</v>
      </c>
      <c r="F288" s="19">
        <v>45760</v>
      </c>
      <c r="G288" s="19">
        <f t="shared" si="62"/>
        <v>45760</v>
      </c>
      <c r="H288" s="22">
        <f t="shared" si="63"/>
        <v>9</v>
      </c>
      <c r="I288" t="str">
        <f t="shared" si="64"/>
        <v>Delayed </v>
      </c>
      <c r="J288" t="s">
        <v>78</v>
      </c>
      <c r="K288" t="s">
        <v>79</v>
      </c>
      <c r="L288" t="s">
        <v>159</v>
      </c>
      <c r="M288" t="s">
        <v>48</v>
      </c>
      <c r="N288" t="s">
        <v>40</v>
      </c>
      <c r="O288" t="s">
        <v>84</v>
      </c>
      <c r="P288" t="s">
        <v>42</v>
      </c>
      <c r="Q288" t="s">
        <v>675</v>
      </c>
      <c r="R288" s="3">
        <v>7.02</v>
      </c>
      <c r="S288" s="3">
        <v>6.28</v>
      </c>
      <c r="T288" s="3">
        <f t="shared" si="65"/>
        <v>6.28</v>
      </c>
      <c r="U288" s="3">
        <f>(1+'10. Whatif Control pannel'!$B$6)*T288</f>
        <v>7.0336</v>
      </c>
      <c r="V288" s="3" t="str">
        <f t="shared" si="66"/>
        <v>Low</v>
      </c>
      <c r="W288" s="34">
        <v>0.134</v>
      </c>
      <c r="X288" s="24" t="str">
        <f t="shared" si="67"/>
        <v>Okay</v>
      </c>
      <c r="Y288" s="36">
        <f>IF(W288&lt;=0.25,W288,'10. Whatif Control pannel'!$B$2)</f>
        <v>0.134</v>
      </c>
      <c r="Z288" s="24">
        <v>14</v>
      </c>
      <c r="AA288" s="13">
        <f>(1+'10. Whatif Control pannel'!$B$10)*Z288</f>
        <v>16.8</v>
      </c>
      <c r="AB288" s="3">
        <f t="shared" si="68"/>
        <v>76.13872</v>
      </c>
      <c r="AC288" s="3">
        <f t="shared" si="73"/>
        <v>102.33043968</v>
      </c>
      <c r="AD288" s="3">
        <f t="shared" si="69"/>
        <v>98.28</v>
      </c>
      <c r="AE288" s="3">
        <f t="shared" si="70"/>
        <v>-22.14128</v>
      </c>
      <c r="AF288" s="3">
        <f t="shared" si="74"/>
        <v>4.05043968000001</v>
      </c>
      <c r="AG288">
        <f t="shared" si="71"/>
        <v>-0.290801841691061</v>
      </c>
    </row>
    <row r="289" spans="1:33">
      <c r="A289" t="s">
        <v>676</v>
      </c>
      <c r="B289" s="20">
        <v>45542</v>
      </c>
      <c r="C289" s="2">
        <f t="shared" si="60"/>
        <v>9</v>
      </c>
      <c r="D289" s="21">
        <f t="shared" si="72"/>
        <v>45542</v>
      </c>
      <c r="E289" s="19" t="str">
        <f t="shared" si="61"/>
        <v>Quarter 3</v>
      </c>
      <c r="F289" s="19">
        <v>45542</v>
      </c>
      <c r="G289" s="19">
        <f t="shared" si="62"/>
        <v>45542</v>
      </c>
      <c r="H289" s="22">
        <f t="shared" si="63"/>
        <v>0</v>
      </c>
      <c r="I289" t="str">
        <f t="shared" si="64"/>
        <v>Ontime</v>
      </c>
      <c r="J289" t="s">
        <v>45</v>
      </c>
      <c r="K289" t="s">
        <v>60</v>
      </c>
      <c r="L289" t="s">
        <v>220</v>
      </c>
      <c r="M289" t="s">
        <v>27</v>
      </c>
      <c r="N289" t="s">
        <v>55</v>
      </c>
      <c r="O289" t="s">
        <v>56</v>
      </c>
      <c r="P289" t="s">
        <v>35</v>
      </c>
      <c r="Q289" t="s">
        <v>677</v>
      </c>
      <c r="R289" s="3">
        <v>1066.65</v>
      </c>
      <c r="S289" s="3">
        <v>2569.77</v>
      </c>
      <c r="T289" s="3">
        <f t="shared" si="65"/>
        <v>2569.77</v>
      </c>
      <c r="U289" s="3">
        <f>(1+'10. Whatif Control pannel'!$B$6)*T289</f>
        <v>2878.1424</v>
      </c>
      <c r="V289" s="3" t="str">
        <f t="shared" si="66"/>
        <v>High</v>
      </c>
      <c r="W289" s="34">
        <v>0.134</v>
      </c>
      <c r="X289" s="24" t="str">
        <f t="shared" si="67"/>
        <v>Okay</v>
      </c>
      <c r="Y289" s="36">
        <f>IF(W289&lt;=0.25,W289,'10. Whatif Control pannel'!$B$2)</f>
        <v>0.134</v>
      </c>
      <c r="Z289" s="24">
        <v>9</v>
      </c>
      <c r="AA289" s="13">
        <f>(1+'10. Whatif Control pannel'!$B$10)*Z289</f>
        <v>10.8</v>
      </c>
      <c r="AB289" s="3">
        <f t="shared" si="68"/>
        <v>20028.78738</v>
      </c>
      <c r="AC289" s="3">
        <f t="shared" si="73"/>
        <v>26918.69023872</v>
      </c>
      <c r="AD289" s="3">
        <f t="shared" si="69"/>
        <v>9599.85</v>
      </c>
      <c r="AE289" s="3">
        <f t="shared" si="70"/>
        <v>10428.93738</v>
      </c>
      <c r="AF289" s="3">
        <f t="shared" si="74"/>
        <v>17318.84023872</v>
      </c>
      <c r="AG289">
        <f t="shared" si="71"/>
        <v>0.520697393313683</v>
      </c>
    </row>
    <row r="290" spans="1:33">
      <c r="A290" t="s">
        <v>678</v>
      </c>
      <c r="B290" s="20">
        <v>45319</v>
      </c>
      <c r="C290" s="2">
        <f t="shared" si="60"/>
        <v>1</v>
      </c>
      <c r="D290" s="21">
        <f t="shared" si="72"/>
        <v>45319</v>
      </c>
      <c r="E290" s="19" t="str">
        <f t="shared" si="61"/>
        <v>Quarter 1</v>
      </c>
      <c r="F290" s="19">
        <v>45321</v>
      </c>
      <c r="G290" s="19">
        <f t="shared" si="62"/>
        <v>45321</v>
      </c>
      <c r="H290" s="22">
        <f t="shared" si="63"/>
        <v>2</v>
      </c>
      <c r="I290" t="str">
        <f t="shared" si="64"/>
        <v>Ontime</v>
      </c>
      <c r="J290" t="s">
        <v>16</v>
      </c>
      <c r="K290" t="s">
        <v>148</v>
      </c>
      <c r="L290" t="s">
        <v>258</v>
      </c>
      <c r="M290" t="s">
        <v>48</v>
      </c>
      <c r="N290" t="s">
        <v>98</v>
      </c>
      <c r="O290" t="s">
        <v>84</v>
      </c>
      <c r="P290" t="s">
        <v>81</v>
      </c>
      <c r="Q290" t="s">
        <v>679</v>
      </c>
      <c r="R290" s="3">
        <v>798.45</v>
      </c>
      <c r="S290" s="3">
        <v>1592.02</v>
      </c>
      <c r="T290" s="3">
        <f t="shared" si="65"/>
        <v>1592.02</v>
      </c>
      <c r="U290" s="3">
        <f>(1+'10. Whatif Control pannel'!$B$6)*T290</f>
        <v>1783.0624</v>
      </c>
      <c r="V290" s="3" t="str">
        <f t="shared" si="66"/>
        <v>Medium</v>
      </c>
      <c r="W290" s="34">
        <v>0.066</v>
      </c>
      <c r="X290" s="24" t="str">
        <f t="shared" si="67"/>
        <v>Okay</v>
      </c>
      <c r="Y290" s="36">
        <f>IF(W290&lt;=0.25,W290,'10. Whatif Control pannel'!$B$2)</f>
        <v>0.066</v>
      </c>
      <c r="Z290" s="24">
        <v>18</v>
      </c>
      <c r="AA290" s="13">
        <f>(1+'10. Whatif Control pannel'!$B$10)*Z290</f>
        <v>21.6</v>
      </c>
      <c r="AB290" s="3">
        <f t="shared" si="68"/>
        <v>26765.04024</v>
      </c>
      <c r="AC290" s="3">
        <f t="shared" si="73"/>
        <v>35972.21408256</v>
      </c>
      <c r="AD290" s="3">
        <f t="shared" si="69"/>
        <v>14372.1</v>
      </c>
      <c r="AE290" s="3">
        <f t="shared" si="70"/>
        <v>12392.94024</v>
      </c>
      <c r="AF290" s="3">
        <f t="shared" si="74"/>
        <v>21600.11408256</v>
      </c>
      <c r="AG290">
        <f t="shared" si="71"/>
        <v>0.463027147684946</v>
      </c>
    </row>
    <row r="291" spans="1:33">
      <c r="A291" t="s">
        <v>680</v>
      </c>
      <c r="B291" s="20">
        <v>45125</v>
      </c>
      <c r="C291" s="2">
        <f t="shared" si="60"/>
        <v>7</v>
      </c>
      <c r="D291" s="21">
        <f t="shared" si="72"/>
        <v>45125</v>
      </c>
      <c r="E291" s="19" t="str">
        <f t="shared" si="61"/>
        <v>Quarter 3</v>
      </c>
      <c r="F291" s="19">
        <v>45148</v>
      </c>
      <c r="G291" s="19">
        <f t="shared" si="62"/>
        <v>45148</v>
      </c>
      <c r="H291" s="22">
        <f t="shared" si="63"/>
        <v>23</v>
      </c>
      <c r="I291" t="str">
        <f t="shared" si="64"/>
        <v>Delayed </v>
      </c>
      <c r="J291" t="s">
        <v>16</v>
      </c>
      <c r="K291" t="s">
        <v>148</v>
      </c>
      <c r="L291" t="s">
        <v>149</v>
      </c>
      <c r="M291" t="s">
        <v>62</v>
      </c>
      <c r="N291" t="s">
        <v>20</v>
      </c>
      <c r="O291" t="s">
        <v>49</v>
      </c>
      <c r="P291" t="s">
        <v>22</v>
      </c>
      <c r="Q291" t="s">
        <v>681</v>
      </c>
      <c r="R291" s="3">
        <v>1271.56</v>
      </c>
      <c r="S291" s="3">
        <v>995.47</v>
      </c>
      <c r="T291" s="3">
        <f t="shared" si="65"/>
        <v>995.47</v>
      </c>
      <c r="U291" s="3">
        <f>(1+'10. Whatif Control pannel'!$B$6)*T291</f>
        <v>1114.9264</v>
      </c>
      <c r="V291" s="3" t="str">
        <f t="shared" si="66"/>
        <v>Medium</v>
      </c>
      <c r="W291" s="34">
        <v>0.192</v>
      </c>
      <c r="X291" s="24" t="str">
        <f t="shared" si="67"/>
        <v>Okay</v>
      </c>
      <c r="Y291" s="36">
        <f>IF(W291&lt;=0.25,W291,'10. Whatif Control pannel'!$B$2)</f>
        <v>0.192</v>
      </c>
      <c r="Z291" s="24">
        <v>13</v>
      </c>
      <c r="AA291" s="13">
        <f>(1+'10. Whatif Control pannel'!$B$10)*Z291</f>
        <v>15.6</v>
      </c>
      <c r="AB291" s="3">
        <f t="shared" si="68"/>
        <v>10456.41688</v>
      </c>
      <c r="AC291" s="3">
        <f t="shared" si="73"/>
        <v>14053.42428672</v>
      </c>
      <c r="AD291" s="3">
        <f t="shared" si="69"/>
        <v>16530.28</v>
      </c>
      <c r="AE291" s="3">
        <f t="shared" si="70"/>
        <v>-6073.86312</v>
      </c>
      <c r="AF291" s="3">
        <f t="shared" si="74"/>
        <v>-2476.85571328</v>
      </c>
      <c r="AG291">
        <f t="shared" si="71"/>
        <v>-0.580874231556078</v>
      </c>
    </row>
    <row r="292" spans="1:33">
      <c r="A292" t="s">
        <v>682</v>
      </c>
      <c r="B292" s="20">
        <v>45897</v>
      </c>
      <c r="C292" s="2">
        <f t="shared" si="60"/>
        <v>8</v>
      </c>
      <c r="D292" s="21">
        <f t="shared" si="72"/>
        <v>45897</v>
      </c>
      <c r="E292" s="19" t="str">
        <f t="shared" si="61"/>
        <v>Quarter 3</v>
      </c>
      <c r="F292" s="19">
        <v>45895</v>
      </c>
      <c r="G292" s="19">
        <f t="shared" si="62"/>
        <v>45904</v>
      </c>
      <c r="H292" s="22">
        <f t="shared" si="63"/>
        <v>7</v>
      </c>
      <c r="I292" t="str">
        <f t="shared" si="64"/>
        <v>Ontime</v>
      </c>
      <c r="J292" t="s">
        <v>16</v>
      </c>
      <c r="K292" t="s">
        <v>25</v>
      </c>
      <c r="L292" t="s">
        <v>26</v>
      </c>
      <c r="M292" t="s">
        <v>62</v>
      </c>
      <c r="N292" t="s">
        <v>20</v>
      </c>
      <c r="O292" t="s">
        <v>75</v>
      </c>
      <c r="P292" t="s">
        <v>81</v>
      </c>
      <c r="Q292" t="s">
        <v>683</v>
      </c>
      <c r="R292" s="3">
        <v>521.06</v>
      </c>
      <c r="S292" s="3">
        <v>1240.31</v>
      </c>
      <c r="T292" s="3">
        <f t="shared" si="65"/>
        <v>1240.31</v>
      </c>
      <c r="U292" s="3">
        <f>(1+'10. Whatif Control pannel'!$B$6)*T292</f>
        <v>1389.1472</v>
      </c>
      <c r="V292" s="3" t="str">
        <f t="shared" si="66"/>
        <v>Medium</v>
      </c>
      <c r="W292" s="34">
        <v>0.146</v>
      </c>
      <c r="X292" s="24" t="str">
        <f t="shared" si="67"/>
        <v>Okay</v>
      </c>
      <c r="Y292" s="36">
        <f>IF(W292&lt;=0.25,W292,'10. Whatif Control pannel'!$B$2)</f>
        <v>0.146</v>
      </c>
      <c r="Z292" s="24">
        <v>18</v>
      </c>
      <c r="AA292" s="13">
        <f>(1+'10. Whatif Control pannel'!$B$10)*Z292</f>
        <v>21.6</v>
      </c>
      <c r="AB292" s="3">
        <f t="shared" si="68"/>
        <v>19066.04532</v>
      </c>
      <c r="AC292" s="3">
        <f t="shared" si="73"/>
        <v>25624.76491008</v>
      </c>
      <c r="AD292" s="3">
        <f t="shared" si="69"/>
        <v>9379.08</v>
      </c>
      <c r="AE292" s="3">
        <f t="shared" si="70"/>
        <v>9686.96532</v>
      </c>
      <c r="AF292" s="3">
        <f t="shared" si="74"/>
        <v>16245.68491008</v>
      </c>
      <c r="AG292">
        <f t="shared" si="71"/>
        <v>0.50807417885651</v>
      </c>
    </row>
    <row r="293" spans="1:33">
      <c r="A293" t="s">
        <v>684</v>
      </c>
      <c r="B293" s="20">
        <v>45746</v>
      </c>
      <c r="C293" s="2">
        <f t="shared" si="60"/>
        <v>3</v>
      </c>
      <c r="D293" s="21">
        <f t="shared" si="72"/>
        <v>45746</v>
      </c>
      <c r="E293" s="19" t="str">
        <f t="shared" si="61"/>
        <v>Quarter 1</v>
      </c>
      <c r="F293" s="19">
        <v>45754</v>
      </c>
      <c r="G293" s="19">
        <f t="shared" si="62"/>
        <v>45754</v>
      </c>
      <c r="H293" s="22">
        <f t="shared" si="63"/>
        <v>8</v>
      </c>
      <c r="I293" t="str">
        <f t="shared" si="64"/>
        <v>Delayed </v>
      </c>
      <c r="J293" t="s">
        <v>52</v>
      </c>
      <c r="K293" t="s">
        <v>73</v>
      </c>
      <c r="L293" t="s">
        <v>74</v>
      </c>
      <c r="M293" t="s">
        <v>39</v>
      </c>
      <c r="N293" t="s">
        <v>98</v>
      </c>
      <c r="O293" t="s">
        <v>49</v>
      </c>
      <c r="P293" t="s">
        <v>30</v>
      </c>
      <c r="Q293" t="s">
        <v>685</v>
      </c>
      <c r="R293" s="3">
        <v>71.62</v>
      </c>
      <c r="S293" s="3">
        <v>118.37</v>
      </c>
      <c r="T293" s="3">
        <f t="shared" si="65"/>
        <v>118.37</v>
      </c>
      <c r="U293" s="3">
        <f>(1+'10. Whatif Control pannel'!$B$6)*T293</f>
        <v>132.5744</v>
      </c>
      <c r="V293" s="3" t="str">
        <f t="shared" si="66"/>
        <v>Low</v>
      </c>
      <c r="W293" s="34">
        <v>0.156</v>
      </c>
      <c r="X293" s="24" t="str">
        <f t="shared" si="67"/>
        <v>Okay</v>
      </c>
      <c r="Y293" s="36">
        <f>IF(W293&lt;=0.25,W293,'10. Whatif Control pannel'!$B$2)</f>
        <v>0.156</v>
      </c>
      <c r="Z293" s="24">
        <v>11</v>
      </c>
      <c r="AA293" s="13">
        <f>(1+'10. Whatif Control pannel'!$B$10)*Z293</f>
        <v>13.2</v>
      </c>
      <c r="AB293" s="3">
        <f t="shared" si="68"/>
        <v>1098.94708</v>
      </c>
      <c r="AC293" s="3">
        <f t="shared" si="73"/>
        <v>1476.98487552</v>
      </c>
      <c r="AD293" s="3">
        <f t="shared" si="69"/>
        <v>787.82</v>
      </c>
      <c r="AE293" s="3">
        <f t="shared" si="70"/>
        <v>311.12708</v>
      </c>
      <c r="AF293" s="3">
        <f t="shared" si="74"/>
        <v>689.16487552</v>
      </c>
      <c r="AG293">
        <f t="shared" si="71"/>
        <v>0.283113796526035</v>
      </c>
    </row>
    <row r="294" spans="1:33">
      <c r="A294" t="s">
        <v>686</v>
      </c>
      <c r="B294" s="20">
        <v>45220</v>
      </c>
      <c r="C294" s="2">
        <f t="shared" si="60"/>
        <v>10</v>
      </c>
      <c r="D294" s="21">
        <f t="shared" si="72"/>
        <v>45220</v>
      </c>
      <c r="E294" s="19" t="str">
        <f t="shared" si="61"/>
        <v>Quarter 4</v>
      </c>
      <c r="F294" s="19">
        <v>45239</v>
      </c>
      <c r="G294" s="19">
        <f t="shared" si="62"/>
        <v>45239</v>
      </c>
      <c r="H294" s="22">
        <f t="shared" si="63"/>
        <v>19</v>
      </c>
      <c r="I294" t="str">
        <f t="shared" si="64"/>
        <v>Delayed </v>
      </c>
      <c r="J294" t="s">
        <v>78</v>
      </c>
      <c r="K294" t="s">
        <v>108</v>
      </c>
      <c r="L294" t="s">
        <v>152</v>
      </c>
      <c r="M294" t="s">
        <v>39</v>
      </c>
      <c r="N294" t="s">
        <v>98</v>
      </c>
      <c r="O294" t="s">
        <v>75</v>
      </c>
      <c r="P294" t="s">
        <v>81</v>
      </c>
      <c r="Q294" t="s">
        <v>687</v>
      </c>
      <c r="R294" s="3">
        <v>1142.48</v>
      </c>
      <c r="S294" s="3">
        <v>2105.53</v>
      </c>
      <c r="T294" s="3">
        <f t="shared" si="65"/>
        <v>2105.53</v>
      </c>
      <c r="U294" s="3">
        <f>(1+'10. Whatif Control pannel'!$B$6)*T294</f>
        <v>2358.1936</v>
      </c>
      <c r="V294" s="3" t="str">
        <f t="shared" si="66"/>
        <v>High</v>
      </c>
      <c r="W294" s="34">
        <v>0.207</v>
      </c>
      <c r="X294" s="24" t="str">
        <f t="shared" si="67"/>
        <v>High Discount</v>
      </c>
      <c r="Y294" s="36">
        <f>IF(W294&lt;=0.25,W294,'10. Whatif Control pannel'!$B$2)</f>
        <v>0.207</v>
      </c>
      <c r="Z294" s="24">
        <v>14</v>
      </c>
      <c r="AA294" s="13">
        <f>(1+'10. Whatif Control pannel'!$B$10)*Z294</f>
        <v>16.8</v>
      </c>
      <c r="AB294" s="3">
        <f t="shared" si="68"/>
        <v>23375.59406</v>
      </c>
      <c r="AC294" s="3">
        <f t="shared" si="73"/>
        <v>31416.79841664</v>
      </c>
      <c r="AD294" s="3">
        <f t="shared" si="69"/>
        <v>15994.72</v>
      </c>
      <c r="AE294" s="3">
        <f t="shared" si="70"/>
        <v>7380.87406</v>
      </c>
      <c r="AF294" s="3">
        <f t="shared" si="74"/>
        <v>15422.07841664</v>
      </c>
      <c r="AG294">
        <f t="shared" si="71"/>
        <v>0.315751293466807</v>
      </c>
    </row>
    <row r="295" spans="1:33">
      <c r="A295" t="s">
        <v>688</v>
      </c>
      <c r="B295" s="20">
        <v>45161</v>
      </c>
      <c r="C295" s="2">
        <f t="shared" si="60"/>
        <v>8</v>
      </c>
      <c r="D295" s="21">
        <f t="shared" si="72"/>
        <v>45161</v>
      </c>
      <c r="E295" s="19" t="str">
        <f t="shared" si="61"/>
        <v>Quarter 3</v>
      </c>
      <c r="F295" s="19">
        <v>45191</v>
      </c>
      <c r="G295" s="19">
        <f t="shared" si="62"/>
        <v>45191</v>
      </c>
      <c r="H295" s="22">
        <f t="shared" si="63"/>
        <v>30</v>
      </c>
      <c r="I295" t="str">
        <f t="shared" si="64"/>
        <v>Delayed </v>
      </c>
      <c r="J295" t="s">
        <v>78</v>
      </c>
      <c r="K295" t="s">
        <v>108</v>
      </c>
      <c r="L295" t="s">
        <v>152</v>
      </c>
      <c r="M295" t="s">
        <v>48</v>
      </c>
      <c r="N295" t="s">
        <v>55</v>
      </c>
      <c r="O295" t="s">
        <v>68</v>
      </c>
      <c r="P295" t="s">
        <v>81</v>
      </c>
      <c r="Q295" t="s">
        <v>689</v>
      </c>
      <c r="R295" s="3">
        <v>209.81</v>
      </c>
      <c r="S295" s="3">
        <v>523</v>
      </c>
      <c r="T295" s="3">
        <f t="shared" si="65"/>
        <v>523</v>
      </c>
      <c r="U295" s="3">
        <f>(1+'10. Whatif Control pannel'!$B$6)*T295</f>
        <v>585.76</v>
      </c>
      <c r="V295" s="3" t="str">
        <f t="shared" si="66"/>
        <v>Low</v>
      </c>
      <c r="W295" s="34">
        <v>0.059</v>
      </c>
      <c r="X295" s="24" t="str">
        <f t="shared" si="67"/>
        <v>Okay</v>
      </c>
      <c r="Y295" s="36">
        <f>IF(W295&lt;=0.25,W295,'10. Whatif Control pannel'!$B$2)</f>
        <v>0.059</v>
      </c>
      <c r="Z295" s="24">
        <v>15</v>
      </c>
      <c r="AA295" s="13">
        <f>(1+'10. Whatif Control pannel'!$B$10)*Z295</f>
        <v>18</v>
      </c>
      <c r="AB295" s="3">
        <f t="shared" si="68"/>
        <v>7382.145</v>
      </c>
      <c r="AC295" s="3">
        <f t="shared" si="73"/>
        <v>9921.60288</v>
      </c>
      <c r="AD295" s="3">
        <f t="shared" si="69"/>
        <v>3147.15</v>
      </c>
      <c r="AE295" s="3">
        <f t="shared" si="70"/>
        <v>4234.995</v>
      </c>
      <c r="AF295" s="3">
        <f t="shared" si="74"/>
        <v>6774.45288</v>
      </c>
      <c r="AG295">
        <f t="shared" si="71"/>
        <v>0.573680820411954</v>
      </c>
    </row>
    <row r="296" spans="1:33">
      <c r="A296" t="s">
        <v>690</v>
      </c>
      <c r="B296" s="20">
        <v>45758</v>
      </c>
      <c r="C296" s="2">
        <f t="shared" si="60"/>
        <v>4</v>
      </c>
      <c r="D296" s="21">
        <f t="shared" si="72"/>
        <v>45758</v>
      </c>
      <c r="E296" s="19" t="str">
        <f t="shared" si="61"/>
        <v>Quarter 2</v>
      </c>
      <c r="F296" s="19">
        <v>45781</v>
      </c>
      <c r="G296" s="19">
        <f t="shared" si="62"/>
        <v>45781</v>
      </c>
      <c r="H296" s="22">
        <f t="shared" si="63"/>
        <v>23</v>
      </c>
      <c r="I296" t="str">
        <f t="shared" si="64"/>
        <v>Delayed </v>
      </c>
      <c r="J296" t="s">
        <v>45</v>
      </c>
      <c r="K296" t="s">
        <v>46</v>
      </c>
      <c r="L296" t="s">
        <v>47</v>
      </c>
      <c r="M296" t="s">
        <v>62</v>
      </c>
      <c r="N296" t="s">
        <v>28</v>
      </c>
      <c r="O296" t="s">
        <v>110</v>
      </c>
      <c r="P296" t="s">
        <v>22</v>
      </c>
      <c r="Q296" t="s">
        <v>691</v>
      </c>
      <c r="R296" s="3">
        <v>786.2</v>
      </c>
      <c r="S296" s="3">
        <v>1075.3</v>
      </c>
      <c r="T296" s="3">
        <f t="shared" si="65"/>
        <v>1075.3</v>
      </c>
      <c r="U296" s="3">
        <f>(1+'10. Whatif Control pannel'!$B$6)*T296</f>
        <v>1204.336</v>
      </c>
      <c r="V296" s="3" t="str">
        <f t="shared" si="66"/>
        <v>Medium</v>
      </c>
      <c r="W296" s="34">
        <v>0.08</v>
      </c>
      <c r="X296" s="24" t="str">
        <f t="shared" si="67"/>
        <v>Okay</v>
      </c>
      <c r="Y296" s="36">
        <f>IF(W296&lt;=0.25,W296,'10. Whatif Control pannel'!$B$2)</f>
        <v>0.08</v>
      </c>
      <c r="Z296" s="24">
        <v>9</v>
      </c>
      <c r="AA296" s="13">
        <f>(1+'10. Whatif Control pannel'!$B$10)*Z296</f>
        <v>10.8</v>
      </c>
      <c r="AB296" s="3">
        <f t="shared" si="68"/>
        <v>8903.484</v>
      </c>
      <c r="AC296" s="3">
        <f t="shared" si="73"/>
        <v>11966.282496</v>
      </c>
      <c r="AD296" s="3">
        <f t="shared" si="69"/>
        <v>7075.8</v>
      </c>
      <c r="AE296" s="3">
        <f t="shared" si="70"/>
        <v>1827.684</v>
      </c>
      <c r="AF296" s="3">
        <f t="shared" si="74"/>
        <v>4890.482496</v>
      </c>
      <c r="AG296">
        <f t="shared" si="71"/>
        <v>0.205277394781638</v>
      </c>
    </row>
    <row r="297" spans="1:33">
      <c r="A297" t="s">
        <v>692</v>
      </c>
      <c r="B297" s="20">
        <v>45809</v>
      </c>
      <c r="C297" s="2">
        <f t="shared" si="60"/>
        <v>6</v>
      </c>
      <c r="D297" s="21">
        <f t="shared" si="72"/>
        <v>45809</v>
      </c>
      <c r="E297" s="19" t="str">
        <f t="shared" si="61"/>
        <v>Quarter 2</v>
      </c>
      <c r="F297" s="19">
        <v>45835</v>
      </c>
      <c r="G297" s="19">
        <f t="shared" si="62"/>
        <v>45835</v>
      </c>
      <c r="H297" s="22">
        <f t="shared" si="63"/>
        <v>26</v>
      </c>
      <c r="I297" t="str">
        <f t="shared" si="64"/>
        <v>Delayed </v>
      </c>
      <c r="J297" t="s">
        <v>78</v>
      </c>
      <c r="K297" t="s">
        <v>79</v>
      </c>
      <c r="L297" t="s">
        <v>159</v>
      </c>
      <c r="M297" t="s">
        <v>48</v>
      </c>
      <c r="N297" t="s">
        <v>55</v>
      </c>
      <c r="O297" t="s">
        <v>63</v>
      </c>
      <c r="P297" t="s">
        <v>57</v>
      </c>
      <c r="Q297" t="s">
        <v>693</v>
      </c>
      <c r="R297" s="3">
        <v>1362.31</v>
      </c>
      <c r="S297" s="3">
        <v>3294.57</v>
      </c>
      <c r="T297" s="3">
        <f t="shared" si="65"/>
        <v>3294.57</v>
      </c>
      <c r="U297" s="3">
        <f>(1+'10. Whatif Control pannel'!$B$6)*T297</f>
        <v>3689.9184</v>
      </c>
      <c r="V297" s="3" t="str">
        <f t="shared" si="66"/>
        <v>High</v>
      </c>
      <c r="W297" s="34">
        <v>0.113</v>
      </c>
      <c r="X297" s="24" t="str">
        <f t="shared" si="67"/>
        <v>Okay</v>
      </c>
      <c r="Y297" s="36">
        <f>IF(W297&lt;=0.25,W297,'10. Whatif Control pannel'!$B$2)</f>
        <v>0.113</v>
      </c>
      <c r="Z297" s="24">
        <v>7</v>
      </c>
      <c r="AA297" s="13">
        <f>(1+'10. Whatif Control pannel'!$B$10)*Z297</f>
        <v>8.4</v>
      </c>
      <c r="AB297" s="3">
        <f t="shared" si="68"/>
        <v>20455.98513</v>
      </c>
      <c r="AC297" s="3">
        <f t="shared" si="73"/>
        <v>27492.84401472</v>
      </c>
      <c r="AD297" s="3">
        <f t="shared" si="69"/>
        <v>9536.17</v>
      </c>
      <c r="AE297" s="3">
        <f t="shared" si="70"/>
        <v>10919.81513</v>
      </c>
      <c r="AF297" s="3">
        <f t="shared" si="74"/>
        <v>17956.67401472</v>
      </c>
      <c r="AG297">
        <f t="shared" si="71"/>
        <v>0.533820056115772</v>
      </c>
    </row>
    <row r="298" spans="1:33">
      <c r="A298" t="s">
        <v>694</v>
      </c>
      <c r="B298" s="20">
        <v>45353</v>
      </c>
      <c r="C298" s="2">
        <f t="shared" si="60"/>
        <v>3</v>
      </c>
      <c r="D298" s="21">
        <f t="shared" si="72"/>
        <v>45353</v>
      </c>
      <c r="E298" s="19" t="str">
        <f t="shared" si="61"/>
        <v>Quarter 1</v>
      </c>
      <c r="F298" s="19">
        <v>45367</v>
      </c>
      <c r="G298" s="19">
        <f t="shared" si="62"/>
        <v>45367</v>
      </c>
      <c r="H298" s="22">
        <f t="shared" si="63"/>
        <v>14</v>
      </c>
      <c r="I298" t="str">
        <f t="shared" si="64"/>
        <v>Delayed </v>
      </c>
      <c r="J298" t="s">
        <v>52</v>
      </c>
      <c r="K298" t="s">
        <v>53</v>
      </c>
      <c r="L298" t="s">
        <v>179</v>
      </c>
      <c r="M298" t="s">
        <v>39</v>
      </c>
      <c r="N298" t="s">
        <v>98</v>
      </c>
      <c r="O298" t="s">
        <v>68</v>
      </c>
      <c r="P298" t="s">
        <v>30</v>
      </c>
      <c r="Q298" t="s">
        <v>695</v>
      </c>
      <c r="R298" s="3">
        <v>248.24</v>
      </c>
      <c r="S298" s="3">
        <v>464.05</v>
      </c>
      <c r="T298" s="3">
        <f t="shared" si="65"/>
        <v>464.05</v>
      </c>
      <c r="U298" s="3">
        <f>(1+'10. Whatif Control pannel'!$B$6)*T298</f>
        <v>519.736</v>
      </c>
      <c r="V298" s="3" t="str">
        <f t="shared" si="66"/>
        <v>Low</v>
      </c>
      <c r="W298" s="34">
        <v>0.169</v>
      </c>
      <c r="X298" s="24" t="str">
        <f t="shared" si="67"/>
        <v>Okay</v>
      </c>
      <c r="Y298" s="36">
        <f>IF(W298&lt;=0.25,W298,'10. Whatif Control pannel'!$B$2)</f>
        <v>0.169</v>
      </c>
      <c r="Z298" s="24">
        <v>11</v>
      </c>
      <c r="AA298" s="13">
        <f>(1+'10. Whatif Control pannel'!$B$10)*Z298</f>
        <v>13.2</v>
      </c>
      <c r="AB298" s="3">
        <f t="shared" si="68"/>
        <v>4241.88105</v>
      </c>
      <c r="AC298" s="3">
        <f t="shared" si="73"/>
        <v>5701.0881312</v>
      </c>
      <c r="AD298" s="3">
        <f t="shared" si="69"/>
        <v>2730.64</v>
      </c>
      <c r="AE298" s="3">
        <f t="shared" si="70"/>
        <v>1511.24105</v>
      </c>
      <c r="AF298" s="3">
        <f t="shared" si="74"/>
        <v>2970.4481312</v>
      </c>
      <c r="AG298">
        <f t="shared" si="71"/>
        <v>0.356266720397546</v>
      </c>
    </row>
    <row r="299" spans="1:33">
      <c r="A299" t="s">
        <v>696</v>
      </c>
      <c r="B299" s="20">
        <v>45097</v>
      </c>
      <c r="C299" s="2">
        <f t="shared" si="60"/>
        <v>6</v>
      </c>
      <c r="D299" s="21">
        <f t="shared" si="72"/>
        <v>45097</v>
      </c>
      <c r="E299" s="19" t="str">
        <f t="shared" si="61"/>
        <v>Quarter 2</v>
      </c>
      <c r="F299" s="19">
        <v>45115</v>
      </c>
      <c r="G299" s="19">
        <f t="shared" si="62"/>
        <v>45115</v>
      </c>
      <c r="H299" s="22">
        <f t="shared" si="63"/>
        <v>18</v>
      </c>
      <c r="I299" t="str">
        <f t="shared" si="64"/>
        <v>Delayed </v>
      </c>
      <c r="J299" t="s">
        <v>52</v>
      </c>
      <c r="K299" t="s">
        <v>122</v>
      </c>
      <c r="L299" t="s">
        <v>326</v>
      </c>
      <c r="M299" t="s">
        <v>39</v>
      </c>
      <c r="N299" t="s">
        <v>98</v>
      </c>
      <c r="O299" t="s">
        <v>84</v>
      </c>
      <c r="P299" t="s">
        <v>64</v>
      </c>
      <c r="Q299" t="s">
        <v>697</v>
      </c>
      <c r="R299" s="3">
        <v>337</v>
      </c>
      <c r="S299" s="3">
        <v>511.03</v>
      </c>
      <c r="T299" s="3">
        <f t="shared" si="65"/>
        <v>511.03</v>
      </c>
      <c r="U299" s="3">
        <f>(1+'10. Whatif Control pannel'!$B$6)*T299</f>
        <v>572.3536</v>
      </c>
      <c r="V299" s="3" t="str">
        <f t="shared" si="66"/>
        <v>Low</v>
      </c>
      <c r="W299" s="34">
        <v>0.108</v>
      </c>
      <c r="X299" s="24" t="str">
        <f t="shared" si="67"/>
        <v>Okay</v>
      </c>
      <c r="Y299" s="36">
        <f>IF(W299&lt;=0.25,W299,'10. Whatif Control pannel'!$B$2)</f>
        <v>0.108</v>
      </c>
      <c r="Z299" s="24">
        <v>7</v>
      </c>
      <c r="AA299" s="13">
        <f>(1+'10. Whatif Control pannel'!$B$10)*Z299</f>
        <v>8.4</v>
      </c>
      <c r="AB299" s="3">
        <f t="shared" si="68"/>
        <v>3190.87132</v>
      </c>
      <c r="AC299" s="3">
        <f t="shared" si="73"/>
        <v>4288.53105408</v>
      </c>
      <c r="AD299" s="3">
        <f t="shared" si="69"/>
        <v>2359</v>
      </c>
      <c r="AE299" s="3">
        <f t="shared" si="70"/>
        <v>831.87132</v>
      </c>
      <c r="AF299" s="3">
        <f t="shared" si="74"/>
        <v>1929.53105408</v>
      </c>
      <c r="AG299">
        <f t="shared" si="71"/>
        <v>0.260703499632195</v>
      </c>
    </row>
    <row r="300" spans="1:33">
      <c r="A300" t="s">
        <v>698</v>
      </c>
      <c r="B300" s="20">
        <v>45377</v>
      </c>
      <c r="C300" s="2">
        <f t="shared" si="60"/>
        <v>3</v>
      </c>
      <c r="D300" s="21">
        <f t="shared" si="72"/>
        <v>45377</v>
      </c>
      <c r="E300" s="19" t="str">
        <f t="shared" si="61"/>
        <v>Quarter 1</v>
      </c>
      <c r="F300" s="19">
        <v>45387</v>
      </c>
      <c r="G300" s="19">
        <f t="shared" si="62"/>
        <v>45387</v>
      </c>
      <c r="H300" s="22">
        <f t="shared" si="63"/>
        <v>10</v>
      </c>
      <c r="I300" t="str">
        <f t="shared" si="64"/>
        <v>Delayed </v>
      </c>
      <c r="J300" t="s">
        <v>52</v>
      </c>
      <c r="K300" t="s">
        <v>122</v>
      </c>
      <c r="L300" t="s">
        <v>326</v>
      </c>
      <c r="M300" t="s">
        <v>48</v>
      </c>
      <c r="N300" t="s">
        <v>98</v>
      </c>
      <c r="O300" t="s">
        <v>29</v>
      </c>
      <c r="P300" t="s">
        <v>64</v>
      </c>
      <c r="Q300" t="s">
        <v>699</v>
      </c>
      <c r="R300" s="3">
        <v>5.66</v>
      </c>
      <c r="S300" s="3">
        <v>4.22</v>
      </c>
      <c r="T300" s="3">
        <f t="shared" si="65"/>
        <v>4.22</v>
      </c>
      <c r="U300" s="3">
        <f>(1+'10. Whatif Control pannel'!$B$6)*T300</f>
        <v>4.7264</v>
      </c>
      <c r="V300" s="3" t="str">
        <f t="shared" si="66"/>
        <v>Low</v>
      </c>
      <c r="W300" s="34">
        <v>0.119</v>
      </c>
      <c r="X300" s="24" t="str">
        <f t="shared" si="67"/>
        <v>Okay</v>
      </c>
      <c r="Y300" s="36">
        <f>IF(W300&lt;=0.25,W300,'10. Whatif Control pannel'!$B$2)</f>
        <v>0.119</v>
      </c>
      <c r="Z300" s="24">
        <v>18</v>
      </c>
      <c r="AA300" s="13">
        <f>(1+'10. Whatif Control pannel'!$B$10)*Z300</f>
        <v>21.6</v>
      </c>
      <c r="AB300" s="3">
        <f t="shared" si="68"/>
        <v>66.92076</v>
      </c>
      <c r="AC300" s="3">
        <f t="shared" si="73"/>
        <v>89.94150144</v>
      </c>
      <c r="AD300" s="3">
        <f t="shared" si="69"/>
        <v>101.88</v>
      </c>
      <c r="AE300" s="3">
        <f t="shared" si="70"/>
        <v>-34.95924</v>
      </c>
      <c r="AF300" s="3">
        <f t="shared" si="74"/>
        <v>-11.93849856</v>
      </c>
      <c r="AG300">
        <f t="shared" si="71"/>
        <v>-0.522397534038765</v>
      </c>
    </row>
    <row r="301" spans="1:33">
      <c r="A301" t="s">
        <v>700</v>
      </c>
      <c r="B301" s="20">
        <v>45679</v>
      </c>
      <c r="C301" s="2">
        <f t="shared" si="60"/>
        <v>1</v>
      </c>
      <c r="D301" s="21">
        <f t="shared" si="72"/>
        <v>45679</v>
      </c>
      <c r="E301" s="19" t="str">
        <f t="shared" si="61"/>
        <v>Quarter 1</v>
      </c>
      <c r="F301" s="19">
        <v>45679</v>
      </c>
      <c r="G301" s="19">
        <f t="shared" si="62"/>
        <v>45679</v>
      </c>
      <c r="H301" s="22">
        <f t="shared" si="63"/>
        <v>0</v>
      </c>
      <c r="I301" t="str">
        <f t="shared" si="64"/>
        <v>Ontime</v>
      </c>
      <c r="J301" t="s">
        <v>78</v>
      </c>
      <c r="K301" t="s">
        <v>90</v>
      </c>
      <c r="L301" t="s">
        <v>138</v>
      </c>
      <c r="M301" t="s">
        <v>62</v>
      </c>
      <c r="N301" t="s">
        <v>28</v>
      </c>
      <c r="O301" t="s">
        <v>56</v>
      </c>
      <c r="P301" t="s">
        <v>81</v>
      </c>
      <c r="Q301" t="s">
        <v>701</v>
      </c>
      <c r="R301" s="3">
        <v>591.72</v>
      </c>
      <c r="S301" s="3">
        <v>577.24</v>
      </c>
      <c r="T301" s="3">
        <f t="shared" si="65"/>
        <v>577.24</v>
      </c>
      <c r="U301" s="3">
        <f>(1+'10. Whatif Control pannel'!$B$6)*T301</f>
        <v>646.5088</v>
      </c>
      <c r="V301" s="3" t="str">
        <f t="shared" si="66"/>
        <v>Low</v>
      </c>
      <c r="W301" s="34">
        <v>0</v>
      </c>
      <c r="X301" s="24" t="str">
        <f t="shared" si="67"/>
        <v>Okay</v>
      </c>
      <c r="Y301" s="36">
        <f>IF(W301&lt;=0.25,W301,'10. Whatif Control pannel'!$B$2)</f>
        <v>0</v>
      </c>
      <c r="Z301" s="24">
        <v>22</v>
      </c>
      <c r="AA301" s="13">
        <f>(1+'10. Whatif Control pannel'!$B$10)*Z301</f>
        <v>26.4</v>
      </c>
      <c r="AB301" s="3">
        <f t="shared" si="68"/>
        <v>12699.28</v>
      </c>
      <c r="AC301" s="3">
        <f t="shared" si="73"/>
        <v>17067.83232</v>
      </c>
      <c r="AD301" s="3">
        <f t="shared" si="69"/>
        <v>13017.84</v>
      </c>
      <c r="AE301" s="3">
        <f t="shared" si="70"/>
        <v>-318.559999999999</v>
      </c>
      <c r="AF301" s="3">
        <f t="shared" si="74"/>
        <v>4049.99232</v>
      </c>
      <c r="AG301">
        <f t="shared" si="71"/>
        <v>-0.0250848867022382</v>
      </c>
    </row>
    <row r="302" spans="1:33">
      <c r="A302" t="s">
        <v>702</v>
      </c>
      <c r="B302" s="20">
        <v>45787</v>
      </c>
      <c r="C302" s="2">
        <f t="shared" si="60"/>
        <v>5</v>
      </c>
      <c r="D302" s="21">
        <f t="shared" si="72"/>
        <v>45787</v>
      </c>
      <c r="E302" s="19" t="str">
        <f t="shared" si="61"/>
        <v>Quarter 2</v>
      </c>
      <c r="F302" s="19">
        <v>45804</v>
      </c>
      <c r="G302" s="19">
        <f t="shared" si="62"/>
        <v>45804</v>
      </c>
      <c r="H302" s="22">
        <f t="shared" si="63"/>
        <v>17</v>
      </c>
      <c r="I302" t="str">
        <f t="shared" si="64"/>
        <v>Delayed </v>
      </c>
      <c r="J302" t="s">
        <v>52</v>
      </c>
      <c r="K302" t="s">
        <v>53</v>
      </c>
      <c r="L302" t="s">
        <v>179</v>
      </c>
      <c r="M302" t="s">
        <v>27</v>
      </c>
      <c r="N302" t="s">
        <v>98</v>
      </c>
      <c r="O302" t="s">
        <v>21</v>
      </c>
      <c r="P302" t="s">
        <v>22</v>
      </c>
      <c r="Q302" t="s">
        <v>703</v>
      </c>
      <c r="R302" s="3">
        <v>862.89</v>
      </c>
      <c r="S302" s="3">
        <v>1426.03</v>
      </c>
      <c r="T302" s="3">
        <f t="shared" si="65"/>
        <v>1426.03</v>
      </c>
      <c r="U302" s="3">
        <f>(1+'10. Whatif Control pannel'!$B$6)*T302</f>
        <v>1597.1536</v>
      </c>
      <c r="V302" s="3" t="str">
        <f t="shared" si="66"/>
        <v>Medium</v>
      </c>
      <c r="W302" s="34">
        <v>0.056</v>
      </c>
      <c r="X302" s="24" t="str">
        <f t="shared" si="67"/>
        <v>Okay</v>
      </c>
      <c r="Y302" s="36">
        <f>IF(W302&lt;=0.25,W302,'10. Whatif Control pannel'!$B$2)</f>
        <v>0.056</v>
      </c>
      <c r="Z302" s="24">
        <v>19</v>
      </c>
      <c r="AA302" s="13">
        <f>(1+'10. Whatif Control pannel'!$B$10)*Z302</f>
        <v>22.8</v>
      </c>
      <c r="AB302" s="3">
        <f t="shared" si="68"/>
        <v>25577.27408</v>
      </c>
      <c r="AC302" s="3">
        <f t="shared" si="73"/>
        <v>34375.85636352</v>
      </c>
      <c r="AD302" s="3">
        <f t="shared" si="69"/>
        <v>16394.91</v>
      </c>
      <c r="AE302" s="3">
        <f t="shared" si="70"/>
        <v>9182.36408</v>
      </c>
      <c r="AF302" s="3">
        <f t="shared" si="74"/>
        <v>17980.94636352</v>
      </c>
      <c r="AG302">
        <f t="shared" si="71"/>
        <v>0.359004796651888</v>
      </c>
    </row>
    <row r="303" spans="1:33">
      <c r="A303" t="s">
        <v>704</v>
      </c>
      <c r="B303" s="20">
        <v>45204</v>
      </c>
      <c r="C303" s="2">
        <f t="shared" si="60"/>
        <v>10</v>
      </c>
      <c r="D303" s="21">
        <f t="shared" si="72"/>
        <v>45204</v>
      </c>
      <c r="E303" s="19" t="str">
        <f t="shared" si="61"/>
        <v>Quarter 4</v>
      </c>
      <c r="F303" s="19">
        <v>45230</v>
      </c>
      <c r="G303" s="19">
        <f t="shared" si="62"/>
        <v>45230</v>
      </c>
      <c r="H303" s="22">
        <f t="shared" si="63"/>
        <v>26</v>
      </c>
      <c r="I303" t="str">
        <f t="shared" si="64"/>
        <v>Delayed </v>
      </c>
      <c r="J303" t="s">
        <v>45</v>
      </c>
      <c r="K303" t="s">
        <v>116</v>
      </c>
      <c r="L303" t="s">
        <v>162</v>
      </c>
      <c r="M303" t="s">
        <v>48</v>
      </c>
      <c r="N303" t="s">
        <v>1441</v>
      </c>
      <c r="O303" t="s">
        <v>29</v>
      </c>
      <c r="P303" t="s">
        <v>30</v>
      </c>
      <c r="Q303" t="s">
        <v>705</v>
      </c>
      <c r="R303" s="3">
        <v>649.91</v>
      </c>
      <c r="S303" s="3">
        <v>1360.12</v>
      </c>
      <c r="T303" s="3">
        <f t="shared" si="65"/>
        <v>1360.12</v>
      </c>
      <c r="U303" s="3">
        <f>(1+'10. Whatif Control pannel'!$B$6)*T303</f>
        <v>1523.3344</v>
      </c>
      <c r="V303" s="3" t="str">
        <f t="shared" si="66"/>
        <v>Medium</v>
      </c>
      <c r="W303" s="34">
        <v>0.194</v>
      </c>
      <c r="X303" s="24" t="str">
        <f t="shared" si="67"/>
        <v>Okay</v>
      </c>
      <c r="Y303" s="36">
        <f>IF(W303&lt;=0.25,W303,'10. Whatif Control pannel'!$B$2)</f>
        <v>0.194</v>
      </c>
      <c r="Z303" s="24">
        <v>9</v>
      </c>
      <c r="AA303" s="13">
        <f>(1+'10. Whatif Control pannel'!$B$10)*Z303</f>
        <v>10.8</v>
      </c>
      <c r="AB303" s="3">
        <f t="shared" si="68"/>
        <v>9866.31048</v>
      </c>
      <c r="AC303" s="3">
        <f t="shared" si="73"/>
        <v>13260.32128512</v>
      </c>
      <c r="AD303" s="3">
        <f t="shared" si="69"/>
        <v>5849.19</v>
      </c>
      <c r="AE303" s="3">
        <f t="shared" si="70"/>
        <v>4017.12048</v>
      </c>
      <c r="AF303" s="3">
        <f t="shared" si="74"/>
        <v>7411.13128512</v>
      </c>
      <c r="AG303">
        <f t="shared" si="71"/>
        <v>0.407155287495068</v>
      </c>
    </row>
    <row r="304" spans="1:33">
      <c r="A304" t="s">
        <v>706</v>
      </c>
      <c r="B304" s="20">
        <v>45125</v>
      </c>
      <c r="C304" s="2">
        <f t="shared" si="60"/>
        <v>7</v>
      </c>
      <c r="D304" s="21">
        <f t="shared" si="72"/>
        <v>45125</v>
      </c>
      <c r="E304" s="19" t="str">
        <f t="shared" si="61"/>
        <v>Quarter 3</v>
      </c>
      <c r="F304" s="19">
        <v>45129</v>
      </c>
      <c r="G304" s="19">
        <f t="shared" si="62"/>
        <v>45129</v>
      </c>
      <c r="H304" s="22">
        <f t="shared" si="63"/>
        <v>4</v>
      </c>
      <c r="I304" t="str">
        <f t="shared" si="64"/>
        <v>Ontime</v>
      </c>
      <c r="J304" t="s">
        <v>52</v>
      </c>
      <c r="K304" t="s">
        <v>73</v>
      </c>
      <c r="L304" t="s">
        <v>74</v>
      </c>
      <c r="M304" t="s">
        <v>48</v>
      </c>
      <c r="N304" t="s">
        <v>98</v>
      </c>
      <c r="O304" t="s">
        <v>84</v>
      </c>
      <c r="P304" t="s">
        <v>35</v>
      </c>
      <c r="Q304" t="s">
        <v>707</v>
      </c>
      <c r="R304" s="3">
        <v>1269.55</v>
      </c>
      <c r="S304" s="3">
        <v>2071.1</v>
      </c>
      <c r="T304" s="3">
        <f t="shared" si="65"/>
        <v>2071.1</v>
      </c>
      <c r="U304" s="3">
        <f>(1+'10. Whatif Control pannel'!$B$6)*T304</f>
        <v>2319.632</v>
      </c>
      <c r="V304" s="3" t="str">
        <f t="shared" si="66"/>
        <v>High</v>
      </c>
      <c r="W304" s="34">
        <v>0.129</v>
      </c>
      <c r="X304" s="24" t="str">
        <f t="shared" si="67"/>
        <v>Okay</v>
      </c>
      <c r="Y304" s="36">
        <f>IF(W304&lt;=0.25,W304,'10. Whatif Control pannel'!$B$2)</f>
        <v>0.129</v>
      </c>
      <c r="Z304" s="24">
        <v>22</v>
      </c>
      <c r="AA304" s="13">
        <f>(1+'10. Whatif Control pannel'!$B$10)*Z304</f>
        <v>26.4</v>
      </c>
      <c r="AB304" s="3">
        <f t="shared" si="68"/>
        <v>39686.4182</v>
      </c>
      <c r="AC304" s="3">
        <f t="shared" si="73"/>
        <v>53338.5460608</v>
      </c>
      <c r="AD304" s="3">
        <f t="shared" si="69"/>
        <v>27930.1</v>
      </c>
      <c r="AE304" s="3">
        <f t="shared" si="70"/>
        <v>11756.3182</v>
      </c>
      <c r="AF304" s="3">
        <f t="shared" si="74"/>
        <v>25408.4460608</v>
      </c>
      <c r="AG304">
        <f t="shared" si="71"/>
        <v>0.296230265496724</v>
      </c>
    </row>
    <row r="305" spans="1:33">
      <c r="A305" t="s">
        <v>708</v>
      </c>
      <c r="B305" s="20">
        <v>45830</v>
      </c>
      <c r="C305" s="2">
        <f t="shared" si="60"/>
        <v>6</v>
      </c>
      <c r="D305" s="21">
        <f t="shared" si="72"/>
        <v>45830</v>
      </c>
      <c r="E305" s="19" t="str">
        <f t="shared" si="61"/>
        <v>Quarter 2</v>
      </c>
      <c r="F305" s="19">
        <v>45846</v>
      </c>
      <c r="G305" s="19">
        <f t="shared" si="62"/>
        <v>45846</v>
      </c>
      <c r="H305" s="22">
        <f t="shared" si="63"/>
        <v>16</v>
      </c>
      <c r="I305" t="str">
        <f t="shared" si="64"/>
        <v>Delayed </v>
      </c>
      <c r="J305" t="s">
        <v>78</v>
      </c>
      <c r="K305" t="s">
        <v>108</v>
      </c>
      <c r="L305" t="s">
        <v>152</v>
      </c>
      <c r="M305" t="s">
        <v>27</v>
      </c>
      <c r="N305" t="s">
        <v>98</v>
      </c>
      <c r="O305" t="s">
        <v>75</v>
      </c>
      <c r="P305" t="s">
        <v>42</v>
      </c>
      <c r="Q305" t="s">
        <v>709</v>
      </c>
      <c r="R305" s="3">
        <v>892.73</v>
      </c>
      <c r="S305" s="3">
        <v>979.84</v>
      </c>
      <c r="T305" s="3">
        <f t="shared" si="65"/>
        <v>979.84</v>
      </c>
      <c r="U305" s="3">
        <f>(1+'10. Whatif Control pannel'!$B$6)*T305</f>
        <v>1097.4208</v>
      </c>
      <c r="V305" s="3" t="str">
        <f t="shared" si="66"/>
        <v>Medium</v>
      </c>
      <c r="W305" s="34">
        <v>0.174</v>
      </c>
      <c r="X305" s="24" t="str">
        <f t="shared" si="67"/>
        <v>Okay</v>
      </c>
      <c r="Y305" s="36">
        <f>IF(W305&lt;=0.25,W305,'10. Whatif Control pannel'!$B$2)</f>
        <v>0.174</v>
      </c>
      <c r="Z305" s="24">
        <v>10</v>
      </c>
      <c r="AA305" s="13">
        <f>(1+'10. Whatif Control pannel'!$B$10)*Z305</f>
        <v>12</v>
      </c>
      <c r="AB305" s="3">
        <f t="shared" si="68"/>
        <v>8093.4784</v>
      </c>
      <c r="AC305" s="3">
        <f t="shared" si="73"/>
        <v>10877.6349696</v>
      </c>
      <c r="AD305" s="3">
        <f t="shared" si="69"/>
        <v>8927.3</v>
      </c>
      <c r="AE305" s="3">
        <f t="shared" si="70"/>
        <v>-833.821599999999</v>
      </c>
      <c r="AF305" s="3">
        <f t="shared" si="74"/>
        <v>1950.3349696</v>
      </c>
      <c r="AG305">
        <f t="shared" si="71"/>
        <v>-0.103023886491128</v>
      </c>
    </row>
    <row r="306" spans="1:33">
      <c r="A306" t="s">
        <v>710</v>
      </c>
      <c r="B306" s="20">
        <v>45462</v>
      </c>
      <c r="C306" s="2">
        <f t="shared" si="60"/>
        <v>6</v>
      </c>
      <c r="D306" s="21">
        <f t="shared" si="72"/>
        <v>45462</v>
      </c>
      <c r="E306" s="19" t="str">
        <f t="shared" si="61"/>
        <v>Quarter 2</v>
      </c>
      <c r="F306" s="19">
        <v>45463</v>
      </c>
      <c r="G306" s="19">
        <f t="shared" si="62"/>
        <v>45463</v>
      </c>
      <c r="H306" s="22">
        <f t="shared" si="63"/>
        <v>1</v>
      </c>
      <c r="I306" t="str">
        <f t="shared" si="64"/>
        <v>Ontime</v>
      </c>
      <c r="J306" t="s">
        <v>16</v>
      </c>
      <c r="K306" t="s">
        <v>17</v>
      </c>
      <c r="L306" t="s">
        <v>18</v>
      </c>
      <c r="M306" t="s">
        <v>62</v>
      </c>
      <c r="N306" t="s">
        <v>98</v>
      </c>
      <c r="O306" t="s">
        <v>29</v>
      </c>
      <c r="P306" t="s">
        <v>57</v>
      </c>
      <c r="Q306" t="s">
        <v>711</v>
      </c>
      <c r="R306" s="3">
        <v>231.63</v>
      </c>
      <c r="S306" s="3">
        <v>537.39</v>
      </c>
      <c r="T306" s="3">
        <f t="shared" si="65"/>
        <v>537.39</v>
      </c>
      <c r="U306" s="3">
        <f>(1+'10. Whatif Control pannel'!$B$6)*T306</f>
        <v>601.8768</v>
      </c>
      <c r="V306" s="3" t="str">
        <f t="shared" si="66"/>
        <v>Low</v>
      </c>
      <c r="W306" s="34">
        <v>0.08</v>
      </c>
      <c r="X306" s="24" t="str">
        <f t="shared" si="67"/>
        <v>Okay</v>
      </c>
      <c r="Y306" s="36">
        <f>IF(W306&lt;=0.25,W306,'10. Whatif Control pannel'!$B$2)</f>
        <v>0.08</v>
      </c>
      <c r="Z306" s="24">
        <v>12</v>
      </c>
      <c r="AA306" s="13">
        <f>(1+'10. Whatif Control pannel'!$B$10)*Z306</f>
        <v>14.4</v>
      </c>
      <c r="AB306" s="3">
        <f t="shared" si="68"/>
        <v>5932.7856</v>
      </c>
      <c r="AC306" s="3">
        <f t="shared" si="73"/>
        <v>7973.6638464</v>
      </c>
      <c r="AD306" s="3">
        <f t="shared" si="69"/>
        <v>2779.56</v>
      </c>
      <c r="AE306" s="3">
        <f t="shared" si="70"/>
        <v>3153.2256</v>
      </c>
      <c r="AF306" s="3">
        <f t="shared" si="74"/>
        <v>5194.1038464</v>
      </c>
      <c r="AG306">
        <f t="shared" si="71"/>
        <v>0.531491581290246</v>
      </c>
    </row>
    <row r="307" spans="1:33">
      <c r="A307" t="s">
        <v>712</v>
      </c>
      <c r="B307" s="20">
        <v>45756</v>
      </c>
      <c r="C307" s="2">
        <f t="shared" si="60"/>
        <v>4</v>
      </c>
      <c r="D307" s="21">
        <f t="shared" si="72"/>
        <v>45756</v>
      </c>
      <c r="E307" s="19" t="str">
        <f t="shared" si="61"/>
        <v>Quarter 2</v>
      </c>
      <c r="F307" s="19">
        <v>45759</v>
      </c>
      <c r="G307" s="19">
        <f t="shared" si="62"/>
        <v>45759</v>
      </c>
      <c r="H307" s="22">
        <f t="shared" si="63"/>
        <v>3</v>
      </c>
      <c r="I307" t="str">
        <f t="shared" si="64"/>
        <v>Ontime</v>
      </c>
      <c r="J307" t="s">
        <v>78</v>
      </c>
      <c r="K307" t="s">
        <v>90</v>
      </c>
      <c r="L307" t="s">
        <v>138</v>
      </c>
      <c r="M307" t="s">
        <v>62</v>
      </c>
      <c r="N307" t="s">
        <v>55</v>
      </c>
      <c r="O307" t="s">
        <v>92</v>
      </c>
      <c r="P307" t="s">
        <v>64</v>
      </c>
      <c r="Q307" t="s">
        <v>713</v>
      </c>
      <c r="R307" s="3">
        <v>86.68</v>
      </c>
      <c r="S307" s="3">
        <v>213.32</v>
      </c>
      <c r="T307" s="3">
        <f t="shared" si="65"/>
        <v>213.32</v>
      </c>
      <c r="U307" s="3">
        <f>(1+'10. Whatif Control pannel'!$B$6)*T307</f>
        <v>238.9184</v>
      </c>
      <c r="V307" s="3" t="str">
        <f t="shared" si="66"/>
        <v>Low</v>
      </c>
      <c r="W307" s="34">
        <v>0.038</v>
      </c>
      <c r="X307" s="24" t="str">
        <f t="shared" si="67"/>
        <v>Okay</v>
      </c>
      <c r="Y307" s="36">
        <f>IF(W307&lt;=0.25,W307,'10. Whatif Control pannel'!$B$2)</f>
        <v>0.038</v>
      </c>
      <c r="Z307" s="24">
        <v>8</v>
      </c>
      <c r="AA307" s="13">
        <f>(1+'10. Whatif Control pannel'!$B$10)*Z307</f>
        <v>9.6</v>
      </c>
      <c r="AB307" s="3">
        <f t="shared" si="68"/>
        <v>1641.71072</v>
      </c>
      <c r="AC307" s="3">
        <f t="shared" si="73"/>
        <v>2206.45920768</v>
      </c>
      <c r="AD307" s="3">
        <f t="shared" si="69"/>
        <v>693.44</v>
      </c>
      <c r="AE307" s="3">
        <f t="shared" si="70"/>
        <v>948.27072</v>
      </c>
      <c r="AF307" s="3">
        <f t="shared" si="74"/>
        <v>1513.01920768</v>
      </c>
      <c r="AG307">
        <f t="shared" si="71"/>
        <v>0.577611334596146</v>
      </c>
    </row>
    <row r="308" spans="1:33">
      <c r="A308" t="s">
        <v>714</v>
      </c>
      <c r="B308" s="20">
        <v>45741</v>
      </c>
      <c r="C308" s="2">
        <f t="shared" si="60"/>
        <v>3</v>
      </c>
      <c r="D308" s="21">
        <f t="shared" si="72"/>
        <v>45741</v>
      </c>
      <c r="E308" s="19" t="str">
        <f t="shared" si="61"/>
        <v>Quarter 1</v>
      </c>
      <c r="F308" s="19">
        <v>45742</v>
      </c>
      <c r="G308" s="19">
        <f t="shared" si="62"/>
        <v>45742</v>
      </c>
      <c r="H308" s="22">
        <f t="shared" si="63"/>
        <v>1</v>
      </c>
      <c r="I308" t="str">
        <f t="shared" si="64"/>
        <v>Ontime</v>
      </c>
      <c r="J308" t="s">
        <v>16</v>
      </c>
      <c r="K308" t="s">
        <v>25</v>
      </c>
      <c r="L308" t="s">
        <v>38</v>
      </c>
      <c r="M308" t="s">
        <v>27</v>
      </c>
      <c r="N308" t="s">
        <v>55</v>
      </c>
      <c r="O308" t="s">
        <v>41</v>
      </c>
      <c r="P308" t="s">
        <v>81</v>
      </c>
      <c r="Q308" t="s">
        <v>715</v>
      </c>
      <c r="R308" s="3">
        <v>1450.43</v>
      </c>
      <c r="S308" s="3">
        <v>1994.67</v>
      </c>
      <c r="T308" s="3">
        <f t="shared" si="65"/>
        <v>1994.67</v>
      </c>
      <c r="U308" s="3">
        <f>(1+'10. Whatif Control pannel'!$B$6)*T308</f>
        <v>2234.0304</v>
      </c>
      <c r="V308" s="3" t="str">
        <f t="shared" si="66"/>
        <v>High</v>
      </c>
      <c r="W308" s="34">
        <v>0.1</v>
      </c>
      <c r="X308" s="24" t="str">
        <f t="shared" si="67"/>
        <v>Okay</v>
      </c>
      <c r="Y308" s="36">
        <f>IF(W308&lt;=0.25,W308,'10. Whatif Control pannel'!$B$2)</f>
        <v>0.1</v>
      </c>
      <c r="Z308" s="24">
        <v>24</v>
      </c>
      <c r="AA308" s="13">
        <f>(1+'10. Whatif Control pannel'!$B$10)*Z308</f>
        <v>28.8</v>
      </c>
      <c r="AB308" s="3">
        <f t="shared" si="68"/>
        <v>43084.872</v>
      </c>
      <c r="AC308" s="3">
        <f t="shared" si="73"/>
        <v>57906.067968</v>
      </c>
      <c r="AD308" s="3">
        <f t="shared" si="69"/>
        <v>34810.32</v>
      </c>
      <c r="AE308" s="3">
        <f t="shared" si="70"/>
        <v>8274.552</v>
      </c>
      <c r="AF308" s="3">
        <f t="shared" si="74"/>
        <v>23095.747968</v>
      </c>
      <c r="AG308">
        <f t="shared" si="71"/>
        <v>0.192052375135291</v>
      </c>
    </row>
    <row r="309" spans="1:33">
      <c r="A309" t="s">
        <v>716</v>
      </c>
      <c r="B309" s="20">
        <v>45795</v>
      </c>
      <c r="C309" s="2">
        <f t="shared" si="60"/>
        <v>5</v>
      </c>
      <c r="D309" s="21">
        <f t="shared" si="72"/>
        <v>45795</v>
      </c>
      <c r="E309" s="19" t="str">
        <f t="shared" si="61"/>
        <v>Quarter 2</v>
      </c>
      <c r="F309" s="19">
        <v>45817</v>
      </c>
      <c r="G309" s="19">
        <f t="shared" si="62"/>
        <v>45817</v>
      </c>
      <c r="H309" s="22">
        <f t="shared" si="63"/>
        <v>22</v>
      </c>
      <c r="I309" t="str">
        <f t="shared" si="64"/>
        <v>Delayed </v>
      </c>
      <c r="J309" t="s">
        <v>52</v>
      </c>
      <c r="K309" t="s">
        <v>122</v>
      </c>
      <c r="L309" t="s">
        <v>387</v>
      </c>
      <c r="M309" t="s">
        <v>48</v>
      </c>
      <c r="N309" t="s">
        <v>20</v>
      </c>
      <c r="O309" t="s">
        <v>92</v>
      </c>
      <c r="P309" t="s">
        <v>35</v>
      </c>
      <c r="Q309" t="s">
        <v>717</v>
      </c>
      <c r="R309" s="3">
        <v>382.96</v>
      </c>
      <c r="S309" s="3">
        <v>552.84</v>
      </c>
      <c r="T309" s="3">
        <f t="shared" si="65"/>
        <v>552.84</v>
      </c>
      <c r="U309" s="3">
        <f>(1+'10. Whatif Control pannel'!$B$6)*T309</f>
        <v>619.1808</v>
      </c>
      <c r="V309" s="3" t="str">
        <f t="shared" si="66"/>
        <v>Low</v>
      </c>
      <c r="W309" s="34">
        <v>0.176</v>
      </c>
      <c r="X309" s="24" t="str">
        <f t="shared" si="67"/>
        <v>Okay</v>
      </c>
      <c r="Y309" s="36">
        <f>IF(W309&lt;=0.25,W309,'10. Whatif Control pannel'!$B$2)</f>
        <v>0.176</v>
      </c>
      <c r="Z309" s="24">
        <v>8</v>
      </c>
      <c r="AA309" s="13">
        <f>(1+'10. Whatif Control pannel'!$B$10)*Z309</f>
        <v>9.6</v>
      </c>
      <c r="AB309" s="3">
        <f t="shared" si="68"/>
        <v>3644.32128</v>
      </c>
      <c r="AC309" s="3">
        <f t="shared" si="73"/>
        <v>4897.96780032</v>
      </c>
      <c r="AD309" s="3">
        <f t="shared" si="69"/>
        <v>3063.68</v>
      </c>
      <c r="AE309" s="3">
        <f t="shared" si="70"/>
        <v>580.641280000001</v>
      </c>
      <c r="AF309" s="3">
        <f t="shared" si="74"/>
        <v>1834.28780032</v>
      </c>
      <c r="AG309">
        <f t="shared" si="71"/>
        <v>0.159327686937635</v>
      </c>
    </row>
    <row r="310" spans="1:33">
      <c r="A310" t="s">
        <v>718</v>
      </c>
      <c r="B310" s="20">
        <v>45679</v>
      </c>
      <c r="C310" s="2">
        <f t="shared" si="60"/>
        <v>1</v>
      </c>
      <c r="D310" s="21">
        <f t="shared" si="72"/>
        <v>45679</v>
      </c>
      <c r="E310" s="19" t="str">
        <f t="shared" si="61"/>
        <v>Quarter 1</v>
      </c>
      <c r="F310" s="19">
        <v>45692</v>
      </c>
      <c r="G310" s="19">
        <f t="shared" si="62"/>
        <v>45692</v>
      </c>
      <c r="H310" s="22">
        <f t="shared" si="63"/>
        <v>13</v>
      </c>
      <c r="I310" t="str">
        <f t="shared" si="64"/>
        <v>Delayed </v>
      </c>
      <c r="J310" t="s">
        <v>45</v>
      </c>
      <c r="K310" t="s">
        <v>46</v>
      </c>
      <c r="L310" t="s">
        <v>214</v>
      </c>
      <c r="M310" t="s">
        <v>62</v>
      </c>
      <c r="N310" t="s">
        <v>55</v>
      </c>
      <c r="O310" t="s">
        <v>49</v>
      </c>
      <c r="P310" t="s">
        <v>30</v>
      </c>
      <c r="Q310" t="s">
        <v>719</v>
      </c>
      <c r="R310" s="3">
        <v>122.29</v>
      </c>
      <c r="S310" s="3">
        <v>224.95</v>
      </c>
      <c r="T310" s="3">
        <f t="shared" si="65"/>
        <v>224.95</v>
      </c>
      <c r="U310" s="3">
        <f>(1+'10. Whatif Control pannel'!$B$6)*T310</f>
        <v>251.944</v>
      </c>
      <c r="V310" s="3" t="str">
        <f t="shared" si="66"/>
        <v>Low</v>
      </c>
      <c r="W310" s="34">
        <v>0.153</v>
      </c>
      <c r="X310" s="24" t="str">
        <f t="shared" si="67"/>
        <v>Okay</v>
      </c>
      <c r="Y310" s="36">
        <f>IF(W310&lt;=0.25,W310,'10. Whatif Control pannel'!$B$2)</f>
        <v>0.153</v>
      </c>
      <c r="Z310" s="24">
        <v>28</v>
      </c>
      <c r="AA310" s="13">
        <f>(1+'10. Whatif Control pannel'!$B$10)*Z310</f>
        <v>33.6</v>
      </c>
      <c r="AB310" s="3">
        <f t="shared" si="68"/>
        <v>5334.9142</v>
      </c>
      <c r="AC310" s="3">
        <f t="shared" si="73"/>
        <v>7170.1246848</v>
      </c>
      <c r="AD310" s="3">
        <f t="shared" si="69"/>
        <v>3424.12</v>
      </c>
      <c r="AE310" s="3">
        <f t="shared" si="70"/>
        <v>1910.7942</v>
      </c>
      <c r="AF310" s="3">
        <f t="shared" si="74"/>
        <v>3746.0046848</v>
      </c>
      <c r="AG310">
        <f t="shared" si="71"/>
        <v>0.358167747102662</v>
      </c>
    </row>
    <row r="311" spans="1:33">
      <c r="A311" t="s">
        <v>720</v>
      </c>
      <c r="B311" s="20">
        <v>44936</v>
      </c>
      <c r="C311" s="2">
        <f t="shared" si="60"/>
        <v>1</v>
      </c>
      <c r="D311" s="21">
        <f t="shared" si="72"/>
        <v>44936</v>
      </c>
      <c r="E311" s="19" t="str">
        <f t="shared" si="61"/>
        <v>Quarter 1</v>
      </c>
      <c r="F311" s="19">
        <v>44955</v>
      </c>
      <c r="G311" s="19">
        <f t="shared" si="62"/>
        <v>44955</v>
      </c>
      <c r="H311" s="22">
        <f t="shared" si="63"/>
        <v>19</v>
      </c>
      <c r="I311" t="str">
        <f t="shared" si="64"/>
        <v>Delayed </v>
      </c>
      <c r="J311" t="s">
        <v>78</v>
      </c>
      <c r="K311" t="s">
        <v>90</v>
      </c>
      <c r="L311" t="s">
        <v>138</v>
      </c>
      <c r="M311" t="s">
        <v>39</v>
      </c>
      <c r="N311" t="s">
        <v>98</v>
      </c>
      <c r="O311" t="s">
        <v>145</v>
      </c>
      <c r="P311" t="s">
        <v>57</v>
      </c>
      <c r="Q311" t="s">
        <v>721</v>
      </c>
      <c r="R311" s="3">
        <v>401.66</v>
      </c>
      <c r="S311" s="3">
        <v>772.09</v>
      </c>
      <c r="T311" s="3">
        <f t="shared" si="65"/>
        <v>772.09</v>
      </c>
      <c r="U311" s="3">
        <f>(1+'10. Whatif Control pannel'!$B$6)*T311</f>
        <v>864.7408</v>
      </c>
      <c r="V311" s="3" t="str">
        <f t="shared" si="66"/>
        <v>Low</v>
      </c>
      <c r="W311" s="34">
        <v>0.089</v>
      </c>
      <c r="X311" s="24" t="str">
        <f t="shared" si="67"/>
        <v>Okay</v>
      </c>
      <c r="Y311" s="36">
        <f>IF(W311&lt;=0.25,W311,'10. Whatif Control pannel'!$B$2)</f>
        <v>0.089</v>
      </c>
      <c r="Z311" s="24">
        <v>14</v>
      </c>
      <c r="AA311" s="13">
        <f>(1+'10. Whatif Control pannel'!$B$10)*Z311</f>
        <v>16.8</v>
      </c>
      <c r="AB311" s="3">
        <f t="shared" si="68"/>
        <v>9847.23586</v>
      </c>
      <c r="AC311" s="3">
        <f t="shared" si="73"/>
        <v>13234.68499584</v>
      </c>
      <c r="AD311" s="3">
        <f t="shared" si="69"/>
        <v>5623.24</v>
      </c>
      <c r="AE311" s="3">
        <f t="shared" si="70"/>
        <v>4223.99586</v>
      </c>
      <c r="AF311" s="3">
        <f t="shared" si="74"/>
        <v>7611.44499584</v>
      </c>
      <c r="AG311">
        <f t="shared" si="71"/>
        <v>0.42895244107619</v>
      </c>
    </row>
    <row r="312" spans="1:33">
      <c r="A312" t="s">
        <v>722</v>
      </c>
      <c r="B312" s="20">
        <v>45655</v>
      </c>
      <c r="C312" s="2">
        <f t="shared" si="60"/>
        <v>12</v>
      </c>
      <c r="D312" s="21">
        <f t="shared" si="72"/>
        <v>45655</v>
      </c>
      <c r="E312" s="19" t="str">
        <f t="shared" si="61"/>
        <v>Quarter 4</v>
      </c>
      <c r="F312" s="19">
        <v>45669</v>
      </c>
      <c r="G312" s="19">
        <f t="shared" si="62"/>
        <v>45669</v>
      </c>
      <c r="H312" s="22">
        <f t="shared" si="63"/>
        <v>14</v>
      </c>
      <c r="I312" t="str">
        <f t="shared" si="64"/>
        <v>Delayed </v>
      </c>
      <c r="J312" t="s">
        <v>78</v>
      </c>
      <c r="K312" t="s">
        <v>108</v>
      </c>
      <c r="L312" t="s">
        <v>228</v>
      </c>
      <c r="M312" t="s">
        <v>19</v>
      </c>
      <c r="N312" t="s">
        <v>98</v>
      </c>
      <c r="O312" t="s">
        <v>56</v>
      </c>
      <c r="P312" t="s">
        <v>64</v>
      </c>
      <c r="Q312" t="s">
        <v>723</v>
      </c>
      <c r="R312" s="3">
        <v>1399.72</v>
      </c>
      <c r="S312" s="3">
        <v>3149.21</v>
      </c>
      <c r="T312" s="3">
        <f t="shared" si="65"/>
        <v>3149.21</v>
      </c>
      <c r="U312" s="3">
        <f>(1+'10. Whatif Control pannel'!$B$6)*T312</f>
        <v>3527.1152</v>
      </c>
      <c r="V312" s="3" t="str">
        <f t="shared" si="66"/>
        <v>High</v>
      </c>
      <c r="W312" s="34">
        <v>0.185</v>
      </c>
      <c r="X312" s="24" t="str">
        <f t="shared" si="67"/>
        <v>Okay</v>
      </c>
      <c r="Y312" s="36">
        <f>IF(W312&lt;=0.25,W312,'10. Whatif Control pannel'!$B$2)</f>
        <v>0.185</v>
      </c>
      <c r="Z312" s="24">
        <v>12</v>
      </c>
      <c r="AA312" s="13">
        <f>(1+'10. Whatif Control pannel'!$B$10)*Z312</f>
        <v>14.4</v>
      </c>
      <c r="AB312" s="3">
        <f t="shared" si="68"/>
        <v>30799.2738</v>
      </c>
      <c r="AC312" s="3">
        <f t="shared" si="73"/>
        <v>41394.2239872</v>
      </c>
      <c r="AD312" s="3">
        <f t="shared" si="69"/>
        <v>16796.64</v>
      </c>
      <c r="AE312" s="3">
        <f t="shared" si="70"/>
        <v>14002.6338</v>
      </c>
      <c r="AF312" s="3">
        <f t="shared" si="74"/>
        <v>24597.5839872</v>
      </c>
      <c r="AG312">
        <f t="shared" si="71"/>
        <v>0.454641687038738</v>
      </c>
    </row>
    <row r="313" spans="1:33">
      <c r="A313" t="s">
        <v>724</v>
      </c>
      <c r="B313" s="20">
        <v>45435</v>
      </c>
      <c r="C313" s="2">
        <f t="shared" si="60"/>
        <v>5</v>
      </c>
      <c r="D313" s="21">
        <f t="shared" si="72"/>
        <v>45435</v>
      </c>
      <c r="E313" s="19" t="str">
        <f t="shared" si="61"/>
        <v>Quarter 2</v>
      </c>
      <c r="F313" s="19">
        <v>45449</v>
      </c>
      <c r="G313" s="19">
        <f t="shared" si="62"/>
        <v>45449</v>
      </c>
      <c r="H313" s="22">
        <f t="shared" si="63"/>
        <v>14</v>
      </c>
      <c r="I313" t="str">
        <f t="shared" si="64"/>
        <v>Delayed </v>
      </c>
      <c r="J313" t="s">
        <v>52</v>
      </c>
      <c r="K313" t="s">
        <v>73</v>
      </c>
      <c r="L313" t="s">
        <v>225</v>
      </c>
      <c r="M313" t="s">
        <v>39</v>
      </c>
      <c r="N313" t="s">
        <v>28</v>
      </c>
      <c r="O313" t="s">
        <v>34</v>
      </c>
      <c r="P313" t="s">
        <v>35</v>
      </c>
      <c r="Q313" t="s">
        <v>725</v>
      </c>
      <c r="R313" s="3">
        <v>51.13</v>
      </c>
      <c r="S313" s="3">
        <v>57.53</v>
      </c>
      <c r="T313" s="3">
        <f t="shared" si="65"/>
        <v>57.53</v>
      </c>
      <c r="U313" s="3">
        <f>(1+'10. Whatif Control pannel'!$B$6)*T313</f>
        <v>64.4336</v>
      </c>
      <c r="V313" s="3" t="str">
        <f t="shared" si="66"/>
        <v>Low</v>
      </c>
      <c r="W313" s="34">
        <v>0.045</v>
      </c>
      <c r="X313" s="24" t="str">
        <f t="shared" si="67"/>
        <v>Okay</v>
      </c>
      <c r="Y313" s="36">
        <f>IF(W313&lt;=0.25,W313,'10. Whatif Control pannel'!$B$2)</f>
        <v>0.045</v>
      </c>
      <c r="Z313" s="24">
        <v>16</v>
      </c>
      <c r="AA313" s="13">
        <f>(1+'10. Whatif Control pannel'!$B$10)*Z313</f>
        <v>19.2</v>
      </c>
      <c r="AB313" s="3">
        <f t="shared" si="68"/>
        <v>879.0584</v>
      </c>
      <c r="AC313" s="3">
        <f t="shared" si="73"/>
        <v>1181.4544896</v>
      </c>
      <c r="AD313" s="3">
        <f t="shared" si="69"/>
        <v>818.08</v>
      </c>
      <c r="AE313" s="3">
        <f t="shared" si="70"/>
        <v>60.9784</v>
      </c>
      <c r="AF313" s="3">
        <f t="shared" si="74"/>
        <v>363.3744896</v>
      </c>
      <c r="AG313">
        <f t="shared" si="71"/>
        <v>0.0693678599738083</v>
      </c>
    </row>
    <row r="314" spans="1:33">
      <c r="A314" t="s">
        <v>726</v>
      </c>
      <c r="B314" s="20">
        <v>45101</v>
      </c>
      <c r="C314" s="2">
        <f t="shared" si="60"/>
        <v>6</v>
      </c>
      <c r="D314" s="21">
        <f t="shared" si="72"/>
        <v>45101</v>
      </c>
      <c r="E314" s="19" t="str">
        <f t="shared" si="61"/>
        <v>Quarter 2</v>
      </c>
      <c r="F314" s="19">
        <v>45099</v>
      </c>
      <c r="G314" s="19">
        <f t="shared" si="62"/>
        <v>45108</v>
      </c>
      <c r="H314" s="22">
        <f t="shared" si="63"/>
        <v>7</v>
      </c>
      <c r="I314" t="str">
        <f t="shared" si="64"/>
        <v>Ontime</v>
      </c>
      <c r="J314" t="s">
        <v>52</v>
      </c>
      <c r="K314" t="s">
        <v>53</v>
      </c>
      <c r="L314" t="s">
        <v>54</v>
      </c>
      <c r="M314" t="s">
        <v>39</v>
      </c>
      <c r="N314" t="s">
        <v>20</v>
      </c>
      <c r="O314" t="s">
        <v>110</v>
      </c>
      <c r="P314" t="s">
        <v>81</v>
      </c>
      <c r="Q314" t="s">
        <v>727</v>
      </c>
      <c r="R314" s="3">
        <v>471.42</v>
      </c>
      <c r="S314" s="3">
        <v>824.81</v>
      </c>
      <c r="T314" s="3">
        <f t="shared" si="65"/>
        <v>824.81</v>
      </c>
      <c r="U314" s="3">
        <f>(1+'10. Whatif Control pannel'!$B$6)*T314</f>
        <v>923.7872</v>
      </c>
      <c r="V314" s="3" t="str">
        <f t="shared" si="66"/>
        <v>Low</v>
      </c>
      <c r="W314" s="34">
        <v>0.088</v>
      </c>
      <c r="X314" s="24" t="str">
        <f t="shared" si="67"/>
        <v>Okay</v>
      </c>
      <c r="Y314" s="36">
        <f>IF(W314&lt;=0.25,W314,'10. Whatif Control pannel'!$B$2)</f>
        <v>0.088</v>
      </c>
      <c r="Z314" s="24">
        <v>15</v>
      </c>
      <c r="AA314" s="13">
        <f>(1+'10. Whatif Control pannel'!$B$10)*Z314</f>
        <v>18</v>
      </c>
      <c r="AB314" s="3">
        <f t="shared" si="68"/>
        <v>11283.4008</v>
      </c>
      <c r="AC314" s="3">
        <f t="shared" si="73"/>
        <v>15164.8906752</v>
      </c>
      <c r="AD314" s="3">
        <f t="shared" si="69"/>
        <v>7071.3</v>
      </c>
      <c r="AE314" s="3">
        <f t="shared" si="70"/>
        <v>4212.1008</v>
      </c>
      <c r="AF314" s="3">
        <f t="shared" si="74"/>
        <v>8093.5906752</v>
      </c>
      <c r="AG314">
        <f t="shared" si="71"/>
        <v>0.373300645316082</v>
      </c>
    </row>
    <row r="315" spans="1:33">
      <c r="A315" t="s">
        <v>728</v>
      </c>
      <c r="B315" s="20">
        <v>45600</v>
      </c>
      <c r="C315" s="2">
        <f t="shared" si="60"/>
        <v>11</v>
      </c>
      <c r="D315" s="21">
        <f t="shared" si="72"/>
        <v>45600</v>
      </c>
      <c r="E315" s="19" t="str">
        <f t="shared" si="61"/>
        <v>Quarter 4</v>
      </c>
      <c r="F315" s="19">
        <v>45601</v>
      </c>
      <c r="G315" s="19">
        <f t="shared" si="62"/>
        <v>45601</v>
      </c>
      <c r="H315" s="22">
        <f t="shared" si="63"/>
        <v>1</v>
      </c>
      <c r="I315" t="str">
        <f t="shared" si="64"/>
        <v>Ontime</v>
      </c>
      <c r="J315" t="s">
        <v>78</v>
      </c>
      <c r="K315" t="s">
        <v>108</v>
      </c>
      <c r="L315" t="s">
        <v>152</v>
      </c>
      <c r="M315" t="s">
        <v>19</v>
      </c>
      <c r="N315" t="s">
        <v>20</v>
      </c>
      <c r="O315" t="s">
        <v>110</v>
      </c>
      <c r="P315" t="s">
        <v>30</v>
      </c>
      <c r="Q315" t="s">
        <v>729</v>
      </c>
      <c r="R315" s="3">
        <v>840.68</v>
      </c>
      <c r="S315" s="3">
        <v>1493.53</v>
      </c>
      <c r="T315" s="3">
        <f t="shared" si="65"/>
        <v>1493.53</v>
      </c>
      <c r="U315" s="3">
        <f>(1+'10. Whatif Control pannel'!$B$6)*T315</f>
        <v>1672.7536</v>
      </c>
      <c r="V315" s="3" t="str">
        <f t="shared" si="66"/>
        <v>Medium</v>
      </c>
      <c r="W315" s="34">
        <v>0</v>
      </c>
      <c r="X315" s="24" t="str">
        <f t="shared" si="67"/>
        <v>Okay</v>
      </c>
      <c r="Y315" s="36">
        <f>IF(W315&lt;=0.25,W315,'10. Whatif Control pannel'!$B$2)</f>
        <v>0</v>
      </c>
      <c r="Z315" s="24">
        <v>27</v>
      </c>
      <c r="AA315" s="13">
        <f>(1+'10. Whatif Control pannel'!$B$10)*Z315</f>
        <v>32.4</v>
      </c>
      <c r="AB315" s="3">
        <f t="shared" si="68"/>
        <v>40325.31</v>
      </c>
      <c r="AC315" s="3">
        <f t="shared" si="73"/>
        <v>54197.21664</v>
      </c>
      <c r="AD315" s="3">
        <f t="shared" si="69"/>
        <v>22698.36</v>
      </c>
      <c r="AE315" s="3">
        <f t="shared" si="70"/>
        <v>17626.95</v>
      </c>
      <c r="AF315" s="3">
        <f t="shared" si="74"/>
        <v>31498.85664</v>
      </c>
      <c r="AG315">
        <f t="shared" si="71"/>
        <v>0.43711877230454</v>
      </c>
    </row>
    <row r="316" spans="1:33">
      <c r="A316" t="s">
        <v>730</v>
      </c>
      <c r="B316" s="20">
        <v>45451</v>
      </c>
      <c r="C316" s="2">
        <f t="shared" si="60"/>
        <v>6</v>
      </c>
      <c r="D316" s="21">
        <f t="shared" si="72"/>
        <v>45451</v>
      </c>
      <c r="E316" s="19" t="str">
        <f t="shared" si="61"/>
        <v>Quarter 2</v>
      </c>
      <c r="F316" s="19">
        <v>45467</v>
      </c>
      <c r="G316" s="19">
        <f t="shared" si="62"/>
        <v>45467</v>
      </c>
      <c r="H316" s="22">
        <f t="shared" si="63"/>
        <v>16</v>
      </c>
      <c r="I316" t="str">
        <f t="shared" si="64"/>
        <v>Delayed </v>
      </c>
      <c r="J316" t="s">
        <v>16</v>
      </c>
      <c r="K316" t="s">
        <v>148</v>
      </c>
      <c r="L316" t="s">
        <v>172</v>
      </c>
      <c r="M316" t="s">
        <v>27</v>
      </c>
      <c r="N316" t="s">
        <v>55</v>
      </c>
      <c r="O316" t="s">
        <v>92</v>
      </c>
      <c r="P316" t="s">
        <v>64</v>
      </c>
      <c r="Q316" t="s">
        <v>731</v>
      </c>
      <c r="R316" s="3">
        <v>597.85</v>
      </c>
      <c r="S316" s="3">
        <v>741.92</v>
      </c>
      <c r="T316" s="3">
        <f t="shared" si="65"/>
        <v>741.92</v>
      </c>
      <c r="U316" s="3">
        <f>(1+'10. Whatif Control pannel'!$B$6)*T316</f>
        <v>830.9504</v>
      </c>
      <c r="V316" s="3" t="str">
        <f t="shared" si="66"/>
        <v>Low</v>
      </c>
      <c r="W316" s="34">
        <v>0.031</v>
      </c>
      <c r="X316" s="24" t="str">
        <f t="shared" si="67"/>
        <v>Okay</v>
      </c>
      <c r="Y316" s="36">
        <f>IF(W316&lt;=0.25,W316,'10. Whatif Control pannel'!$B$2)</f>
        <v>0.031</v>
      </c>
      <c r="Z316" s="24">
        <v>7</v>
      </c>
      <c r="AA316" s="13">
        <f>(1+'10. Whatif Control pannel'!$B$10)*Z316</f>
        <v>8.4</v>
      </c>
      <c r="AB316" s="3">
        <f t="shared" si="68"/>
        <v>5032.44336</v>
      </c>
      <c r="AC316" s="3">
        <f t="shared" si="73"/>
        <v>6763.60387584</v>
      </c>
      <c r="AD316" s="3">
        <f t="shared" si="69"/>
        <v>4184.95</v>
      </c>
      <c r="AE316" s="3">
        <f t="shared" si="70"/>
        <v>847.493359999999</v>
      </c>
      <c r="AF316" s="3">
        <f t="shared" si="74"/>
        <v>2578.65387584</v>
      </c>
      <c r="AG316">
        <f t="shared" si="71"/>
        <v>0.168405941085445</v>
      </c>
    </row>
    <row r="317" spans="1:33">
      <c r="A317" t="s">
        <v>732</v>
      </c>
      <c r="B317" s="20">
        <v>45809</v>
      </c>
      <c r="C317" s="2">
        <f t="shared" si="60"/>
        <v>6</v>
      </c>
      <c r="D317" s="21">
        <f t="shared" si="72"/>
        <v>45809</v>
      </c>
      <c r="E317" s="19" t="str">
        <f t="shared" si="61"/>
        <v>Quarter 2</v>
      </c>
      <c r="F317" s="19">
        <v>45814</v>
      </c>
      <c r="G317" s="19">
        <f t="shared" si="62"/>
        <v>45814</v>
      </c>
      <c r="H317" s="22">
        <f t="shared" si="63"/>
        <v>5</v>
      </c>
      <c r="I317" t="str">
        <f t="shared" si="64"/>
        <v>Ontime</v>
      </c>
      <c r="J317" t="s">
        <v>78</v>
      </c>
      <c r="K317" t="s">
        <v>90</v>
      </c>
      <c r="L317" t="s">
        <v>217</v>
      </c>
      <c r="M317" t="s">
        <v>48</v>
      </c>
      <c r="N317" t="s">
        <v>55</v>
      </c>
      <c r="O317" t="s">
        <v>41</v>
      </c>
      <c r="P317" t="s">
        <v>22</v>
      </c>
      <c r="Q317" t="s">
        <v>733</v>
      </c>
      <c r="R317" s="3">
        <v>379.45</v>
      </c>
      <c r="S317" s="3">
        <v>742.23</v>
      </c>
      <c r="T317" s="3">
        <f t="shared" si="65"/>
        <v>742.23</v>
      </c>
      <c r="U317" s="3">
        <f>(1+'10. Whatif Control pannel'!$B$6)*T317</f>
        <v>831.2976</v>
      </c>
      <c r="V317" s="3" t="str">
        <f t="shared" si="66"/>
        <v>Low</v>
      </c>
      <c r="W317" s="34">
        <v>0.09</v>
      </c>
      <c r="X317" s="24" t="str">
        <f t="shared" si="67"/>
        <v>Okay</v>
      </c>
      <c r="Y317" s="36">
        <f>IF(W317&lt;=0.25,W317,'10. Whatif Control pannel'!$B$2)</f>
        <v>0.09</v>
      </c>
      <c r="Z317" s="24">
        <v>13</v>
      </c>
      <c r="AA317" s="13">
        <f>(1+'10. Whatif Control pannel'!$B$10)*Z317</f>
        <v>15.6</v>
      </c>
      <c r="AB317" s="3">
        <f t="shared" si="68"/>
        <v>8780.5809</v>
      </c>
      <c r="AC317" s="3">
        <f t="shared" si="73"/>
        <v>11801.1007296</v>
      </c>
      <c r="AD317" s="3">
        <f t="shared" si="69"/>
        <v>4932.85</v>
      </c>
      <c r="AE317" s="3">
        <f t="shared" si="70"/>
        <v>3847.7309</v>
      </c>
      <c r="AF317" s="3">
        <f t="shared" si="74"/>
        <v>6868.2507296</v>
      </c>
      <c r="AG317">
        <f t="shared" si="71"/>
        <v>0.438209150831923</v>
      </c>
    </row>
    <row r="318" spans="1:33">
      <c r="A318" t="s">
        <v>734</v>
      </c>
      <c r="B318" s="20">
        <v>45052</v>
      </c>
      <c r="C318" s="2">
        <f t="shared" si="60"/>
        <v>5</v>
      </c>
      <c r="D318" s="21">
        <f t="shared" si="72"/>
        <v>45052</v>
      </c>
      <c r="E318" s="19" t="str">
        <f t="shared" si="61"/>
        <v>Quarter 2</v>
      </c>
      <c r="F318" s="19">
        <v>45060</v>
      </c>
      <c r="G318" s="19">
        <f t="shared" si="62"/>
        <v>45060</v>
      </c>
      <c r="H318" s="22">
        <f t="shared" si="63"/>
        <v>8</v>
      </c>
      <c r="I318" t="str">
        <f t="shared" si="64"/>
        <v>Delayed </v>
      </c>
      <c r="J318" t="s">
        <v>45</v>
      </c>
      <c r="K318" t="s">
        <v>46</v>
      </c>
      <c r="L318" t="s">
        <v>47</v>
      </c>
      <c r="M318" t="s">
        <v>105</v>
      </c>
      <c r="N318" t="s">
        <v>40</v>
      </c>
      <c r="O318" t="s">
        <v>56</v>
      </c>
      <c r="P318" t="s">
        <v>42</v>
      </c>
      <c r="Q318" t="s">
        <v>735</v>
      </c>
      <c r="R318" s="3">
        <v>291.18</v>
      </c>
      <c r="S318" s="3">
        <v>479.54</v>
      </c>
      <c r="T318" s="3">
        <f t="shared" si="65"/>
        <v>479.54</v>
      </c>
      <c r="U318" s="3">
        <f>(1+'10. Whatif Control pannel'!$B$6)*T318</f>
        <v>537.0848</v>
      </c>
      <c r="V318" s="3" t="str">
        <f t="shared" si="66"/>
        <v>Low</v>
      </c>
      <c r="W318" s="34">
        <v>0.141</v>
      </c>
      <c r="X318" s="24" t="str">
        <f t="shared" si="67"/>
        <v>Okay</v>
      </c>
      <c r="Y318" s="36">
        <f>IF(W318&lt;=0.25,W318,'10. Whatif Control pannel'!$B$2)</f>
        <v>0.141</v>
      </c>
      <c r="Z318" s="24">
        <v>22</v>
      </c>
      <c r="AA318" s="13">
        <f>(1+'10. Whatif Control pannel'!$B$10)*Z318</f>
        <v>26.4</v>
      </c>
      <c r="AB318" s="3">
        <f t="shared" si="68"/>
        <v>9062.34692</v>
      </c>
      <c r="AC318" s="3">
        <f t="shared" si="73"/>
        <v>12179.79426048</v>
      </c>
      <c r="AD318" s="3">
        <f t="shared" si="69"/>
        <v>6405.96</v>
      </c>
      <c r="AE318" s="3">
        <f t="shared" si="70"/>
        <v>2656.38692</v>
      </c>
      <c r="AF318" s="3">
        <f t="shared" si="74"/>
        <v>5773.83426048</v>
      </c>
      <c r="AG318">
        <f t="shared" si="71"/>
        <v>0.29312350801066</v>
      </c>
    </row>
    <row r="319" spans="1:33">
      <c r="A319" t="s">
        <v>736</v>
      </c>
      <c r="B319" s="20">
        <v>45244</v>
      </c>
      <c r="C319" s="2">
        <f t="shared" si="60"/>
        <v>11</v>
      </c>
      <c r="D319" s="21">
        <f t="shared" si="72"/>
        <v>45244</v>
      </c>
      <c r="E319" s="19" t="str">
        <f t="shared" si="61"/>
        <v>Quarter 4</v>
      </c>
      <c r="F319" s="19">
        <v>45260</v>
      </c>
      <c r="G319" s="19">
        <f t="shared" si="62"/>
        <v>45260</v>
      </c>
      <c r="H319" s="22">
        <f t="shared" si="63"/>
        <v>16</v>
      </c>
      <c r="I319" t="str">
        <f t="shared" si="64"/>
        <v>Delayed </v>
      </c>
      <c r="J319" t="s">
        <v>52</v>
      </c>
      <c r="K319" t="s">
        <v>73</v>
      </c>
      <c r="L319" t="s">
        <v>74</v>
      </c>
      <c r="M319" t="s">
        <v>105</v>
      </c>
      <c r="N319" t="s">
        <v>98</v>
      </c>
      <c r="O319" t="s">
        <v>95</v>
      </c>
      <c r="P319" t="s">
        <v>35</v>
      </c>
      <c r="Q319" t="s">
        <v>737</v>
      </c>
      <c r="R319" s="3">
        <v>1017.92</v>
      </c>
      <c r="S319" s="3">
        <v>1175.25</v>
      </c>
      <c r="T319" s="3">
        <f t="shared" si="65"/>
        <v>1175.25</v>
      </c>
      <c r="U319" s="3">
        <f>(1+'10. Whatif Control pannel'!$B$6)*T319</f>
        <v>1316.28</v>
      </c>
      <c r="V319" s="3" t="str">
        <f t="shared" si="66"/>
        <v>Medium</v>
      </c>
      <c r="W319" s="34">
        <v>0.075</v>
      </c>
      <c r="X319" s="24" t="str">
        <f t="shared" si="67"/>
        <v>Okay</v>
      </c>
      <c r="Y319" s="36">
        <f>IF(W319&lt;=0.25,W319,'10. Whatif Control pannel'!$B$2)</f>
        <v>0.075</v>
      </c>
      <c r="Z319" s="24">
        <v>15</v>
      </c>
      <c r="AA319" s="13">
        <f>(1+'10. Whatif Control pannel'!$B$10)*Z319</f>
        <v>18</v>
      </c>
      <c r="AB319" s="3">
        <f t="shared" si="68"/>
        <v>16306.59375</v>
      </c>
      <c r="AC319" s="3">
        <f t="shared" si="73"/>
        <v>21916.062</v>
      </c>
      <c r="AD319" s="3">
        <f t="shared" si="69"/>
        <v>15268.8</v>
      </c>
      <c r="AE319" s="3">
        <f t="shared" si="70"/>
        <v>1037.79375</v>
      </c>
      <c r="AF319" s="3">
        <f t="shared" si="74"/>
        <v>6647.26200000001</v>
      </c>
      <c r="AG319">
        <f t="shared" si="71"/>
        <v>0.0636425832341595</v>
      </c>
    </row>
    <row r="320" spans="1:33">
      <c r="A320" t="s">
        <v>738</v>
      </c>
      <c r="B320" s="20">
        <v>45748</v>
      </c>
      <c r="C320" s="2">
        <f t="shared" si="60"/>
        <v>4</v>
      </c>
      <c r="D320" s="21">
        <f t="shared" si="72"/>
        <v>45748</v>
      </c>
      <c r="E320" s="19" t="str">
        <f t="shared" si="61"/>
        <v>Quarter 2</v>
      </c>
      <c r="F320" s="19">
        <v>45774</v>
      </c>
      <c r="G320" s="19">
        <f t="shared" si="62"/>
        <v>45774</v>
      </c>
      <c r="H320" s="22">
        <f t="shared" si="63"/>
        <v>26</v>
      </c>
      <c r="I320" t="str">
        <f t="shared" si="64"/>
        <v>Delayed </v>
      </c>
      <c r="J320" t="s">
        <v>52</v>
      </c>
      <c r="K320" t="s">
        <v>122</v>
      </c>
      <c r="L320" t="s">
        <v>167</v>
      </c>
      <c r="M320" t="s">
        <v>19</v>
      </c>
      <c r="N320" t="s">
        <v>98</v>
      </c>
      <c r="O320" t="s">
        <v>34</v>
      </c>
      <c r="P320" t="s">
        <v>64</v>
      </c>
      <c r="Q320" t="s">
        <v>739</v>
      </c>
      <c r="R320" s="3">
        <v>156.55</v>
      </c>
      <c r="S320" s="3">
        <v>227.45</v>
      </c>
      <c r="T320" s="3">
        <f t="shared" si="65"/>
        <v>227.45</v>
      </c>
      <c r="U320" s="3">
        <f>(1+'10. Whatif Control pannel'!$B$6)*T320</f>
        <v>254.744</v>
      </c>
      <c r="V320" s="3" t="str">
        <f t="shared" si="66"/>
        <v>Low</v>
      </c>
      <c r="W320" s="34">
        <v>0.014</v>
      </c>
      <c r="X320" s="24" t="str">
        <f t="shared" si="67"/>
        <v>Okay</v>
      </c>
      <c r="Y320" s="36">
        <f>IF(W320&lt;=0.25,W320,'10. Whatif Control pannel'!$B$2)</f>
        <v>0.014</v>
      </c>
      <c r="Z320" s="24">
        <v>13</v>
      </c>
      <c r="AA320" s="13">
        <f>(1+'10. Whatif Control pannel'!$B$10)*Z320</f>
        <v>15.6</v>
      </c>
      <c r="AB320" s="3">
        <f t="shared" si="68"/>
        <v>2915.4541</v>
      </c>
      <c r="AC320" s="3">
        <f t="shared" si="73"/>
        <v>3918.3703104</v>
      </c>
      <c r="AD320" s="3">
        <f t="shared" si="69"/>
        <v>2035.15</v>
      </c>
      <c r="AE320" s="3">
        <f t="shared" si="70"/>
        <v>880.3041</v>
      </c>
      <c r="AF320" s="3">
        <f t="shared" si="74"/>
        <v>1883.2203104</v>
      </c>
      <c r="AG320">
        <f t="shared" si="71"/>
        <v>0.301944077939694</v>
      </c>
    </row>
    <row r="321" spans="1:33">
      <c r="A321" t="s">
        <v>740</v>
      </c>
      <c r="B321" s="20">
        <v>45008</v>
      </c>
      <c r="C321" s="2">
        <f t="shared" si="60"/>
        <v>3</v>
      </c>
      <c r="D321" s="21">
        <f t="shared" si="72"/>
        <v>45008</v>
      </c>
      <c r="E321" s="19" t="str">
        <f t="shared" si="61"/>
        <v>Quarter 1</v>
      </c>
      <c r="F321" s="19">
        <v>45031</v>
      </c>
      <c r="G321" s="19">
        <f t="shared" si="62"/>
        <v>45031</v>
      </c>
      <c r="H321" s="22">
        <f t="shared" si="63"/>
        <v>23</v>
      </c>
      <c r="I321" t="str">
        <f t="shared" si="64"/>
        <v>Delayed </v>
      </c>
      <c r="J321" t="s">
        <v>16</v>
      </c>
      <c r="K321" t="s">
        <v>17</v>
      </c>
      <c r="L321" t="s">
        <v>113</v>
      </c>
      <c r="M321" t="s">
        <v>62</v>
      </c>
      <c r="N321" t="s">
        <v>20</v>
      </c>
      <c r="O321" t="s">
        <v>21</v>
      </c>
      <c r="P321" t="s">
        <v>81</v>
      </c>
      <c r="Q321" t="s">
        <v>741</v>
      </c>
      <c r="R321" s="3">
        <v>875.36</v>
      </c>
      <c r="S321" s="3">
        <v>1178.62</v>
      </c>
      <c r="T321" s="3">
        <f t="shared" si="65"/>
        <v>1178.62</v>
      </c>
      <c r="U321" s="3">
        <f>(1+'10. Whatif Control pannel'!$B$6)*T321</f>
        <v>1320.0544</v>
      </c>
      <c r="V321" s="3" t="str">
        <f t="shared" si="66"/>
        <v>Medium</v>
      </c>
      <c r="W321" s="34">
        <v>0.151</v>
      </c>
      <c r="X321" s="24" t="str">
        <f t="shared" si="67"/>
        <v>Okay</v>
      </c>
      <c r="Y321" s="36">
        <f>IF(W321&lt;=0.25,W321,'10. Whatif Control pannel'!$B$2)</f>
        <v>0.151</v>
      </c>
      <c r="Z321" s="24">
        <v>53</v>
      </c>
      <c r="AA321" s="13">
        <f>(1+'10. Whatif Control pannel'!$B$10)*Z321</f>
        <v>63.6</v>
      </c>
      <c r="AB321" s="3">
        <f t="shared" si="68"/>
        <v>53034.36414</v>
      </c>
      <c r="AC321" s="3">
        <f t="shared" si="73"/>
        <v>71278.18540416</v>
      </c>
      <c r="AD321" s="3">
        <f t="shared" si="69"/>
        <v>46394.08</v>
      </c>
      <c r="AE321" s="3">
        <f t="shared" si="70"/>
        <v>6640.28413999999</v>
      </c>
      <c r="AF321" s="3">
        <f t="shared" si="74"/>
        <v>24884.10540416</v>
      </c>
      <c r="AG321">
        <f t="shared" si="71"/>
        <v>0.125207198156859</v>
      </c>
    </row>
    <row r="322" spans="1:33">
      <c r="A322" t="s">
        <v>742</v>
      </c>
      <c r="B322" s="20">
        <v>45440</v>
      </c>
      <c r="C322" s="2">
        <f t="shared" ref="C322:C385" si="75">MONTH(B322)</f>
        <v>5</v>
      </c>
      <c r="D322" s="21">
        <f t="shared" si="72"/>
        <v>45440</v>
      </c>
      <c r="E322" s="19" t="str">
        <f t="shared" ref="E322:E385" si="76">IF(AND(MONTH(B322)&gt;=1,MONTH(B322)&lt;=3),"Quarter 1",IF(AND(MONTH(B322)&gt;=4,MONTH(B322)&lt;=6),"Quarter 2",IF(AND(MONTH(B322)&gt;=7,MONTH(B322)&lt;=9),"Quarter 3",IF(AND(MONTH(B322)&gt;=10,MONTH(B322)&lt;=12),"Quarter 4"))))</f>
        <v>Quarter 2</v>
      </c>
      <c r="F322" s="19">
        <v>45461</v>
      </c>
      <c r="G322" s="19">
        <f t="shared" ref="G322:G385" si="77">IF(B322&gt;F322,B322+7,F322)</f>
        <v>45461</v>
      </c>
      <c r="H322" s="22">
        <f t="shared" ref="H322:H385" si="78">G322-B322</f>
        <v>21</v>
      </c>
      <c r="I322" t="str">
        <f t="shared" ref="I322:I385" si="79">IF(H322&lt;=7,"Ontime","Delayed ")</f>
        <v>Delayed </v>
      </c>
      <c r="J322" t="s">
        <v>78</v>
      </c>
      <c r="K322" t="s">
        <v>79</v>
      </c>
      <c r="L322" t="s">
        <v>335</v>
      </c>
      <c r="M322" t="s">
        <v>62</v>
      </c>
      <c r="N322" t="s">
        <v>28</v>
      </c>
      <c r="O322" t="s">
        <v>63</v>
      </c>
      <c r="P322" t="s">
        <v>42</v>
      </c>
      <c r="Q322" t="s">
        <v>743</v>
      </c>
      <c r="R322" s="3">
        <v>986.85</v>
      </c>
      <c r="S322" s="3">
        <v>2422.1</v>
      </c>
      <c r="T322" s="3">
        <f t="shared" ref="T322:T385" si="80">IF(S322&lt;=0,R322,S322)</f>
        <v>2422.1</v>
      </c>
      <c r="U322" s="3">
        <f>(1+'10. Whatif Control pannel'!$B$6)*T322</f>
        <v>2712.752</v>
      </c>
      <c r="V322" s="3" t="str">
        <f t="shared" ref="V322:V385" si="81">IF(T322&lt;=_xlfn.PERCENTILE.INC(T322:T953,33%),"Low",IF(T322&lt;=_xlfn.PERCENTILE.INC(T322:T953,67%),"Medium","High"))</f>
        <v>High</v>
      </c>
      <c r="W322" s="34">
        <v>0.076</v>
      </c>
      <c r="X322" s="24" t="str">
        <f t="shared" ref="X322:X385" si="82">IF(W322&gt;0.2,"High Discount","Okay")</f>
        <v>Okay</v>
      </c>
      <c r="Y322" s="36">
        <f>IF(W322&lt;=0.25,W322,'10. Whatif Control pannel'!$B$2)</f>
        <v>0.076</v>
      </c>
      <c r="Z322" s="24">
        <v>10</v>
      </c>
      <c r="AA322" s="13">
        <f>(1+'10. Whatif Control pannel'!$B$10)*Z322</f>
        <v>12</v>
      </c>
      <c r="AB322" s="3">
        <f t="shared" ref="AB322:AB385" si="83">T322*Z322*(1-W322)</f>
        <v>22380.204</v>
      </c>
      <c r="AC322" s="3">
        <f t="shared" si="73"/>
        <v>30078.994176</v>
      </c>
      <c r="AD322" s="3">
        <f t="shared" ref="AD322:AD385" si="84">R322*Z322</f>
        <v>9868.5</v>
      </c>
      <c r="AE322" s="3">
        <f t="shared" ref="AE322:AE385" si="85">AB322-AD322</f>
        <v>12511.704</v>
      </c>
      <c r="AF322" s="3">
        <f t="shared" si="74"/>
        <v>20210.494176</v>
      </c>
      <c r="AG322">
        <f t="shared" ref="AG322:AG385" si="86">IF(AB322=0,0,AE322/AB322)</f>
        <v>0.559052276735279</v>
      </c>
    </row>
    <row r="323" spans="1:33">
      <c r="A323" t="s">
        <v>744</v>
      </c>
      <c r="B323" s="20">
        <v>45293</v>
      </c>
      <c r="C323" s="2">
        <f t="shared" si="75"/>
        <v>1</v>
      </c>
      <c r="D323" s="21">
        <f t="shared" ref="D323:D386" si="87">B323</f>
        <v>45293</v>
      </c>
      <c r="E323" s="19" t="str">
        <f t="shared" si="76"/>
        <v>Quarter 1</v>
      </c>
      <c r="F323" s="19">
        <v>45292</v>
      </c>
      <c r="G323" s="19">
        <f t="shared" si="77"/>
        <v>45300</v>
      </c>
      <c r="H323" s="22">
        <f t="shared" si="78"/>
        <v>7</v>
      </c>
      <c r="I323" t="str">
        <f t="shared" si="79"/>
        <v>Ontime</v>
      </c>
      <c r="J323" t="s">
        <v>52</v>
      </c>
      <c r="K323" t="s">
        <v>122</v>
      </c>
      <c r="L323" t="s">
        <v>123</v>
      </c>
      <c r="M323" t="s">
        <v>27</v>
      </c>
      <c r="N323" t="s">
        <v>40</v>
      </c>
      <c r="O323" t="s">
        <v>56</v>
      </c>
      <c r="P323" t="s">
        <v>35</v>
      </c>
      <c r="Q323" t="s">
        <v>745</v>
      </c>
      <c r="R323" s="3">
        <v>404.77</v>
      </c>
      <c r="S323" s="3">
        <v>433.88</v>
      </c>
      <c r="T323" s="3">
        <f t="shared" si="80"/>
        <v>433.88</v>
      </c>
      <c r="U323" s="3">
        <f>(1+'10. Whatif Control pannel'!$B$6)*T323</f>
        <v>485.9456</v>
      </c>
      <c r="V323" s="3" t="str">
        <f t="shared" si="81"/>
        <v>Low</v>
      </c>
      <c r="W323" s="34">
        <v>0.215</v>
      </c>
      <c r="X323" s="24" t="str">
        <f t="shared" si="82"/>
        <v>High Discount</v>
      </c>
      <c r="Y323" s="36">
        <f>IF(W323&lt;=0.25,W323,'10. Whatif Control pannel'!$B$2)</f>
        <v>0.215</v>
      </c>
      <c r="Z323" s="24">
        <v>22</v>
      </c>
      <c r="AA323" s="13">
        <f>(1+'10. Whatif Control pannel'!$B$10)*Z323</f>
        <v>26.4</v>
      </c>
      <c r="AB323" s="3">
        <f t="shared" si="83"/>
        <v>7493.1076</v>
      </c>
      <c r="AC323" s="3">
        <f t="shared" ref="AC323:AC386" si="88">U323*AA323*(1-Y323)</f>
        <v>10070.7366144</v>
      </c>
      <c r="AD323" s="3">
        <f t="shared" si="84"/>
        <v>8904.94</v>
      </c>
      <c r="AE323" s="3">
        <f t="shared" si="85"/>
        <v>-1411.8324</v>
      </c>
      <c r="AF323" s="3">
        <f t="shared" ref="AF323:AF386" si="89">AC323-AD323</f>
        <v>1165.7966144</v>
      </c>
      <c r="AG323">
        <f t="shared" si="86"/>
        <v>-0.188417473145587</v>
      </c>
    </row>
    <row r="324" spans="1:33">
      <c r="A324" t="s">
        <v>746</v>
      </c>
      <c r="B324" s="20">
        <v>44985</v>
      </c>
      <c r="C324" s="2">
        <f t="shared" si="75"/>
        <v>2</v>
      </c>
      <c r="D324" s="21">
        <f t="shared" si="87"/>
        <v>44985</v>
      </c>
      <c r="E324" s="19" t="str">
        <f t="shared" si="76"/>
        <v>Quarter 1</v>
      </c>
      <c r="F324" s="19">
        <v>44984</v>
      </c>
      <c r="G324" s="19">
        <f t="shared" si="77"/>
        <v>44992</v>
      </c>
      <c r="H324" s="22">
        <f t="shared" si="78"/>
        <v>7</v>
      </c>
      <c r="I324" t="str">
        <f t="shared" si="79"/>
        <v>Ontime</v>
      </c>
      <c r="J324" t="s">
        <v>78</v>
      </c>
      <c r="K324" t="s">
        <v>90</v>
      </c>
      <c r="L324" t="s">
        <v>91</v>
      </c>
      <c r="M324" t="s">
        <v>19</v>
      </c>
      <c r="N324" t="s">
        <v>20</v>
      </c>
      <c r="O324" t="s">
        <v>95</v>
      </c>
      <c r="P324" t="s">
        <v>35</v>
      </c>
      <c r="Q324" t="s">
        <v>747</v>
      </c>
      <c r="R324" s="3">
        <v>1299.81</v>
      </c>
      <c r="S324" s="3">
        <v>3149.13</v>
      </c>
      <c r="T324" s="3">
        <f t="shared" si="80"/>
        <v>3149.13</v>
      </c>
      <c r="U324" s="3">
        <f>(1+'10. Whatif Control pannel'!$B$6)*T324</f>
        <v>3527.0256</v>
      </c>
      <c r="V324" s="3" t="str">
        <f t="shared" si="81"/>
        <v>High</v>
      </c>
      <c r="W324" s="34">
        <v>0.103</v>
      </c>
      <c r="X324" s="24" t="str">
        <f t="shared" si="82"/>
        <v>Okay</v>
      </c>
      <c r="Y324" s="36">
        <f>IF(W324&lt;=0.25,W324,'10. Whatif Control pannel'!$B$2)</f>
        <v>0.103</v>
      </c>
      <c r="Z324" s="24">
        <v>14</v>
      </c>
      <c r="AA324" s="13">
        <f>(1+'10. Whatif Control pannel'!$B$10)*Z324</f>
        <v>16.8</v>
      </c>
      <c r="AB324" s="3">
        <f t="shared" si="83"/>
        <v>39546.77454</v>
      </c>
      <c r="AC324" s="3">
        <f t="shared" si="88"/>
        <v>53150.86498176</v>
      </c>
      <c r="AD324" s="3">
        <f t="shared" si="84"/>
        <v>18197.34</v>
      </c>
      <c r="AE324" s="3">
        <f t="shared" si="85"/>
        <v>21349.43454</v>
      </c>
      <c r="AF324" s="3">
        <f t="shared" si="89"/>
        <v>34953.52498176</v>
      </c>
      <c r="AG324">
        <f t="shared" si="86"/>
        <v>0.539852738645117</v>
      </c>
    </row>
    <row r="325" spans="1:33">
      <c r="A325" t="s">
        <v>748</v>
      </c>
      <c r="B325" s="20">
        <v>45340</v>
      </c>
      <c r="C325" s="2">
        <f t="shared" si="75"/>
        <v>2</v>
      </c>
      <c r="D325" s="21">
        <f t="shared" si="87"/>
        <v>45340</v>
      </c>
      <c r="E325" s="19" t="str">
        <f t="shared" si="76"/>
        <v>Quarter 1</v>
      </c>
      <c r="F325" s="19">
        <v>45362</v>
      </c>
      <c r="G325" s="19">
        <f t="shared" si="77"/>
        <v>45362</v>
      </c>
      <c r="H325" s="22">
        <f t="shared" si="78"/>
        <v>22</v>
      </c>
      <c r="I325" t="str">
        <f t="shared" si="79"/>
        <v>Delayed </v>
      </c>
      <c r="J325" t="s">
        <v>52</v>
      </c>
      <c r="K325" t="s">
        <v>73</v>
      </c>
      <c r="L325" t="s">
        <v>74</v>
      </c>
      <c r="M325" t="s">
        <v>48</v>
      </c>
      <c r="N325" t="s">
        <v>28</v>
      </c>
      <c r="O325" t="s">
        <v>75</v>
      </c>
      <c r="P325" t="s">
        <v>22</v>
      </c>
      <c r="Q325" t="s">
        <v>749</v>
      </c>
      <c r="R325" s="3">
        <v>80.48</v>
      </c>
      <c r="S325" s="3">
        <v>65.65</v>
      </c>
      <c r="T325" s="3">
        <f t="shared" si="80"/>
        <v>65.65</v>
      </c>
      <c r="U325" s="3">
        <f>(1+'10. Whatif Control pannel'!$B$6)*T325</f>
        <v>73.528</v>
      </c>
      <c r="V325" s="3" t="str">
        <f t="shared" si="81"/>
        <v>Low</v>
      </c>
      <c r="W325" s="34">
        <v>0.176</v>
      </c>
      <c r="X325" s="24" t="str">
        <f t="shared" si="82"/>
        <v>Okay</v>
      </c>
      <c r="Y325" s="36">
        <f>IF(W325&lt;=0.25,W325,'10. Whatif Control pannel'!$B$2)</f>
        <v>0.176</v>
      </c>
      <c r="Z325" s="24">
        <v>13</v>
      </c>
      <c r="AA325" s="13">
        <f>(1+'10. Whatif Control pannel'!$B$10)*Z325</f>
        <v>15.6</v>
      </c>
      <c r="AB325" s="3">
        <f t="shared" si="83"/>
        <v>703.2428</v>
      </c>
      <c r="AC325" s="3">
        <f t="shared" si="88"/>
        <v>945.1583232</v>
      </c>
      <c r="AD325" s="3">
        <f t="shared" si="84"/>
        <v>1046.24</v>
      </c>
      <c r="AE325" s="3">
        <f t="shared" si="85"/>
        <v>-342.9972</v>
      </c>
      <c r="AF325" s="3">
        <f t="shared" si="89"/>
        <v>-101.0816768</v>
      </c>
      <c r="AG325">
        <f t="shared" si="86"/>
        <v>-0.487736525706342</v>
      </c>
    </row>
    <row r="326" spans="1:33">
      <c r="A326" t="s">
        <v>750</v>
      </c>
      <c r="B326" s="20">
        <v>45544</v>
      </c>
      <c r="C326" s="2">
        <f t="shared" si="75"/>
        <v>9</v>
      </c>
      <c r="D326" s="21">
        <f t="shared" si="87"/>
        <v>45544</v>
      </c>
      <c r="E326" s="19" t="str">
        <f t="shared" si="76"/>
        <v>Quarter 3</v>
      </c>
      <c r="F326" s="19">
        <v>45573</v>
      </c>
      <c r="G326" s="19">
        <f t="shared" si="77"/>
        <v>45573</v>
      </c>
      <c r="H326" s="22">
        <f t="shared" si="78"/>
        <v>29</v>
      </c>
      <c r="I326" t="str">
        <f t="shared" si="79"/>
        <v>Delayed </v>
      </c>
      <c r="J326" t="s">
        <v>52</v>
      </c>
      <c r="K326" t="s">
        <v>73</v>
      </c>
      <c r="L326" t="s">
        <v>74</v>
      </c>
      <c r="M326" t="s">
        <v>27</v>
      </c>
      <c r="N326" t="s">
        <v>98</v>
      </c>
      <c r="O326" t="s">
        <v>29</v>
      </c>
      <c r="P326" t="s">
        <v>22</v>
      </c>
      <c r="Q326" t="s">
        <v>751</v>
      </c>
      <c r="R326" s="3">
        <v>1010.33</v>
      </c>
      <c r="S326" s="3">
        <v>2492.14</v>
      </c>
      <c r="T326" s="3">
        <f t="shared" si="80"/>
        <v>2492.14</v>
      </c>
      <c r="U326" s="3">
        <f>(1+'10. Whatif Control pannel'!$B$6)*T326</f>
        <v>2791.1968</v>
      </c>
      <c r="V326" s="3" t="str">
        <f t="shared" si="81"/>
        <v>High</v>
      </c>
      <c r="W326" s="34">
        <v>0.051</v>
      </c>
      <c r="X326" s="24" t="str">
        <f t="shared" si="82"/>
        <v>Okay</v>
      </c>
      <c r="Y326" s="36">
        <f>IF(W326&lt;=0.25,W326,'10. Whatif Control pannel'!$B$2)</f>
        <v>0.051</v>
      </c>
      <c r="Z326" s="24">
        <v>11</v>
      </c>
      <c r="AA326" s="13">
        <f>(1+'10. Whatif Control pannel'!$B$10)*Z326</f>
        <v>13.2</v>
      </c>
      <c r="AB326" s="3">
        <f t="shared" si="83"/>
        <v>26015.44946</v>
      </c>
      <c r="AC326" s="3">
        <f t="shared" si="88"/>
        <v>34964.76407424</v>
      </c>
      <c r="AD326" s="3">
        <f t="shared" si="84"/>
        <v>11113.63</v>
      </c>
      <c r="AE326" s="3">
        <f t="shared" si="85"/>
        <v>14901.81946</v>
      </c>
      <c r="AF326" s="3">
        <f t="shared" si="89"/>
        <v>23851.13407424</v>
      </c>
      <c r="AG326">
        <f t="shared" si="86"/>
        <v>0.572806534936568</v>
      </c>
    </row>
    <row r="327" spans="1:33">
      <c r="A327" t="s">
        <v>752</v>
      </c>
      <c r="B327" s="20">
        <v>45053</v>
      </c>
      <c r="C327" s="2">
        <f t="shared" si="75"/>
        <v>5</v>
      </c>
      <c r="D327" s="21">
        <f t="shared" si="87"/>
        <v>45053</v>
      </c>
      <c r="E327" s="19" t="str">
        <f t="shared" si="76"/>
        <v>Quarter 2</v>
      </c>
      <c r="F327" s="19">
        <v>45075</v>
      </c>
      <c r="G327" s="19">
        <f t="shared" si="77"/>
        <v>45075</v>
      </c>
      <c r="H327" s="22">
        <f t="shared" si="78"/>
        <v>22</v>
      </c>
      <c r="I327" t="str">
        <f t="shared" si="79"/>
        <v>Delayed </v>
      </c>
      <c r="J327" t="s">
        <v>16</v>
      </c>
      <c r="K327" t="s">
        <v>148</v>
      </c>
      <c r="L327" t="s">
        <v>172</v>
      </c>
      <c r="M327" t="s">
        <v>27</v>
      </c>
      <c r="N327" t="s">
        <v>55</v>
      </c>
      <c r="O327" t="s">
        <v>95</v>
      </c>
      <c r="P327" t="s">
        <v>81</v>
      </c>
      <c r="Q327" t="s">
        <v>753</v>
      </c>
      <c r="R327" s="3">
        <v>653.86</v>
      </c>
      <c r="S327" s="3">
        <v>931.84</v>
      </c>
      <c r="T327" s="3">
        <f t="shared" si="80"/>
        <v>931.84</v>
      </c>
      <c r="U327" s="3">
        <f>(1+'10. Whatif Control pannel'!$B$6)*T327</f>
        <v>1043.6608</v>
      </c>
      <c r="V327" s="3" t="str">
        <f t="shared" si="81"/>
        <v>Medium</v>
      </c>
      <c r="W327" s="34">
        <v>0.121</v>
      </c>
      <c r="X327" s="24" t="str">
        <f t="shared" si="82"/>
        <v>Okay</v>
      </c>
      <c r="Y327" s="36">
        <f>IF(W327&lt;=0.25,W327,'10. Whatif Control pannel'!$B$2)</f>
        <v>0.121</v>
      </c>
      <c r="Z327" s="24">
        <v>12</v>
      </c>
      <c r="AA327" s="13">
        <f>(1+'10. Whatif Control pannel'!$B$10)*Z327</f>
        <v>14.4</v>
      </c>
      <c r="AB327" s="3">
        <f t="shared" si="83"/>
        <v>9829.04832</v>
      </c>
      <c r="AC327" s="3">
        <f t="shared" si="88"/>
        <v>13210.24094208</v>
      </c>
      <c r="AD327" s="3">
        <f t="shared" si="84"/>
        <v>7846.32</v>
      </c>
      <c r="AE327" s="3">
        <f t="shared" si="85"/>
        <v>1982.72832</v>
      </c>
      <c r="AF327" s="3">
        <f t="shared" si="89"/>
        <v>5363.92094208</v>
      </c>
      <c r="AG327">
        <f t="shared" si="86"/>
        <v>0.201721291365063</v>
      </c>
    </row>
    <row r="328" spans="1:33">
      <c r="A328" t="s">
        <v>754</v>
      </c>
      <c r="B328" s="20">
        <v>45303</v>
      </c>
      <c r="C328" s="2">
        <f t="shared" si="75"/>
        <v>1</v>
      </c>
      <c r="D328" s="21">
        <f t="shared" si="87"/>
        <v>45303</v>
      </c>
      <c r="E328" s="19" t="str">
        <f t="shared" si="76"/>
        <v>Quarter 1</v>
      </c>
      <c r="F328" s="19">
        <v>45320</v>
      </c>
      <c r="G328" s="19">
        <f t="shared" si="77"/>
        <v>45320</v>
      </c>
      <c r="H328" s="22">
        <f t="shared" si="78"/>
        <v>17</v>
      </c>
      <c r="I328" t="str">
        <f t="shared" si="79"/>
        <v>Delayed </v>
      </c>
      <c r="J328" t="s">
        <v>45</v>
      </c>
      <c r="K328" t="s">
        <v>60</v>
      </c>
      <c r="L328" t="s">
        <v>281</v>
      </c>
      <c r="M328" t="s">
        <v>62</v>
      </c>
      <c r="N328" t="s">
        <v>98</v>
      </c>
      <c r="O328" t="s">
        <v>56</v>
      </c>
      <c r="P328" t="s">
        <v>22</v>
      </c>
      <c r="Q328" t="s">
        <v>755</v>
      </c>
      <c r="R328" s="3">
        <v>310.02</v>
      </c>
      <c r="S328" s="3">
        <v>619.51</v>
      </c>
      <c r="T328" s="3">
        <f t="shared" si="80"/>
        <v>619.51</v>
      </c>
      <c r="U328" s="3">
        <f>(1+'10. Whatif Control pannel'!$B$6)*T328</f>
        <v>693.8512</v>
      </c>
      <c r="V328" s="3" t="str">
        <f t="shared" si="81"/>
        <v>Low</v>
      </c>
      <c r="W328" s="34">
        <v>0.042</v>
      </c>
      <c r="X328" s="24" t="str">
        <f t="shared" si="82"/>
        <v>Okay</v>
      </c>
      <c r="Y328" s="36">
        <f>IF(W328&lt;=0.25,W328,'10. Whatif Control pannel'!$B$2)</f>
        <v>0.042</v>
      </c>
      <c r="Z328" s="24">
        <v>4</v>
      </c>
      <c r="AA328" s="13">
        <f>(1+'10. Whatif Control pannel'!$B$10)*Z328</f>
        <v>4.8</v>
      </c>
      <c r="AB328" s="3">
        <f t="shared" si="83"/>
        <v>2373.96232</v>
      </c>
      <c r="AC328" s="3">
        <f t="shared" si="88"/>
        <v>3190.60535808</v>
      </c>
      <c r="AD328" s="3">
        <f t="shared" si="84"/>
        <v>1240.08</v>
      </c>
      <c r="AE328" s="3">
        <f t="shared" si="85"/>
        <v>1133.88232</v>
      </c>
      <c r="AF328" s="3">
        <f t="shared" si="89"/>
        <v>1950.52535808</v>
      </c>
      <c r="AG328">
        <f t="shared" si="86"/>
        <v>0.477632821063478</v>
      </c>
    </row>
    <row r="329" spans="1:33">
      <c r="A329" t="s">
        <v>756</v>
      </c>
      <c r="B329" s="20">
        <v>45087</v>
      </c>
      <c r="C329" s="2">
        <f t="shared" si="75"/>
        <v>6</v>
      </c>
      <c r="D329" s="21">
        <f t="shared" si="87"/>
        <v>45087</v>
      </c>
      <c r="E329" s="19" t="str">
        <f t="shared" si="76"/>
        <v>Quarter 2</v>
      </c>
      <c r="F329" s="19">
        <v>45095</v>
      </c>
      <c r="G329" s="19">
        <f t="shared" si="77"/>
        <v>45095</v>
      </c>
      <c r="H329" s="22">
        <f t="shared" si="78"/>
        <v>8</v>
      </c>
      <c r="I329" t="str">
        <f t="shared" si="79"/>
        <v>Delayed </v>
      </c>
      <c r="J329" t="s">
        <v>16</v>
      </c>
      <c r="K329" t="s">
        <v>17</v>
      </c>
      <c r="L329" t="s">
        <v>135</v>
      </c>
      <c r="M329" t="s">
        <v>105</v>
      </c>
      <c r="N329" t="s">
        <v>98</v>
      </c>
      <c r="O329" t="s">
        <v>92</v>
      </c>
      <c r="P329" t="s">
        <v>42</v>
      </c>
      <c r="Q329" t="s">
        <v>757</v>
      </c>
      <c r="R329" s="3">
        <v>894.23</v>
      </c>
      <c r="S329" s="3">
        <v>1421.55</v>
      </c>
      <c r="T329" s="3">
        <f t="shared" si="80"/>
        <v>1421.55</v>
      </c>
      <c r="U329" s="3">
        <f>(1+'10. Whatif Control pannel'!$B$6)*T329</f>
        <v>1592.136</v>
      </c>
      <c r="V329" s="3" t="str">
        <f t="shared" si="81"/>
        <v>Medium</v>
      </c>
      <c r="W329" s="34">
        <v>0.109</v>
      </c>
      <c r="X329" s="24" t="str">
        <f t="shared" si="82"/>
        <v>Okay</v>
      </c>
      <c r="Y329" s="36">
        <f>IF(W329&lt;=0.25,W329,'10. Whatif Control pannel'!$B$2)</f>
        <v>0.109</v>
      </c>
      <c r="Z329" s="24">
        <v>3</v>
      </c>
      <c r="AA329" s="13">
        <f>(1+'10. Whatif Control pannel'!$B$10)*Z329</f>
        <v>3.6</v>
      </c>
      <c r="AB329" s="3">
        <f t="shared" si="83"/>
        <v>3799.80315</v>
      </c>
      <c r="AC329" s="3">
        <f t="shared" si="88"/>
        <v>5106.9354336</v>
      </c>
      <c r="AD329" s="3">
        <f t="shared" si="84"/>
        <v>2682.69</v>
      </c>
      <c r="AE329" s="3">
        <f t="shared" si="85"/>
        <v>1117.11315</v>
      </c>
      <c r="AF329" s="3">
        <f t="shared" si="89"/>
        <v>2424.2454336</v>
      </c>
      <c r="AG329">
        <f t="shared" si="86"/>
        <v>0.293992374315496</v>
      </c>
    </row>
    <row r="330" spans="1:33">
      <c r="A330" t="s">
        <v>758</v>
      </c>
      <c r="B330" s="20">
        <v>45796</v>
      </c>
      <c r="C330" s="2">
        <f t="shared" si="75"/>
        <v>5</v>
      </c>
      <c r="D330" s="21">
        <f t="shared" si="87"/>
        <v>45796</v>
      </c>
      <c r="E330" s="19" t="str">
        <f t="shared" si="76"/>
        <v>Quarter 2</v>
      </c>
      <c r="F330" s="19">
        <v>45794</v>
      </c>
      <c r="G330" s="19">
        <f t="shared" si="77"/>
        <v>45803</v>
      </c>
      <c r="H330" s="22">
        <f t="shared" si="78"/>
        <v>7</v>
      </c>
      <c r="I330" t="str">
        <f t="shared" si="79"/>
        <v>Ontime</v>
      </c>
      <c r="J330" t="s">
        <v>52</v>
      </c>
      <c r="K330" t="s">
        <v>73</v>
      </c>
      <c r="L330" t="s">
        <v>74</v>
      </c>
      <c r="M330" t="s">
        <v>62</v>
      </c>
      <c r="N330" t="s">
        <v>55</v>
      </c>
      <c r="O330" t="s">
        <v>49</v>
      </c>
      <c r="P330" t="s">
        <v>64</v>
      </c>
      <c r="Q330" t="s">
        <v>759</v>
      </c>
      <c r="R330" s="3">
        <v>383.77</v>
      </c>
      <c r="S330" s="3">
        <v>952.56</v>
      </c>
      <c r="T330" s="3">
        <f t="shared" si="80"/>
        <v>952.56</v>
      </c>
      <c r="U330" s="3">
        <f>(1+'10. Whatif Control pannel'!$B$6)*T330</f>
        <v>1066.8672</v>
      </c>
      <c r="V330" s="3" t="str">
        <f t="shared" si="81"/>
        <v>Medium</v>
      </c>
      <c r="W330" s="34">
        <v>0.346</v>
      </c>
      <c r="X330" s="24" t="str">
        <f t="shared" si="82"/>
        <v>High Discount</v>
      </c>
      <c r="Y330" s="36">
        <f>IF(W330&lt;=0.25,W330,'10. Whatif Control pannel'!$B$2)</f>
        <v>0.23</v>
      </c>
      <c r="Z330" s="24">
        <v>10</v>
      </c>
      <c r="AA330" s="13">
        <f>(1+'10. Whatif Control pannel'!$B$10)*Z330</f>
        <v>12</v>
      </c>
      <c r="AB330" s="3">
        <f t="shared" si="83"/>
        <v>6229.7424</v>
      </c>
      <c r="AC330" s="3">
        <f t="shared" si="88"/>
        <v>9857.852928</v>
      </c>
      <c r="AD330" s="3">
        <f t="shared" si="84"/>
        <v>3837.7</v>
      </c>
      <c r="AE330" s="3">
        <f t="shared" si="85"/>
        <v>2392.0424</v>
      </c>
      <c r="AF330" s="3">
        <f t="shared" si="89"/>
        <v>6020.152928</v>
      </c>
      <c r="AG330">
        <f t="shared" si="86"/>
        <v>0.383971317979376</v>
      </c>
    </row>
    <row r="331" spans="1:33">
      <c r="A331" t="s">
        <v>760</v>
      </c>
      <c r="B331" s="20">
        <v>45221</v>
      </c>
      <c r="C331" s="2">
        <f t="shared" si="75"/>
        <v>10</v>
      </c>
      <c r="D331" s="21">
        <f t="shared" si="87"/>
        <v>45221</v>
      </c>
      <c r="E331" s="19" t="str">
        <f t="shared" si="76"/>
        <v>Quarter 4</v>
      </c>
      <c r="F331" s="19">
        <v>45246</v>
      </c>
      <c r="G331" s="19">
        <f t="shared" si="77"/>
        <v>45246</v>
      </c>
      <c r="H331" s="22">
        <f t="shared" si="78"/>
        <v>25</v>
      </c>
      <c r="I331" t="str">
        <f t="shared" si="79"/>
        <v>Delayed </v>
      </c>
      <c r="J331" t="s">
        <v>52</v>
      </c>
      <c r="K331" t="s">
        <v>53</v>
      </c>
      <c r="L331" t="s">
        <v>54</v>
      </c>
      <c r="M331" t="s">
        <v>62</v>
      </c>
      <c r="N331" t="s">
        <v>40</v>
      </c>
      <c r="O331" t="s">
        <v>34</v>
      </c>
      <c r="P331" t="s">
        <v>57</v>
      </c>
      <c r="Q331" t="s">
        <v>761</v>
      </c>
      <c r="R331" s="3">
        <v>1373.31</v>
      </c>
      <c r="S331" s="3">
        <v>3154.14</v>
      </c>
      <c r="T331" s="3">
        <f t="shared" si="80"/>
        <v>3154.14</v>
      </c>
      <c r="U331" s="3">
        <f>(1+'10. Whatif Control pannel'!$B$6)*T331</f>
        <v>3532.6368</v>
      </c>
      <c r="V331" s="3" t="str">
        <f t="shared" si="81"/>
        <v>High</v>
      </c>
      <c r="W331" s="34">
        <v>0.2</v>
      </c>
      <c r="X331" s="24" t="str">
        <f t="shared" si="82"/>
        <v>Okay</v>
      </c>
      <c r="Y331" s="36">
        <f>IF(W331&lt;=0.25,W331,'10. Whatif Control pannel'!$B$2)</f>
        <v>0.2</v>
      </c>
      <c r="Z331" s="24">
        <v>11</v>
      </c>
      <c r="AA331" s="13">
        <f>(1+'10. Whatif Control pannel'!$B$10)*Z331</f>
        <v>13.2</v>
      </c>
      <c r="AB331" s="3">
        <f t="shared" si="83"/>
        <v>27756.432</v>
      </c>
      <c r="AC331" s="3">
        <f t="shared" si="88"/>
        <v>37304.644608</v>
      </c>
      <c r="AD331" s="3">
        <f t="shared" si="84"/>
        <v>15106.41</v>
      </c>
      <c r="AE331" s="3">
        <f t="shared" si="85"/>
        <v>12650.022</v>
      </c>
      <c r="AF331" s="3">
        <f t="shared" si="89"/>
        <v>22198.234608</v>
      </c>
      <c r="AG331">
        <f t="shared" si="86"/>
        <v>0.455751012954403</v>
      </c>
    </row>
    <row r="332" spans="1:33">
      <c r="A332" t="s">
        <v>762</v>
      </c>
      <c r="B332" s="20">
        <v>45668</v>
      </c>
      <c r="C332" s="2">
        <f t="shared" si="75"/>
        <v>1</v>
      </c>
      <c r="D332" s="21">
        <f t="shared" si="87"/>
        <v>45668</v>
      </c>
      <c r="E332" s="19" t="str">
        <f t="shared" si="76"/>
        <v>Quarter 1</v>
      </c>
      <c r="F332" s="19">
        <v>45680</v>
      </c>
      <c r="G332" s="19">
        <f t="shared" si="77"/>
        <v>45680</v>
      </c>
      <c r="H332" s="22">
        <f t="shared" si="78"/>
        <v>12</v>
      </c>
      <c r="I332" t="str">
        <f t="shared" si="79"/>
        <v>Delayed </v>
      </c>
      <c r="J332" t="s">
        <v>52</v>
      </c>
      <c r="K332" t="s">
        <v>122</v>
      </c>
      <c r="L332" t="s">
        <v>326</v>
      </c>
      <c r="M332" t="s">
        <v>48</v>
      </c>
      <c r="N332" t="s">
        <v>55</v>
      </c>
      <c r="O332" t="s">
        <v>92</v>
      </c>
      <c r="P332" t="s">
        <v>42</v>
      </c>
      <c r="Q332" t="s">
        <v>763</v>
      </c>
      <c r="R332" s="3">
        <v>100.69</v>
      </c>
      <c r="S332" s="3">
        <v>226.14</v>
      </c>
      <c r="T332" s="3">
        <f t="shared" si="80"/>
        <v>226.14</v>
      </c>
      <c r="U332" s="3">
        <f>(1+'10. Whatif Control pannel'!$B$6)*T332</f>
        <v>253.2768</v>
      </c>
      <c r="V332" s="3" t="str">
        <f t="shared" si="81"/>
        <v>Low</v>
      </c>
      <c r="W332" s="34">
        <v>0.065</v>
      </c>
      <c r="X332" s="24" t="str">
        <f t="shared" si="82"/>
        <v>Okay</v>
      </c>
      <c r="Y332" s="36">
        <f>IF(W332&lt;=0.25,W332,'10. Whatif Control pannel'!$B$2)</f>
        <v>0.065</v>
      </c>
      <c r="Z332" s="24">
        <v>12</v>
      </c>
      <c r="AA332" s="13">
        <f>(1+'10. Whatif Control pannel'!$B$10)*Z332</f>
        <v>14.4</v>
      </c>
      <c r="AB332" s="3">
        <f t="shared" si="83"/>
        <v>2537.2908</v>
      </c>
      <c r="AC332" s="3">
        <f t="shared" si="88"/>
        <v>3410.1188352</v>
      </c>
      <c r="AD332" s="3">
        <f t="shared" si="84"/>
        <v>1208.28</v>
      </c>
      <c r="AE332" s="3">
        <f t="shared" si="85"/>
        <v>1329.0108</v>
      </c>
      <c r="AF332" s="3">
        <f t="shared" si="89"/>
        <v>2201.8388352</v>
      </c>
      <c r="AG332">
        <f t="shared" si="86"/>
        <v>0.523791281629997</v>
      </c>
    </row>
    <row r="333" spans="1:33">
      <c r="A333" t="s">
        <v>764</v>
      </c>
      <c r="B333" s="20">
        <v>45914</v>
      </c>
      <c r="C333" s="2">
        <f t="shared" si="75"/>
        <v>9</v>
      </c>
      <c r="D333" s="21">
        <f t="shared" si="87"/>
        <v>45914</v>
      </c>
      <c r="E333" s="19" t="str">
        <f t="shared" si="76"/>
        <v>Quarter 3</v>
      </c>
      <c r="F333" s="19">
        <v>45926</v>
      </c>
      <c r="G333" s="19">
        <f t="shared" si="77"/>
        <v>45926</v>
      </c>
      <c r="H333" s="22">
        <f t="shared" si="78"/>
        <v>12</v>
      </c>
      <c r="I333" t="str">
        <f t="shared" si="79"/>
        <v>Delayed </v>
      </c>
      <c r="J333" t="s">
        <v>78</v>
      </c>
      <c r="K333" t="s">
        <v>108</v>
      </c>
      <c r="L333" t="s">
        <v>152</v>
      </c>
      <c r="M333" t="s">
        <v>62</v>
      </c>
      <c r="N333" t="s">
        <v>98</v>
      </c>
      <c r="O333" t="s">
        <v>126</v>
      </c>
      <c r="P333" t="s">
        <v>35</v>
      </c>
      <c r="Q333" t="s">
        <v>765</v>
      </c>
      <c r="R333" s="3">
        <v>425.15</v>
      </c>
      <c r="S333" s="3">
        <v>885.92</v>
      </c>
      <c r="T333" s="3">
        <f t="shared" si="80"/>
        <v>885.92</v>
      </c>
      <c r="U333" s="3">
        <f>(1+'10. Whatif Control pannel'!$B$6)*T333</f>
        <v>992.2304</v>
      </c>
      <c r="V333" s="3" t="str">
        <f t="shared" si="81"/>
        <v>Low</v>
      </c>
      <c r="W333" s="34">
        <v>0.239</v>
      </c>
      <c r="X333" s="24" t="str">
        <f t="shared" si="82"/>
        <v>High Discount</v>
      </c>
      <c r="Y333" s="36">
        <f>IF(W333&lt;=0.25,W333,'10. Whatif Control pannel'!$B$2)</f>
        <v>0.239</v>
      </c>
      <c r="Z333" s="24">
        <v>13</v>
      </c>
      <c r="AA333" s="13">
        <f>(1+'10. Whatif Control pannel'!$B$10)*Z333</f>
        <v>15.6</v>
      </c>
      <c r="AB333" s="3">
        <f t="shared" si="83"/>
        <v>8764.40656</v>
      </c>
      <c r="AC333" s="3">
        <f t="shared" si="88"/>
        <v>11779.36241664</v>
      </c>
      <c r="AD333" s="3">
        <f t="shared" si="84"/>
        <v>5526.95</v>
      </c>
      <c r="AE333" s="3">
        <f t="shared" si="85"/>
        <v>3237.45656</v>
      </c>
      <c r="AF333" s="3">
        <f t="shared" si="89"/>
        <v>6252.41241664</v>
      </c>
      <c r="AG333">
        <f t="shared" si="86"/>
        <v>0.369386853272585</v>
      </c>
    </row>
    <row r="334" spans="1:33">
      <c r="A334" t="s">
        <v>766</v>
      </c>
      <c r="B334" s="20">
        <v>45168</v>
      </c>
      <c r="C334" s="2">
        <f t="shared" si="75"/>
        <v>8</v>
      </c>
      <c r="D334" s="21">
        <f t="shared" si="87"/>
        <v>45168</v>
      </c>
      <c r="E334" s="19" t="str">
        <f t="shared" si="76"/>
        <v>Quarter 3</v>
      </c>
      <c r="F334" s="19">
        <v>45172</v>
      </c>
      <c r="G334" s="19">
        <f t="shared" si="77"/>
        <v>45172</v>
      </c>
      <c r="H334" s="22">
        <f t="shared" si="78"/>
        <v>4</v>
      </c>
      <c r="I334" t="str">
        <f t="shared" si="79"/>
        <v>Ontime</v>
      </c>
      <c r="J334" t="s">
        <v>45</v>
      </c>
      <c r="K334" t="s">
        <v>60</v>
      </c>
      <c r="L334" t="s">
        <v>141</v>
      </c>
      <c r="M334" t="s">
        <v>62</v>
      </c>
      <c r="N334" t="s">
        <v>40</v>
      </c>
      <c r="O334" t="s">
        <v>49</v>
      </c>
      <c r="P334" t="s">
        <v>81</v>
      </c>
      <c r="Q334" t="s">
        <v>767</v>
      </c>
      <c r="R334" s="3">
        <v>1082.25</v>
      </c>
      <c r="S334" s="3">
        <v>2433.34</v>
      </c>
      <c r="T334" s="3">
        <f t="shared" si="80"/>
        <v>2433.34</v>
      </c>
      <c r="U334" s="3">
        <f>(1+'10. Whatif Control pannel'!$B$6)*T334</f>
        <v>2725.3408</v>
      </c>
      <c r="V334" s="3" t="str">
        <f t="shared" si="81"/>
        <v>High</v>
      </c>
      <c r="W334" s="34">
        <v>0.27</v>
      </c>
      <c r="X334" s="24" t="str">
        <f t="shared" si="82"/>
        <v>High Discount</v>
      </c>
      <c r="Y334" s="36">
        <f>IF(W334&lt;=0.25,W334,'10. Whatif Control pannel'!$B$2)</f>
        <v>0.23</v>
      </c>
      <c r="Z334" s="24">
        <v>4</v>
      </c>
      <c r="AA334" s="13">
        <f>(1+'10. Whatif Control pannel'!$B$10)*Z334</f>
        <v>4.8</v>
      </c>
      <c r="AB334" s="3">
        <f t="shared" si="83"/>
        <v>7105.3528</v>
      </c>
      <c r="AC334" s="3">
        <f t="shared" si="88"/>
        <v>10072.8595968</v>
      </c>
      <c r="AD334" s="3">
        <f t="shared" si="84"/>
        <v>4329</v>
      </c>
      <c r="AE334" s="3">
        <f t="shared" si="85"/>
        <v>2776.3528</v>
      </c>
      <c r="AF334" s="3">
        <f t="shared" si="89"/>
        <v>5743.8595968</v>
      </c>
      <c r="AG334">
        <f t="shared" si="86"/>
        <v>0.390741019925147</v>
      </c>
    </row>
    <row r="335" spans="1:33">
      <c r="A335" t="s">
        <v>768</v>
      </c>
      <c r="B335" s="20">
        <v>45245</v>
      </c>
      <c r="C335" s="2">
        <f t="shared" si="75"/>
        <v>11</v>
      </c>
      <c r="D335" s="21">
        <f t="shared" si="87"/>
        <v>45245</v>
      </c>
      <c r="E335" s="19" t="str">
        <f t="shared" si="76"/>
        <v>Quarter 4</v>
      </c>
      <c r="F335" s="19">
        <v>45266</v>
      </c>
      <c r="G335" s="19">
        <f t="shared" si="77"/>
        <v>45266</v>
      </c>
      <c r="H335" s="22">
        <f t="shared" si="78"/>
        <v>21</v>
      </c>
      <c r="I335" t="str">
        <f t="shared" si="79"/>
        <v>Delayed </v>
      </c>
      <c r="J335" t="s">
        <v>78</v>
      </c>
      <c r="K335" t="s">
        <v>108</v>
      </c>
      <c r="L335" t="s">
        <v>228</v>
      </c>
      <c r="M335" t="s">
        <v>27</v>
      </c>
      <c r="N335" t="s">
        <v>98</v>
      </c>
      <c r="O335" t="s">
        <v>92</v>
      </c>
      <c r="P335" t="s">
        <v>81</v>
      </c>
      <c r="Q335" t="s">
        <v>769</v>
      </c>
      <c r="R335" s="3">
        <v>1184.99</v>
      </c>
      <c r="S335" s="3">
        <v>1154.34</v>
      </c>
      <c r="T335" s="3">
        <f t="shared" si="80"/>
        <v>1154.34</v>
      </c>
      <c r="U335" s="3">
        <f>(1+'10. Whatif Control pannel'!$B$6)*T335</f>
        <v>1292.8608</v>
      </c>
      <c r="V335" s="3" t="str">
        <f t="shared" si="81"/>
        <v>Medium</v>
      </c>
      <c r="W335" s="34">
        <v>0.028</v>
      </c>
      <c r="X335" s="24" t="str">
        <f t="shared" si="82"/>
        <v>Okay</v>
      </c>
      <c r="Y335" s="36">
        <f>IF(W335&lt;=0.25,W335,'10. Whatif Control pannel'!$B$2)</f>
        <v>0.028</v>
      </c>
      <c r="Z335" s="24">
        <v>5</v>
      </c>
      <c r="AA335" s="13">
        <f>(1+'10. Whatif Control pannel'!$B$10)*Z335</f>
        <v>6</v>
      </c>
      <c r="AB335" s="3">
        <f t="shared" si="83"/>
        <v>5610.0924</v>
      </c>
      <c r="AC335" s="3">
        <f t="shared" si="88"/>
        <v>7539.9641856</v>
      </c>
      <c r="AD335" s="3">
        <f t="shared" si="84"/>
        <v>5924.95</v>
      </c>
      <c r="AE335" s="3">
        <f t="shared" si="85"/>
        <v>-314.8576</v>
      </c>
      <c r="AF335" s="3">
        <f t="shared" si="89"/>
        <v>1615.0141856</v>
      </c>
      <c r="AG335">
        <f t="shared" si="86"/>
        <v>-0.0561234249902908</v>
      </c>
    </row>
    <row r="336" spans="1:33">
      <c r="A336" t="s">
        <v>770</v>
      </c>
      <c r="B336" s="20">
        <v>45774</v>
      </c>
      <c r="C336" s="2">
        <f t="shared" si="75"/>
        <v>4</v>
      </c>
      <c r="D336" s="21">
        <f t="shared" si="87"/>
        <v>45774</v>
      </c>
      <c r="E336" s="19" t="str">
        <f t="shared" si="76"/>
        <v>Quarter 2</v>
      </c>
      <c r="F336" s="19">
        <v>45804</v>
      </c>
      <c r="G336" s="19">
        <f t="shared" si="77"/>
        <v>45804</v>
      </c>
      <c r="H336" s="22">
        <f t="shared" si="78"/>
        <v>30</v>
      </c>
      <c r="I336" t="str">
        <f t="shared" si="79"/>
        <v>Delayed </v>
      </c>
      <c r="J336" t="s">
        <v>45</v>
      </c>
      <c r="K336" t="s">
        <v>60</v>
      </c>
      <c r="L336" t="s">
        <v>1443</v>
      </c>
      <c r="M336" t="s">
        <v>105</v>
      </c>
      <c r="N336" t="s">
        <v>40</v>
      </c>
      <c r="O336" t="s">
        <v>92</v>
      </c>
      <c r="P336" t="s">
        <v>42</v>
      </c>
      <c r="Q336" t="s">
        <v>771</v>
      </c>
      <c r="R336" s="3">
        <v>481.32</v>
      </c>
      <c r="S336" s="3">
        <v>1135.99</v>
      </c>
      <c r="T336" s="3">
        <f t="shared" si="80"/>
        <v>1135.99</v>
      </c>
      <c r="U336" s="3">
        <f>(1+'10. Whatif Control pannel'!$B$6)*T336</f>
        <v>1272.3088</v>
      </c>
      <c r="V336" s="3" t="str">
        <f t="shared" si="81"/>
        <v>Medium</v>
      </c>
      <c r="W336" s="34">
        <v>0.145</v>
      </c>
      <c r="X336" s="24" t="str">
        <f t="shared" si="82"/>
        <v>Okay</v>
      </c>
      <c r="Y336" s="36">
        <f>IF(W336&lt;=0.25,W336,'10. Whatif Control pannel'!$B$2)</f>
        <v>0.145</v>
      </c>
      <c r="Z336" s="24">
        <v>5</v>
      </c>
      <c r="AA336" s="13">
        <f>(1+'10. Whatif Control pannel'!$B$10)*Z336</f>
        <v>6</v>
      </c>
      <c r="AB336" s="3">
        <f t="shared" si="83"/>
        <v>4856.35725</v>
      </c>
      <c r="AC336" s="3">
        <f t="shared" si="88"/>
        <v>6526.944144</v>
      </c>
      <c r="AD336" s="3">
        <f t="shared" si="84"/>
        <v>2406.6</v>
      </c>
      <c r="AE336" s="3">
        <f t="shared" si="85"/>
        <v>2449.75725</v>
      </c>
      <c r="AF336" s="3">
        <f t="shared" si="89"/>
        <v>4120.344144</v>
      </c>
      <c r="AG336">
        <f t="shared" si="86"/>
        <v>0.504443376771756</v>
      </c>
    </row>
    <row r="337" spans="1:33">
      <c r="A337" t="s">
        <v>772</v>
      </c>
      <c r="B337" s="20">
        <v>45391</v>
      </c>
      <c r="C337" s="2">
        <f t="shared" si="75"/>
        <v>4</v>
      </c>
      <c r="D337" s="21">
        <f t="shared" si="87"/>
        <v>45391</v>
      </c>
      <c r="E337" s="19" t="str">
        <f t="shared" si="76"/>
        <v>Quarter 2</v>
      </c>
      <c r="F337" s="19">
        <v>45400</v>
      </c>
      <c r="G337" s="19">
        <f t="shared" si="77"/>
        <v>45400</v>
      </c>
      <c r="H337" s="22">
        <f t="shared" si="78"/>
        <v>9</v>
      </c>
      <c r="I337" t="str">
        <f t="shared" si="79"/>
        <v>Delayed </v>
      </c>
      <c r="J337" t="s">
        <v>78</v>
      </c>
      <c r="K337" t="s">
        <v>90</v>
      </c>
      <c r="L337" t="s">
        <v>138</v>
      </c>
      <c r="M337" t="s">
        <v>48</v>
      </c>
      <c r="N337" t="s">
        <v>28</v>
      </c>
      <c r="O337" t="s">
        <v>63</v>
      </c>
      <c r="P337" t="s">
        <v>30</v>
      </c>
      <c r="Q337" t="s">
        <v>773</v>
      </c>
      <c r="R337" s="3">
        <v>1288.85</v>
      </c>
      <c r="S337" s="3">
        <v>2751.84</v>
      </c>
      <c r="T337" s="3">
        <f t="shared" si="80"/>
        <v>2751.84</v>
      </c>
      <c r="U337" s="3">
        <f>(1+'10. Whatif Control pannel'!$B$6)*T337</f>
        <v>3082.0608</v>
      </c>
      <c r="V337" s="3" t="str">
        <f t="shared" si="81"/>
        <v>High</v>
      </c>
      <c r="W337" s="34">
        <v>0.158</v>
      </c>
      <c r="X337" s="24" t="str">
        <f t="shared" si="82"/>
        <v>Okay</v>
      </c>
      <c r="Y337" s="36">
        <f>IF(W337&lt;=0.25,W337,'10. Whatif Control pannel'!$B$2)</f>
        <v>0.158</v>
      </c>
      <c r="Z337" s="24">
        <v>7</v>
      </c>
      <c r="AA337" s="13">
        <f>(1+'10. Whatif Control pannel'!$B$10)*Z337</f>
        <v>8.4</v>
      </c>
      <c r="AB337" s="3">
        <f t="shared" si="83"/>
        <v>16219.34496</v>
      </c>
      <c r="AC337" s="3">
        <f t="shared" si="88"/>
        <v>21798.79962624</v>
      </c>
      <c r="AD337" s="3">
        <f t="shared" si="84"/>
        <v>9021.95</v>
      </c>
      <c r="AE337" s="3">
        <f t="shared" si="85"/>
        <v>7197.39496</v>
      </c>
      <c r="AF337" s="3">
        <f t="shared" si="89"/>
        <v>12776.84962624</v>
      </c>
      <c r="AG337">
        <f t="shared" si="86"/>
        <v>0.443753738375388</v>
      </c>
    </row>
    <row r="338" spans="1:33">
      <c r="A338" t="s">
        <v>774</v>
      </c>
      <c r="B338" s="20">
        <v>45484</v>
      </c>
      <c r="C338" s="2">
        <f t="shared" si="75"/>
        <v>7</v>
      </c>
      <c r="D338" s="21">
        <f t="shared" si="87"/>
        <v>45484</v>
      </c>
      <c r="E338" s="19" t="str">
        <f t="shared" si="76"/>
        <v>Quarter 3</v>
      </c>
      <c r="F338" s="19">
        <v>45504</v>
      </c>
      <c r="G338" s="19">
        <f t="shared" si="77"/>
        <v>45504</v>
      </c>
      <c r="H338" s="22">
        <f t="shared" si="78"/>
        <v>20</v>
      </c>
      <c r="I338" t="str">
        <f t="shared" si="79"/>
        <v>Delayed </v>
      </c>
      <c r="J338" t="s">
        <v>45</v>
      </c>
      <c r="K338" t="s">
        <v>116</v>
      </c>
      <c r="L338" t="s">
        <v>117</v>
      </c>
      <c r="M338" t="s">
        <v>48</v>
      </c>
      <c r="N338" t="s">
        <v>28</v>
      </c>
      <c r="O338" t="s">
        <v>41</v>
      </c>
      <c r="P338" t="s">
        <v>42</v>
      </c>
      <c r="Q338" t="s">
        <v>775</v>
      </c>
      <c r="R338" s="3">
        <v>647.26</v>
      </c>
      <c r="S338" s="3">
        <v>1374.72</v>
      </c>
      <c r="T338" s="3">
        <f t="shared" si="80"/>
        <v>1374.72</v>
      </c>
      <c r="U338" s="3">
        <f>(1+'10. Whatif Control pannel'!$B$6)*T338</f>
        <v>1539.6864</v>
      </c>
      <c r="V338" s="3" t="str">
        <f t="shared" si="81"/>
        <v>Medium</v>
      </c>
      <c r="W338" s="34">
        <v>0.066</v>
      </c>
      <c r="X338" s="24" t="str">
        <f t="shared" si="82"/>
        <v>Okay</v>
      </c>
      <c r="Y338" s="36">
        <f>IF(W338&lt;=0.25,W338,'10. Whatif Control pannel'!$B$2)</f>
        <v>0.066</v>
      </c>
      <c r="Z338" s="24">
        <v>22</v>
      </c>
      <c r="AA338" s="13">
        <f>(1+'10. Whatif Control pannel'!$B$10)*Z338</f>
        <v>26.4</v>
      </c>
      <c r="AB338" s="3">
        <f t="shared" si="83"/>
        <v>28247.74656</v>
      </c>
      <c r="AC338" s="3">
        <f t="shared" si="88"/>
        <v>37964.97137664</v>
      </c>
      <c r="AD338" s="3">
        <f t="shared" si="84"/>
        <v>14239.72</v>
      </c>
      <c r="AE338" s="3">
        <f t="shared" si="85"/>
        <v>14008.02656</v>
      </c>
      <c r="AF338" s="3">
        <f t="shared" si="89"/>
        <v>23725.25137664</v>
      </c>
      <c r="AG338">
        <f t="shared" si="86"/>
        <v>0.495898904015089</v>
      </c>
    </row>
    <row r="339" spans="1:33">
      <c r="A339" t="s">
        <v>776</v>
      </c>
      <c r="B339" s="20">
        <v>45340</v>
      </c>
      <c r="C339" s="2">
        <f t="shared" si="75"/>
        <v>2</v>
      </c>
      <c r="D339" s="21">
        <f t="shared" si="87"/>
        <v>45340</v>
      </c>
      <c r="E339" s="19" t="str">
        <f t="shared" si="76"/>
        <v>Quarter 1</v>
      </c>
      <c r="F339" s="19">
        <v>45354</v>
      </c>
      <c r="G339" s="19">
        <f t="shared" si="77"/>
        <v>45354</v>
      </c>
      <c r="H339" s="22">
        <f t="shared" si="78"/>
        <v>14</v>
      </c>
      <c r="I339" t="str">
        <f t="shared" si="79"/>
        <v>Delayed </v>
      </c>
      <c r="J339" t="s">
        <v>52</v>
      </c>
      <c r="K339" t="s">
        <v>73</v>
      </c>
      <c r="L339" t="s">
        <v>1443</v>
      </c>
      <c r="M339" t="s">
        <v>105</v>
      </c>
      <c r="N339" t="s">
        <v>55</v>
      </c>
      <c r="O339" t="s">
        <v>75</v>
      </c>
      <c r="P339" t="s">
        <v>30</v>
      </c>
      <c r="Q339" t="s">
        <v>777</v>
      </c>
      <c r="R339" s="3">
        <v>624.23</v>
      </c>
      <c r="S339" s="3">
        <v>1318.37</v>
      </c>
      <c r="T339" s="3">
        <f t="shared" si="80"/>
        <v>1318.37</v>
      </c>
      <c r="U339" s="3">
        <f>(1+'10. Whatif Control pannel'!$B$6)*T339</f>
        <v>1476.5744</v>
      </c>
      <c r="V339" s="3" t="str">
        <f t="shared" si="81"/>
        <v>Medium</v>
      </c>
      <c r="W339" s="34">
        <v>0.21</v>
      </c>
      <c r="X339" s="24" t="str">
        <f t="shared" si="82"/>
        <v>High Discount</v>
      </c>
      <c r="Y339" s="36">
        <f>IF(W339&lt;=0.25,W339,'10. Whatif Control pannel'!$B$2)</f>
        <v>0.21</v>
      </c>
      <c r="Z339" s="24">
        <v>37</v>
      </c>
      <c r="AA339" s="13">
        <f>(1+'10. Whatif Control pannel'!$B$10)*Z339</f>
        <v>44.4</v>
      </c>
      <c r="AB339" s="3">
        <f t="shared" si="83"/>
        <v>38535.9551</v>
      </c>
      <c r="AC339" s="3">
        <f t="shared" si="88"/>
        <v>51792.3236544</v>
      </c>
      <c r="AD339" s="3">
        <f t="shared" si="84"/>
        <v>23096.51</v>
      </c>
      <c r="AE339" s="3">
        <f t="shared" si="85"/>
        <v>15439.4451</v>
      </c>
      <c r="AF339" s="3">
        <f t="shared" si="89"/>
        <v>28695.8136544</v>
      </c>
      <c r="AG339">
        <f t="shared" si="86"/>
        <v>0.400650381181288</v>
      </c>
    </row>
    <row r="340" spans="1:33">
      <c r="A340" t="s">
        <v>778</v>
      </c>
      <c r="B340" s="20">
        <v>45132</v>
      </c>
      <c r="C340" s="2">
        <f t="shared" si="75"/>
        <v>7</v>
      </c>
      <c r="D340" s="21">
        <f t="shared" si="87"/>
        <v>45132</v>
      </c>
      <c r="E340" s="19" t="str">
        <f t="shared" si="76"/>
        <v>Quarter 3</v>
      </c>
      <c r="F340" s="19">
        <v>45148</v>
      </c>
      <c r="G340" s="19">
        <f t="shared" si="77"/>
        <v>45148</v>
      </c>
      <c r="H340" s="22">
        <f t="shared" si="78"/>
        <v>16</v>
      </c>
      <c r="I340" t="str">
        <f t="shared" si="79"/>
        <v>Delayed </v>
      </c>
      <c r="J340" t="s">
        <v>16</v>
      </c>
      <c r="K340" t="s">
        <v>25</v>
      </c>
      <c r="L340" t="s">
        <v>26</v>
      </c>
      <c r="M340" t="s">
        <v>19</v>
      </c>
      <c r="N340" t="s">
        <v>55</v>
      </c>
      <c r="O340" t="s">
        <v>34</v>
      </c>
      <c r="P340" t="s">
        <v>81</v>
      </c>
      <c r="Q340" t="s">
        <v>779</v>
      </c>
      <c r="R340" s="3">
        <v>506.83</v>
      </c>
      <c r="S340" s="3">
        <v>441.74</v>
      </c>
      <c r="T340" s="3">
        <f t="shared" si="80"/>
        <v>441.74</v>
      </c>
      <c r="U340" s="3">
        <f>(1+'10. Whatif Control pannel'!$B$6)*T340</f>
        <v>494.7488</v>
      </c>
      <c r="V340" s="3" t="str">
        <f t="shared" si="81"/>
        <v>Low</v>
      </c>
      <c r="W340" s="34">
        <v>0.24</v>
      </c>
      <c r="X340" s="24" t="str">
        <f t="shared" si="82"/>
        <v>High Discount</v>
      </c>
      <c r="Y340" s="36">
        <f>IF(W340&lt;=0.25,W340,'10. Whatif Control pannel'!$B$2)</f>
        <v>0.24</v>
      </c>
      <c r="Z340" s="24">
        <v>9</v>
      </c>
      <c r="AA340" s="13">
        <f>(1+'10. Whatif Control pannel'!$B$10)*Z340</f>
        <v>10.8</v>
      </c>
      <c r="AB340" s="3">
        <f t="shared" si="83"/>
        <v>3021.5016</v>
      </c>
      <c r="AC340" s="3">
        <f t="shared" si="88"/>
        <v>4060.8981504</v>
      </c>
      <c r="AD340" s="3">
        <f t="shared" si="84"/>
        <v>4561.47</v>
      </c>
      <c r="AE340" s="3">
        <f t="shared" si="85"/>
        <v>-1539.9684</v>
      </c>
      <c r="AF340" s="3">
        <f t="shared" si="89"/>
        <v>-500.5718496</v>
      </c>
      <c r="AG340">
        <f t="shared" si="86"/>
        <v>-0.509669893936181</v>
      </c>
    </row>
    <row r="341" spans="1:33">
      <c r="A341" t="s">
        <v>780</v>
      </c>
      <c r="B341" s="20">
        <v>45121</v>
      </c>
      <c r="C341" s="2">
        <f t="shared" si="75"/>
        <v>7</v>
      </c>
      <c r="D341" s="21">
        <f t="shared" si="87"/>
        <v>45121</v>
      </c>
      <c r="E341" s="19" t="str">
        <f t="shared" si="76"/>
        <v>Quarter 3</v>
      </c>
      <c r="F341" s="19">
        <v>45128</v>
      </c>
      <c r="G341" s="19">
        <f t="shared" si="77"/>
        <v>45128</v>
      </c>
      <c r="H341" s="22">
        <f t="shared" si="78"/>
        <v>7</v>
      </c>
      <c r="I341" t="str">
        <f t="shared" si="79"/>
        <v>Ontime</v>
      </c>
      <c r="J341" t="s">
        <v>16</v>
      </c>
      <c r="K341" t="s">
        <v>148</v>
      </c>
      <c r="L341" t="s">
        <v>172</v>
      </c>
      <c r="M341" t="s">
        <v>105</v>
      </c>
      <c r="N341" t="s">
        <v>40</v>
      </c>
      <c r="O341" t="s">
        <v>1442</v>
      </c>
      <c r="P341" t="s">
        <v>64</v>
      </c>
      <c r="Q341" t="s">
        <v>781</v>
      </c>
      <c r="R341" s="3">
        <v>620.74</v>
      </c>
      <c r="S341" s="3">
        <v>1330.07</v>
      </c>
      <c r="T341" s="3">
        <f t="shared" si="80"/>
        <v>1330.07</v>
      </c>
      <c r="U341" s="3">
        <f>(1+'10. Whatif Control pannel'!$B$6)*T341</f>
        <v>1489.6784</v>
      </c>
      <c r="V341" s="3" t="str">
        <f t="shared" si="81"/>
        <v>Medium</v>
      </c>
      <c r="W341" s="34">
        <v>0.299</v>
      </c>
      <c r="X341" s="24" t="str">
        <f t="shared" si="82"/>
        <v>High Discount</v>
      </c>
      <c r="Y341" s="36">
        <f>IF(W341&lt;=0.25,W341,'10. Whatif Control pannel'!$B$2)</f>
        <v>0.23</v>
      </c>
      <c r="Z341" s="24">
        <v>28</v>
      </c>
      <c r="AA341" s="13">
        <f>(1+'10. Whatif Control pannel'!$B$10)*Z341</f>
        <v>33.6</v>
      </c>
      <c r="AB341" s="3">
        <f t="shared" si="83"/>
        <v>26106.61396</v>
      </c>
      <c r="AC341" s="3">
        <f t="shared" si="88"/>
        <v>38540.9595648</v>
      </c>
      <c r="AD341" s="3">
        <f t="shared" si="84"/>
        <v>17380.72</v>
      </c>
      <c r="AE341" s="3">
        <f t="shared" si="85"/>
        <v>8725.89396</v>
      </c>
      <c r="AF341" s="3">
        <f t="shared" si="89"/>
        <v>21160.2395648</v>
      </c>
      <c r="AG341">
        <f t="shared" si="86"/>
        <v>0.334240739659675</v>
      </c>
    </row>
    <row r="342" spans="1:33">
      <c r="A342" t="s">
        <v>782</v>
      </c>
      <c r="B342" s="20">
        <v>45131</v>
      </c>
      <c r="C342" s="2">
        <f t="shared" si="75"/>
        <v>7</v>
      </c>
      <c r="D342" s="21">
        <f t="shared" si="87"/>
        <v>45131</v>
      </c>
      <c r="E342" s="19" t="str">
        <f t="shared" si="76"/>
        <v>Quarter 3</v>
      </c>
      <c r="F342" s="19">
        <v>45157</v>
      </c>
      <c r="G342" s="19">
        <f t="shared" si="77"/>
        <v>45157</v>
      </c>
      <c r="H342" s="22">
        <f t="shared" si="78"/>
        <v>26</v>
      </c>
      <c r="I342" t="str">
        <f t="shared" si="79"/>
        <v>Delayed </v>
      </c>
      <c r="J342" t="s">
        <v>16</v>
      </c>
      <c r="K342" t="s">
        <v>17</v>
      </c>
      <c r="L342" t="s">
        <v>33</v>
      </c>
      <c r="M342" t="s">
        <v>105</v>
      </c>
      <c r="N342" t="s">
        <v>55</v>
      </c>
      <c r="O342" t="s">
        <v>110</v>
      </c>
      <c r="P342" t="s">
        <v>81</v>
      </c>
      <c r="Q342" t="s">
        <v>783</v>
      </c>
      <c r="R342" s="3">
        <v>661.45</v>
      </c>
      <c r="S342" s="3">
        <v>1634.86</v>
      </c>
      <c r="T342" s="3">
        <f t="shared" si="80"/>
        <v>1634.86</v>
      </c>
      <c r="U342" s="3">
        <f>(1+'10. Whatif Control pannel'!$B$6)*T342</f>
        <v>1831.0432</v>
      </c>
      <c r="V342" s="3" t="str">
        <f t="shared" si="81"/>
        <v>Medium</v>
      </c>
      <c r="W342" s="34">
        <v>0.565</v>
      </c>
      <c r="X342" s="24" t="str">
        <f t="shared" si="82"/>
        <v>High Discount</v>
      </c>
      <c r="Y342" s="36">
        <f>IF(W342&lt;=0.25,W342,'10. Whatif Control pannel'!$B$2)</f>
        <v>0.23</v>
      </c>
      <c r="Z342" s="24">
        <v>24</v>
      </c>
      <c r="AA342" s="13">
        <f>(1+'10. Whatif Control pannel'!$B$10)*Z342</f>
        <v>28.8</v>
      </c>
      <c r="AB342" s="3">
        <f t="shared" si="83"/>
        <v>17067.9384</v>
      </c>
      <c r="AC342" s="3">
        <f t="shared" si="88"/>
        <v>40605.2140032</v>
      </c>
      <c r="AD342" s="3">
        <f t="shared" si="84"/>
        <v>15874.8</v>
      </c>
      <c r="AE342" s="3">
        <f t="shared" si="85"/>
        <v>1193.1384</v>
      </c>
      <c r="AF342" s="3">
        <f t="shared" si="89"/>
        <v>24730.4140032</v>
      </c>
      <c r="AG342">
        <f t="shared" si="86"/>
        <v>0.0699052440920458</v>
      </c>
    </row>
    <row r="343" spans="1:33">
      <c r="A343" t="s">
        <v>784</v>
      </c>
      <c r="B343" s="20">
        <v>45029</v>
      </c>
      <c r="C343" s="2">
        <f t="shared" si="75"/>
        <v>4</v>
      </c>
      <c r="D343" s="21">
        <f t="shared" si="87"/>
        <v>45029</v>
      </c>
      <c r="E343" s="19" t="str">
        <f t="shared" si="76"/>
        <v>Quarter 2</v>
      </c>
      <c r="F343" s="19">
        <v>45027</v>
      </c>
      <c r="G343" s="19">
        <f t="shared" si="77"/>
        <v>45036</v>
      </c>
      <c r="H343" s="22">
        <f t="shared" si="78"/>
        <v>7</v>
      </c>
      <c r="I343" t="str">
        <f t="shared" si="79"/>
        <v>Ontime</v>
      </c>
      <c r="J343" t="s">
        <v>52</v>
      </c>
      <c r="K343" t="s">
        <v>122</v>
      </c>
      <c r="L343" t="s">
        <v>167</v>
      </c>
      <c r="M343" t="s">
        <v>27</v>
      </c>
      <c r="N343" t="s">
        <v>40</v>
      </c>
      <c r="O343" t="s">
        <v>41</v>
      </c>
      <c r="P343" t="s">
        <v>35</v>
      </c>
      <c r="Q343" t="s">
        <v>785</v>
      </c>
      <c r="R343" s="3">
        <v>32.1</v>
      </c>
      <c r="S343" s="3">
        <v>70.6</v>
      </c>
      <c r="T343" s="3">
        <f t="shared" si="80"/>
        <v>70.6</v>
      </c>
      <c r="U343" s="3">
        <f>(1+'10. Whatif Control pannel'!$B$6)*T343</f>
        <v>79.072</v>
      </c>
      <c r="V343" s="3" t="str">
        <f t="shared" si="81"/>
        <v>Low</v>
      </c>
      <c r="W343" s="34">
        <v>0.282</v>
      </c>
      <c r="X343" s="24" t="str">
        <f t="shared" si="82"/>
        <v>High Discount</v>
      </c>
      <c r="Y343" s="36">
        <f>IF(W343&lt;=0.25,W343,'10. Whatif Control pannel'!$B$2)</f>
        <v>0.23</v>
      </c>
      <c r="Z343" s="24">
        <v>22</v>
      </c>
      <c r="AA343" s="13">
        <f>(1+'10. Whatif Control pannel'!$B$10)*Z343</f>
        <v>26.4</v>
      </c>
      <c r="AB343" s="3">
        <f t="shared" si="83"/>
        <v>1115.1976</v>
      </c>
      <c r="AC343" s="3">
        <f t="shared" si="88"/>
        <v>1607.375616</v>
      </c>
      <c r="AD343" s="3">
        <f t="shared" si="84"/>
        <v>706.2</v>
      </c>
      <c r="AE343" s="3">
        <f t="shared" si="85"/>
        <v>408.9976</v>
      </c>
      <c r="AF343" s="3">
        <f t="shared" si="89"/>
        <v>901.175616</v>
      </c>
      <c r="AG343">
        <f t="shared" si="86"/>
        <v>0.366748995873018</v>
      </c>
    </row>
    <row r="344" spans="1:33">
      <c r="A344" t="s">
        <v>786</v>
      </c>
      <c r="B344" s="20">
        <v>45594</v>
      </c>
      <c r="C344" s="2">
        <f t="shared" si="75"/>
        <v>10</v>
      </c>
      <c r="D344" s="21">
        <f t="shared" si="87"/>
        <v>45594</v>
      </c>
      <c r="E344" s="19" t="str">
        <f t="shared" si="76"/>
        <v>Quarter 4</v>
      </c>
      <c r="F344" s="19">
        <v>45600</v>
      </c>
      <c r="G344" s="19">
        <f t="shared" si="77"/>
        <v>45600</v>
      </c>
      <c r="H344" s="22">
        <f t="shared" si="78"/>
        <v>6</v>
      </c>
      <c r="I344" t="str">
        <f t="shared" si="79"/>
        <v>Ontime</v>
      </c>
      <c r="J344" t="s">
        <v>16</v>
      </c>
      <c r="K344" t="s">
        <v>17</v>
      </c>
      <c r="L344" t="s">
        <v>33</v>
      </c>
      <c r="M344" t="s">
        <v>19</v>
      </c>
      <c r="N344" t="s">
        <v>55</v>
      </c>
      <c r="O344" t="s">
        <v>110</v>
      </c>
      <c r="P344" t="s">
        <v>30</v>
      </c>
      <c r="Q344" t="s">
        <v>787</v>
      </c>
      <c r="R344" s="3">
        <v>805.81</v>
      </c>
      <c r="S344" s="3">
        <v>1823.04</v>
      </c>
      <c r="T344" s="3">
        <f t="shared" si="80"/>
        <v>1823.04</v>
      </c>
      <c r="U344" s="3">
        <f>(1+'10. Whatif Control pannel'!$B$6)*T344</f>
        <v>2041.8048</v>
      </c>
      <c r="V344" s="3" t="str">
        <f t="shared" si="81"/>
        <v>High</v>
      </c>
      <c r="W344" s="34">
        <v>0</v>
      </c>
      <c r="X344" s="24" t="str">
        <f t="shared" si="82"/>
        <v>Okay</v>
      </c>
      <c r="Y344" s="36">
        <f>IF(W344&lt;=0.25,W344,'10. Whatif Control pannel'!$B$2)</f>
        <v>0</v>
      </c>
      <c r="Z344" s="24">
        <v>11</v>
      </c>
      <c r="AA344" s="13">
        <f>(1+'10. Whatif Control pannel'!$B$10)*Z344</f>
        <v>13.2</v>
      </c>
      <c r="AB344" s="3">
        <f t="shared" si="83"/>
        <v>20053.44</v>
      </c>
      <c r="AC344" s="3">
        <f t="shared" si="88"/>
        <v>26951.82336</v>
      </c>
      <c r="AD344" s="3">
        <f t="shared" si="84"/>
        <v>8863.91</v>
      </c>
      <c r="AE344" s="3">
        <f t="shared" si="85"/>
        <v>11189.53</v>
      </c>
      <c r="AF344" s="3">
        <f t="shared" si="89"/>
        <v>18087.91336</v>
      </c>
      <c r="AG344">
        <f t="shared" si="86"/>
        <v>0.557985562576795</v>
      </c>
    </row>
    <row r="345" spans="1:33">
      <c r="A345" t="s">
        <v>788</v>
      </c>
      <c r="B345" s="20">
        <v>45339</v>
      </c>
      <c r="C345" s="2">
        <f t="shared" si="75"/>
        <v>2</v>
      </c>
      <c r="D345" s="21">
        <f t="shared" si="87"/>
        <v>45339</v>
      </c>
      <c r="E345" s="19" t="str">
        <f t="shared" si="76"/>
        <v>Quarter 1</v>
      </c>
      <c r="F345" s="19">
        <v>45355</v>
      </c>
      <c r="G345" s="19">
        <f t="shared" si="77"/>
        <v>45355</v>
      </c>
      <c r="H345" s="22">
        <f t="shared" si="78"/>
        <v>16</v>
      </c>
      <c r="I345" t="str">
        <f t="shared" si="79"/>
        <v>Delayed </v>
      </c>
      <c r="J345" t="s">
        <v>45</v>
      </c>
      <c r="K345" t="s">
        <v>60</v>
      </c>
      <c r="L345" t="s">
        <v>141</v>
      </c>
      <c r="M345" t="s">
        <v>62</v>
      </c>
      <c r="N345" t="s">
        <v>40</v>
      </c>
      <c r="O345" t="s">
        <v>84</v>
      </c>
      <c r="P345" t="s">
        <v>42</v>
      </c>
      <c r="Q345" t="s">
        <v>789</v>
      </c>
      <c r="R345" s="3">
        <v>1231.8</v>
      </c>
      <c r="S345" s="3">
        <v>2015.99</v>
      </c>
      <c r="T345" s="3">
        <f t="shared" si="80"/>
        <v>2015.99</v>
      </c>
      <c r="U345" s="3">
        <f>(1+'10. Whatif Control pannel'!$B$6)*T345</f>
        <v>2257.9088</v>
      </c>
      <c r="V345" s="3" t="str">
        <f t="shared" si="81"/>
        <v>High</v>
      </c>
      <c r="W345" s="34">
        <v>0.261</v>
      </c>
      <c r="X345" s="24" t="str">
        <f t="shared" si="82"/>
        <v>High Discount</v>
      </c>
      <c r="Y345" s="36">
        <f>IF(W345&lt;=0.25,W345,'10. Whatif Control pannel'!$B$2)</f>
        <v>0.23</v>
      </c>
      <c r="Z345" s="24">
        <v>6</v>
      </c>
      <c r="AA345" s="13">
        <f>(1+'10. Whatif Control pannel'!$B$10)*Z345</f>
        <v>7.2</v>
      </c>
      <c r="AB345" s="3">
        <f t="shared" si="83"/>
        <v>8938.89966</v>
      </c>
      <c r="AC345" s="3">
        <f t="shared" si="88"/>
        <v>12517.8463872</v>
      </c>
      <c r="AD345" s="3">
        <f t="shared" si="84"/>
        <v>7390.8</v>
      </c>
      <c r="AE345" s="3">
        <f t="shared" si="85"/>
        <v>1548.09966</v>
      </c>
      <c r="AF345" s="3">
        <f t="shared" si="89"/>
        <v>5127.0463872</v>
      </c>
      <c r="AG345">
        <f t="shared" si="86"/>
        <v>0.173186825994644</v>
      </c>
    </row>
    <row r="346" spans="1:33">
      <c r="A346" t="s">
        <v>790</v>
      </c>
      <c r="B346" s="20">
        <v>45486</v>
      </c>
      <c r="C346" s="2">
        <f t="shared" si="75"/>
        <v>7</v>
      </c>
      <c r="D346" s="21">
        <f t="shared" si="87"/>
        <v>45486</v>
      </c>
      <c r="E346" s="19" t="str">
        <f t="shared" si="76"/>
        <v>Quarter 3</v>
      </c>
      <c r="F346" s="19">
        <v>45485</v>
      </c>
      <c r="G346" s="19">
        <f t="shared" si="77"/>
        <v>45493</v>
      </c>
      <c r="H346" s="22">
        <f t="shared" si="78"/>
        <v>7</v>
      </c>
      <c r="I346" t="str">
        <f t="shared" si="79"/>
        <v>Ontime</v>
      </c>
      <c r="J346" t="s">
        <v>45</v>
      </c>
      <c r="K346" t="s">
        <v>46</v>
      </c>
      <c r="L346" t="s">
        <v>231</v>
      </c>
      <c r="M346" t="s">
        <v>62</v>
      </c>
      <c r="N346" t="s">
        <v>40</v>
      </c>
      <c r="O346" t="s">
        <v>84</v>
      </c>
      <c r="P346" t="s">
        <v>35</v>
      </c>
      <c r="Q346" t="s">
        <v>791</v>
      </c>
      <c r="R346" s="3">
        <v>105.13</v>
      </c>
      <c r="S346" s="3">
        <v>244.13</v>
      </c>
      <c r="T346" s="3">
        <f t="shared" si="80"/>
        <v>244.13</v>
      </c>
      <c r="U346" s="3">
        <f>(1+'10. Whatif Control pannel'!$B$6)*T346</f>
        <v>273.4256</v>
      </c>
      <c r="V346" s="3" t="str">
        <f t="shared" si="81"/>
        <v>Low</v>
      </c>
      <c r="W346" s="34">
        <v>0.071</v>
      </c>
      <c r="X346" s="24" t="str">
        <f t="shared" si="82"/>
        <v>Okay</v>
      </c>
      <c r="Y346" s="36">
        <f>IF(W346&lt;=0.25,W346,'10. Whatif Control pannel'!$B$2)</f>
        <v>0.071</v>
      </c>
      <c r="Z346" s="24">
        <v>14</v>
      </c>
      <c r="AA346" s="13">
        <f>(1+'10. Whatif Control pannel'!$B$10)*Z346</f>
        <v>16.8</v>
      </c>
      <c r="AB346" s="3">
        <f t="shared" si="83"/>
        <v>3175.15478</v>
      </c>
      <c r="AC346" s="3">
        <f t="shared" si="88"/>
        <v>4267.40802432</v>
      </c>
      <c r="AD346" s="3">
        <f t="shared" si="84"/>
        <v>1471.82</v>
      </c>
      <c r="AE346" s="3">
        <f t="shared" si="85"/>
        <v>1703.33478</v>
      </c>
      <c r="AF346" s="3">
        <f t="shared" si="89"/>
        <v>2795.58802432</v>
      </c>
      <c r="AG346">
        <f t="shared" si="86"/>
        <v>0.536457243196188</v>
      </c>
    </row>
    <row r="347" spans="1:33">
      <c r="A347" t="s">
        <v>792</v>
      </c>
      <c r="B347" s="20">
        <v>45261</v>
      </c>
      <c r="C347" s="2">
        <f t="shared" si="75"/>
        <v>12</v>
      </c>
      <c r="D347" s="21">
        <f t="shared" si="87"/>
        <v>45261</v>
      </c>
      <c r="E347" s="19" t="str">
        <f t="shared" si="76"/>
        <v>Quarter 4</v>
      </c>
      <c r="F347" s="19">
        <v>45278</v>
      </c>
      <c r="G347" s="19">
        <f t="shared" si="77"/>
        <v>45278</v>
      </c>
      <c r="H347" s="22">
        <f t="shared" si="78"/>
        <v>17</v>
      </c>
      <c r="I347" t="str">
        <f t="shared" si="79"/>
        <v>Delayed </v>
      </c>
      <c r="J347" t="s">
        <v>45</v>
      </c>
      <c r="K347" t="s">
        <v>46</v>
      </c>
      <c r="L347" t="s">
        <v>231</v>
      </c>
      <c r="M347" t="s">
        <v>62</v>
      </c>
      <c r="N347" t="s">
        <v>98</v>
      </c>
      <c r="O347" t="s">
        <v>126</v>
      </c>
      <c r="P347" t="s">
        <v>57</v>
      </c>
      <c r="Q347" t="s">
        <v>793</v>
      </c>
      <c r="R347" s="3">
        <v>1495.79</v>
      </c>
      <c r="S347" s="3">
        <v>2783.12</v>
      </c>
      <c r="T347" s="3">
        <f t="shared" si="80"/>
        <v>2783.12</v>
      </c>
      <c r="U347" s="3">
        <f>(1+'10. Whatif Control pannel'!$B$6)*T347</f>
        <v>3117.0944</v>
      </c>
      <c r="V347" s="3" t="str">
        <f t="shared" si="81"/>
        <v>High</v>
      </c>
      <c r="W347" s="34">
        <v>0.02</v>
      </c>
      <c r="X347" s="24" t="str">
        <f t="shared" si="82"/>
        <v>Okay</v>
      </c>
      <c r="Y347" s="36">
        <f>IF(W347&lt;=0.25,W347,'10. Whatif Control pannel'!$B$2)</f>
        <v>0.02</v>
      </c>
      <c r="Z347" s="24">
        <v>5</v>
      </c>
      <c r="AA347" s="13">
        <f>(1+'10. Whatif Control pannel'!$B$10)*Z347</f>
        <v>6</v>
      </c>
      <c r="AB347" s="3">
        <f t="shared" si="83"/>
        <v>13637.288</v>
      </c>
      <c r="AC347" s="3">
        <f t="shared" si="88"/>
        <v>18328.515072</v>
      </c>
      <c r="AD347" s="3">
        <f t="shared" si="84"/>
        <v>7478.95</v>
      </c>
      <c r="AE347" s="3">
        <f t="shared" si="85"/>
        <v>6158.338</v>
      </c>
      <c r="AF347" s="3">
        <f t="shared" si="89"/>
        <v>10849.565072</v>
      </c>
      <c r="AG347">
        <f t="shared" si="86"/>
        <v>0.451580842173312</v>
      </c>
    </row>
    <row r="348" spans="1:33">
      <c r="A348" t="s">
        <v>794</v>
      </c>
      <c r="B348" s="20">
        <v>45498</v>
      </c>
      <c r="C348" s="2">
        <f t="shared" si="75"/>
        <v>7</v>
      </c>
      <c r="D348" s="21">
        <f t="shared" si="87"/>
        <v>45498</v>
      </c>
      <c r="E348" s="19" t="str">
        <f t="shared" si="76"/>
        <v>Quarter 3</v>
      </c>
      <c r="F348" s="19">
        <v>45506</v>
      </c>
      <c r="G348" s="19">
        <f t="shared" si="77"/>
        <v>45506</v>
      </c>
      <c r="H348" s="22">
        <f t="shared" si="78"/>
        <v>8</v>
      </c>
      <c r="I348" t="str">
        <f t="shared" si="79"/>
        <v>Delayed </v>
      </c>
      <c r="J348" t="s">
        <v>52</v>
      </c>
      <c r="K348" t="s">
        <v>53</v>
      </c>
      <c r="L348" t="s">
        <v>144</v>
      </c>
      <c r="M348" t="s">
        <v>48</v>
      </c>
      <c r="N348" t="s">
        <v>98</v>
      </c>
      <c r="O348" t="s">
        <v>29</v>
      </c>
      <c r="P348" t="s">
        <v>81</v>
      </c>
      <c r="Q348" t="s">
        <v>795</v>
      </c>
      <c r="R348" s="3">
        <v>986.81</v>
      </c>
      <c r="S348" s="3">
        <v>2050.31</v>
      </c>
      <c r="T348" s="3">
        <f t="shared" si="80"/>
        <v>2050.31</v>
      </c>
      <c r="U348" s="3">
        <f>(1+'10. Whatif Control pannel'!$B$6)*T348</f>
        <v>2296.3472</v>
      </c>
      <c r="V348" s="3" t="str">
        <f t="shared" si="81"/>
        <v>High</v>
      </c>
      <c r="W348" s="34">
        <v>0.103</v>
      </c>
      <c r="X348" s="24" t="str">
        <f t="shared" si="82"/>
        <v>Okay</v>
      </c>
      <c r="Y348" s="36">
        <f>IF(W348&lt;=0.25,W348,'10. Whatif Control pannel'!$B$2)</f>
        <v>0.103</v>
      </c>
      <c r="Z348" s="24">
        <v>43</v>
      </c>
      <c r="AA348" s="13">
        <f>(1+'10. Whatif Control pannel'!$B$10)*Z348</f>
        <v>51.6</v>
      </c>
      <c r="AB348" s="3">
        <f t="shared" si="83"/>
        <v>79082.50701</v>
      </c>
      <c r="AC348" s="3">
        <f t="shared" si="88"/>
        <v>106286.88942144</v>
      </c>
      <c r="AD348" s="3">
        <f t="shared" si="84"/>
        <v>42432.83</v>
      </c>
      <c r="AE348" s="3">
        <f t="shared" si="85"/>
        <v>36649.67701</v>
      </c>
      <c r="AF348" s="3">
        <f t="shared" si="89"/>
        <v>63854.05942144</v>
      </c>
      <c r="AG348">
        <f t="shared" si="86"/>
        <v>0.463435953103581</v>
      </c>
    </row>
    <row r="349" spans="1:33">
      <c r="A349" t="s">
        <v>796</v>
      </c>
      <c r="B349" s="20">
        <v>45050</v>
      </c>
      <c r="C349" s="2">
        <f t="shared" si="75"/>
        <v>5</v>
      </c>
      <c r="D349" s="21">
        <f t="shared" si="87"/>
        <v>45050</v>
      </c>
      <c r="E349" s="19" t="str">
        <f t="shared" si="76"/>
        <v>Quarter 2</v>
      </c>
      <c r="F349" s="19">
        <v>45062</v>
      </c>
      <c r="G349" s="19">
        <f t="shared" si="77"/>
        <v>45062</v>
      </c>
      <c r="H349" s="22">
        <f t="shared" si="78"/>
        <v>12</v>
      </c>
      <c r="I349" t="str">
        <f t="shared" si="79"/>
        <v>Delayed </v>
      </c>
      <c r="J349" t="s">
        <v>16</v>
      </c>
      <c r="K349" t="s">
        <v>25</v>
      </c>
      <c r="L349" t="s">
        <v>67</v>
      </c>
      <c r="M349" t="s">
        <v>62</v>
      </c>
      <c r="N349" t="s">
        <v>40</v>
      </c>
      <c r="O349" t="s">
        <v>29</v>
      </c>
      <c r="P349" t="s">
        <v>42</v>
      </c>
      <c r="Q349" t="s">
        <v>797</v>
      </c>
      <c r="R349" s="3">
        <v>77.74</v>
      </c>
      <c r="S349" s="3">
        <v>147.12</v>
      </c>
      <c r="T349" s="3">
        <f t="shared" si="80"/>
        <v>147.12</v>
      </c>
      <c r="U349" s="3">
        <f>(1+'10. Whatif Control pannel'!$B$6)*T349</f>
        <v>164.7744</v>
      </c>
      <c r="V349" s="3" t="str">
        <f t="shared" si="81"/>
        <v>Low</v>
      </c>
      <c r="W349" s="34">
        <v>0</v>
      </c>
      <c r="X349" s="24" t="str">
        <f t="shared" si="82"/>
        <v>Okay</v>
      </c>
      <c r="Y349" s="36">
        <f>IF(W349&lt;=0.25,W349,'10. Whatif Control pannel'!$B$2)</f>
        <v>0</v>
      </c>
      <c r="Z349" s="24">
        <v>15</v>
      </c>
      <c r="AA349" s="13">
        <f>(1+'10. Whatif Control pannel'!$B$10)*Z349</f>
        <v>18</v>
      </c>
      <c r="AB349" s="3">
        <f t="shared" si="83"/>
        <v>2206.8</v>
      </c>
      <c r="AC349" s="3">
        <f t="shared" si="88"/>
        <v>2965.9392</v>
      </c>
      <c r="AD349" s="3">
        <f t="shared" si="84"/>
        <v>1166.1</v>
      </c>
      <c r="AE349" s="3">
        <f t="shared" si="85"/>
        <v>1040.7</v>
      </c>
      <c r="AF349" s="3">
        <f t="shared" si="89"/>
        <v>1799.8392</v>
      </c>
      <c r="AG349">
        <f t="shared" si="86"/>
        <v>0.471587819467102</v>
      </c>
    </row>
    <row r="350" spans="1:33">
      <c r="A350" t="s">
        <v>798</v>
      </c>
      <c r="B350" s="20">
        <v>45281</v>
      </c>
      <c r="C350" s="2">
        <f t="shared" si="75"/>
        <v>12</v>
      </c>
      <c r="D350" s="21">
        <f t="shared" si="87"/>
        <v>45281</v>
      </c>
      <c r="E350" s="19" t="str">
        <f t="shared" si="76"/>
        <v>Quarter 4</v>
      </c>
      <c r="F350" s="19">
        <v>45297</v>
      </c>
      <c r="G350" s="19">
        <f t="shared" si="77"/>
        <v>45297</v>
      </c>
      <c r="H350" s="22">
        <f t="shared" si="78"/>
        <v>16</v>
      </c>
      <c r="I350" t="str">
        <f t="shared" si="79"/>
        <v>Delayed </v>
      </c>
      <c r="J350" t="s">
        <v>16</v>
      </c>
      <c r="K350" t="s">
        <v>25</v>
      </c>
      <c r="L350" t="s">
        <v>1443</v>
      </c>
      <c r="M350" t="s">
        <v>19</v>
      </c>
      <c r="N350" t="s">
        <v>40</v>
      </c>
      <c r="O350" t="s">
        <v>95</v>
      </c>
      <c r="P350" t="s">
        <v>22</v>
      </c>
      <c r="Q350" t="s">
        <v>799</v>
      </c>
      <c r="R350" s="3">
        <v>932.61</v>
      </c>
      <c r="S350" s="3">
        <v>1982.98</v>
      </c>
      <c r="T350" s="3">
        <f t="shared" si="80"/>
        <v>1982.98</v>
      </c>
      <c r="U350" s="3">
        <f>(1+'10. Whatif Control pannel'!$B$6)*T350</f>
        <v>2220.9376</v>
      </c>
      <c r="V350" s="3" t="str">
        <f t="shared" si="81"/>
        <v>High</v>
      </c>
      <c r="W350" s="34">
        <v>0.144</v>
      </c>
      <c r="X350" s="24" t="str">
        <f t="shared" si="82"/>
        <v>Okay</v>
      </c>
      <c r="Y350" s="36">
        <f>IF(W350&lt;=0.25,W350,'10. Whatif Control pannel'!$B$2)</f>
        <v>0.144</v>
      </c>
      <c r="Z350" s="24">
        <v>16</v>
      </c>
      <c r="AA350" s="13">
        <f>(1+'10. Whatif Control pannel'!$B$10)*Z350</f>
        <v>19.2</v>
      </c>
      <c r="AB350" s="3">
        <f t="shared" si="83"/>
        <v>27158.89408</v>
      </c>
      <c r="AC350" s="3">
        <f t="shared" si="88"/>
        <v>36501.55364352</v>
      </c>
      <c r="AD350" s="3">
        <f t="shared" si="84"/>
        <v>14921.76</v>
      </c>
      <c r="AE350" s="3">
        <f t="shared" si="85"/>
        <v>12237.13408</v>
      </c>
      <c r="AF350" s="3">
        <f t="shared" si="89"/>
        <v>21579.79364352</v>
      </c>
      <c r="AG350">
        <f t="shared" si="86"/>
        <v>0.450575566293456</v>
      </c>
    </row>
    <row r="351" spans="1:33">
      <c r="A351" t="s">
        <v>800</v>
      </c>
      <c r="B351" s="20">
        <v>45825</v>
      </c>
      <c r="C351" s="2">
        <f t="shared" si="75"/>
        <v>6</v>
      </c>
      <c r="D351" s="21">
        <f t="shared" si="87"/>
        <v>45825</v>
      </c>
      <c r="E351" s="19" t="str">
        <f t="shared" si="76"/>
        <v>Quarter 2</v>
      </c>
      <c r="F351" s="19">
        <v>45843</v>
      </c>
      <c r="G351" s="19">
        <f t="shared" si="77"/>
        <v>45843</v>
      </c>
      <c r="H351" s="22">
        <f t="shared" si="78"/>
        <v>18</v>
      </c>
      <c r="I351" t="str">
        <f t="shared" si="79"/>
        <v>Delayed </v>
      </c>
      <c r="J351" t="s">
        <v>45</v>
      </c>
      <c r="K351" t="s">
        <v>60</v>
      </c>
      <c r="L351" t="s">
        <v>141</v>
      </c>
      <c r="M351" t="s">
        <v>48</v>
      </c>
      <c r="N351" t="s">
        <v>40</v>
      </c>
      <c r="O351" t="s">
        <v>49</v>
      </c>
      <c r="P351" t="s">
        <v>57</v>
      </c>
      <c r="Q351" t="s">
        <v>801</v>
      </c>
      <c r="R351" s="3">
        <v>982.93</v>
      </c>
      <c r="S351" s="3">
        <v>2299.3</v>
      </c>
      <c r="T351" s="3">
        <f t="shared" si="80"/>
        <v>2299.3</v>
      </c>
      <c r="U351" s="3">
        <f>(1+'10. Whatif Control pannel'!$B$6)*T351</f>
        <v>2575.216</v>
      </c>
      <c r="V351" s="3" t="str">
        <f t="shared" si="81"/>
        <v>High</v>
      </c>
      <c r="W351" s="34">
        <v>0.113</v>
      </c>
      <c r="X351" s="24" t="str">
        <f t="shared" si="82"/>
        <v>Okay</v>
      </c>
      <c r="Y351" s="36">
        <f>IF(W351&lt;=0.25,W351,'10. Whatif Control pannel'!$B$2)</f>
        <v>0.113</v>
      </c>
      <c r="Z351" s="24">
        <v>6</v>
      </c>
      <c r="AA351" s="13">
        <f>(1+'10. Whatif Control pannel'!$B$10)*Z351</f>
        <v>7.2</v>
      </c>
      <c r="AB351" s="3">
        <f t="shared" si="83"/>
        <v>12236.8746</v>
      </c>
      <c r="AC351" s="3">
        <f t="shared" si="88"/>
        <v>16446.3594624</v>
      </c>
      <c r="AD351" s="3">
        <f t="shared" si="84"/>
        <v>5897.58</v>
      </c>
      <c r="AE351" s="3">
        <f t="shared" si="85"/>
        <v>6339.2946</v>
      </c>
      <c r="AF351" s="3">
        <f t="shared" si="89"/>
        <v>10548.7794624</v>
      </c>
      <c r="AG351">
        <f t="shared" si="86"/>
        <v>0.518048505620872</v>
      </c>
    </row>
    <row r="352" spans="1:33">
      <c r="A352" t="s">
        <v>802</v>
      </c>
      <c r="B352" s="20">
        <v>44980</v>
      </c>
      <c r="C352" s="2">
        <f t="shared" si="75"/>
        <v>2</v>
      </c>
      <c r="D352" s="21">
        <f t="shared" si="87"/>
        <v>44980</v>
      </c>
      <c r="E352" s="19" t="str">
        <f t="shared" si="76"/>
        <v>Quarter 1</v>
      </c>
      <c r="F352" s="19">
        <v>44993</v>
      </c>
      <c r="G352" s="19">
        <f t="shared" si="77"/>
        <v>44993</v>
      </c>
      <c r="H352" s="22">
        <f t="shared" si="78"/>
        <v>13</v>
      </c>
      <c r="I352" t="str">
        <f t="shared" si="79"/>
        <v>Delayed </v>
      </c>
      <c r="J352" t="s">
        <v>78</v>
      </c>
      <c r="K352" t="s">
        <v>108</v>
      </c>
      <c r="L352" t="s">
        <v>228</v>
      </c>
      <c r="M352" t="s">
        <v>62</v>
      </c>
      <c r="N352" t="s">
        <v>98</v>
      </c>
      <c r="O352" t="s">
        <v>21</v>
      </c>
      <c r="P352" t="s">
        <v>30</v>
      </c>
      <c r="Q352" t="s">
        <v>803</v>
      </c>
      <c r="R352" s="3">
        <v>307.37</v>
      </c>
      <c r="S352" s="3">
        <v>462.61</v>
      </c>
      <c r="T352" s="3">
        <f t="shared" si="80"/>
        <v>462.61</v>
      </c>
      <c r="U352" s="3">
        <f>(1+'10. Whatif Control pannel'!$B$6)*T352</f>
        <v>518.1232</v>
      </c>
      <c r="V352" s="3" t="str">
        <f t="shared" si="81"/>
        <v>Low</v>
      </c>
      <c r="W352" s="34">
        <v>0.188</v>
      </c>
      <c r="X352" s="24" t="str">
        <f t="shared" si="82"/>
        <v>Okay</v>
      </c>
      <c r="Y352" s="36">
        <f>IF(W352&lt;=0.25,W352,'10. Whatif Control pannel'!$B$2)</f>
        <v>0.188</v>
      </c>
      <c r="Z352" s="24">
        <v>11</v>
      </c>
      <c r="AA352" s="13">
        <f>(1+'10. Whatif Control pannel'!$B$10)*Z352</f>
        <v>13.2</v>
      </c>
      <c r="AB352" s="3">
        <f t="shared" si="83"/>
        <v>4132.03252</v>
      </c>
      <c r="AC352" s="3">
        <f t="shared" si="88"/>
        <v>5553.45170688</v>
      </c>
      <c r="AD352" s="3">
        <f t="shared" si="84"/>
        <v>3381.07</v>
      </c>
      <c r="AE352" s="3">
        <f t="shared" si="85"/>
        <v>750.96252</v>
      </c>
      <c r="AF352" s="3">
        <f t="shared" si="89"/>
        <v>2172.38170688</v>
      </c>
      <c r="AG352">
        <f t="shared" si="86"/>
        <v>0.181741677095997</v>
      </c>
    </row>
    <row r="353" spans="1:33">
      <c r="A353" t="s">
        <v>804</v>
      </c>
      <c r="B353" s="20">
        <v>45262</v>
      </c>
      <c r="C353" s="2">
        <f t="shared" si="75"/>
        <v>12</v>
      </c>
      <c r="D353" s="21">
        <f t="shared" si="87"/>
        <v>45262</v>
      </c>
      <c r="E353" s="19" t="str">
        <f t="shared" si="76"/>
        <v>Quarter 4</v>
      </c>
      <c r="F353" s="19">
        <v>45276</v>
      </c>
      <c r="G353" s="19">
        <f t="shared" si="77"/>
        <v>45276</v>
      </c>
      <c r="H353" s="22">
        <f t="shared" si="78"/>
        <v>14</v>
      </c>
      <c r="I353" t="str">
        <f t="shared" si="79"/>
        <v>Delayed </v>
      </c>
      <c r="J353" t="s">
        <v>78</v>
      </c>
      <c r="K353" t="s">
        <v>79</v>
      </c>
      <c r="L353" t="s">
        <v>335</v>
      </c>
      <c r="M353" t="s">
        <v>27</v>
      </c>
      <c r="N353" t="s">
        <v>98</v>
      </c>
      <c r="O353" t="s">
        <v>126</v>
      </c>
      <c r="P353" t="s">
        <v>64</v>
      </c>
      <c r="Q353" t="s">
        <v>805</v>
      </c>
      <c r="R353" s="3">
        <v>879.08</v>
      </c>
      <c r="S353" s="3">
        <v>1093.39</v>
      </c>
      <c r="T353" s="3">
        <f t="shared" si="80"/>
        <v>1093.39</v>
      </c>
      <c r="U353" s="3">
        <f>(1+'10. Whatif Control pannel'!$B$6)*T353</f>
        <v>1224.5968</v>
      </c>
      <c r="V353" s="3" t="str">
        <f t="shared" si="81"/>
        <v>Medium</v>
      </c>
      <c r="W353" s="34">
        <v>0.113</v>
      </c>
      <c r="X353" s="24" t="str">
        <f t="shared" si="82"/>
        <v>Okay</v>
      </c>
      <c r="Y353" s="36">
        <f>IF(W353&lt;=0.25,W353,'10. Whatif Control pannel'!$B$2)</f>
        <v>0.113</v>
      </c>
      <c r="Z353" s="24">
        <v>17</v>
      </c>
      <c r="AA353" s="13">
        <f>(1+'10. Whatif Control pannel'!$B$10)*Z353</f>
        <v>20.4</v>
      </c>
      <c r="AB353" s="3">
        <f t="shared" si="83"/>
        <v>16487.22781</v>
      </c>
      <c r="AC353" s="3">
        <f t="shared" si="88"/>
        <v>22158.83417664</v>
      </c>
      <c r="AD353" s="3">
        <f t="shared" si="84"/>
        <v>14944.36</v>
      </c>
      <c r="AE353" s="3">
        <f t="shared" si="85"/>
        <v>1542.86781</v>
      </c>
      <c r="AF353" s="3">
        <f t="shared" si="89"/>
        <v>7214.47417664</v>
      </c>
      <c r="AG353">
        <f t="shared" si="86"/>
        <v>0.0935795773419352</v>
      </c>
    </row>
    <row r="354" spans="1:33">
      <c r="A354" t="s">
        <v>806</v>
      </c>
      <c r="B354" s="20">
        <v>45121</v>
      </c>
      <c r="C354" s="2">
        <f t="shared" si="75"/>
        <v>7</v>
      </c>
      <c r="D354" s="21">
        <f t="shared" si="87"/>
        <v>45121</v>
      </c>
      <c r="E354" s="19" t="str">
        <f t="shared" si="76"/>
        <v>Quarter 3</v>
      </c>
      <c r="F354" s="19">
        <v>45121</v>
      </c>
      <c r="G354" s="19">
        <f t="shared" si="77"/>
        <v>45121</v>
      </c>
      <c r="H354" s="22">
        <f t="shared" si="78"/>
        <v>0</v>
      </c>
      <c r="I354" t="str">
        <f t="shared" si="79"/>
        <v>Ontime</v>
      </c>
      <c r="J354" t="s">
        <v>16</v>
      </c>
      <c r="K354" t="s">
        <v>25</v>
      </c>
      <c r="L354" t="s">
        <v>38</v>
      </c>
      <c r="M354" t="s">
        <v>27</v>
      </c>
      <c r="N354" t="s">
        <v>20</v>
      </c>
      <c r="O354" t="s">
        <v>34</v>
      </c>
      <c r="P354" t="s">
        <v>81</v>
      </c>
      <c r="Q354" t="s">
        <v>807</v>
      </c>
      <c r="R354" s="3">
        <v>956.38</v>
      </c>
      <c r="S354" s="3">
        <v>1454.22</v>
      </c>
      <c r="T354" s="3">
        <f t="shared" si="80"/>
        <v>1454.22</v>
      </c>
      <c r="U354" s="3">
        <f>(1+'10. Whatif Control pannel'!$B$6)*T354</f>
        <v>1628.7264</v>
      </c>
      <c r="V354" s="3" t="str">
        <f t="shared" si="81"/>
        <v>Medium</v>
      </c>
      <c r="W354" s="34">
        <v>0.039</v>
      </c>
      <c r="X354" s="24" t="str">
        <f t="shared" si="82"/>
        <v>Okay</v>
      </c>
      <c r="Y354" s="36">
        <f>IF(W354&lt;=0.25,W354,'10. Whatif Control pannel'!$B$2)</f>
        <v>0.039</v>
      </c>
      <c r="Z354" s="24">
        <v>19</v>
      </c>
      <c r="AA354" s="13">
        <f>(1+'10. Whatif Control pannel'!$B$10)*Z354</f>
        <v>22.8</v>
      </c>
      <c r="AB354" s="3">
        <f t="shared" si="83"/>
        <v>26552.60298</v>
      </c>
      <c r="AC354" s="3">
        <f t="shared" si="88"/>
        <v>35686.69840512</v>
      </c>
      <c r="AD354" s="3">
        <f t="shared" si="84"/>
        <v>18171.22</v>
      </c>
      <c r="AE354" s="3">
        <f t="shared" si="85"/>
        <v>8381.38298</v>
      </c>
      <c r="AF354" s="3">
        <f t="shared" si="89"/>
        <v>17515.47840512</v>
      </c>
      <c r="AG354">
        <f t="shared" si="86"/>
        <v>0.315652028025766</v>
      </c>
    </row>
    <row r="355" spans="1:33">
      <c r="A355" t="s">
        <v>808</v>
      </c>
      <c r="B355" s="20">
        <v>45512</v>
      </c>
      <c r="C355" s="2">
        <f t="shared" si="75"/>
        <v>8</v>
      </c>
      <c r="D355" s="21">
        <f t="shared" si="87"/>
        <v>45512</v>
      </c>
      <c r="E355" s="19" t="str">
        <f t="shared" si="76"/>
        <v>Quarter 3</v>
      </c>
      <c r="F355" s="19">
        <v>45524</v>
      </c>
      <c r="G355" s="19">
        <f t="shared" si="77"/>
        <v>45524</v>
      </c>
      <c r="H355" s="22">
        <f t="shared" si="78"/>
        <v>12</v>
      </c>
      <c r="I355" t="str">
        <f t="shared" si="79"/>
        <v>Delayed </v>
      </c>
      <c r="J355" t="s">
        <v>45</v>
      </c>
      <c r="K355" t="s">
        <v>46</v>
      </c>
      <c r="L355" t="s">
        <v>47</v>
      </c>
      <c r="M355" t="s">
        <v>62</v>
      </c>
      <c r="N355" t="s">
        <v>20</v>
      </c>
      <c r="O355" t="s">
        <v>92</v>
      </c>
      <c r="P355" t="s">
        <v>35</v>
      </c>
      <c r="Q355" t="s">
        <v>809</v>
      </c>
      <c r="R355" s="3">
        <v>1233.36</v>
      </c>
      <c r="S355" s="3">
        <v>2120.4</v>
      </c>
      <c r="T355" s="3">
        <f t="shared" si="80"/>
        <v>2120.4</v>
      </c>
      <c r="U355" s="3">
        <f>(1+'10. Whatif Control pannel'!$B$6)*T355</f>
        <v>2374.848</v>
      </c>
      <c r="V355" s="3" t="str">
        <f t="shared" si="81"/>
        <v>High</v>
      </c>
      <c r="W355" s="34">
        <v>0.179</v>
      </c>
      <c r="X355" s="24" t="str">
        <f t="shared" si="82"/>
        <v>Okay</v>
      </c>
      <c r="Y355" s="36">
        <f>IF(W355&lt;=0.25,W355,'10. Whatif Control pannel'!$B$2)</f>
        <v>0.179</v>
      </c>
      <c r="Z355" s="24">
        <v>20</v>
      </c>
      <c r="AA355" s="13">
        <f>(1+'10. Whatif Control pannel'!$B$10)*Z355</f>
        <v>24</v>
      </c>
      <c r="AB355" s="3">
        <f t="shared" si="83"/>
        <v>34816.968</v>
      </c>
      <c r="AC355" s="3">
        <f t="shared" si="88"/>
        <v>46794.004992</v>
      </c>
      <c r="AD355" s="3">
        <f t="shared" si="84"/>
        <v>24667.2</v>
      </c>
      <c r="AE355" s="3">
        <f t="shared" si="85"/>
        <v>10149.768</v>
      </c>
      <c r="AF355" s="3">
        <f t="shared" si="89"/>
        <v>22126.804992</v>
      </c>
      <c r="AG355">
        <f t="shared" si="86"/>
        <v>0.291517859912443</v>
      </c>
    </row>
    <row r="356" spans="1:33">
      <c r="A356" t="s">
        <v>810</v>
      </c>
      <c r="B356" s="20">
        <v>45603</v>
      </c>
      <c r="C356" s="2">
        <f t="shared" si="75"/>
        <v>11</v>
      </c>
      <c r="D356" s="21">
        <f t="shared" si="87"/>
        <v>45603</v>
      </c>
      <c r="E356" s="19" t="str">
        <f t="shared" si="76"/>
        <v>Quarter 4</v>
      </c>
      <c r="F356" s="19">
        <v>45622</v>
      </c>
      <c r="G356" s="19">
        <f t="shared" si="77"/>
        <v>45622</v>
      </c>
      <c r="H356" s="22">
        <f t="shared" si="78"/>
        <v>19</v>
      </c>
      <c r="I356" t="str">
        <f t="shared" si="79"/>
        <v>Delayed </v>
      </c>
      <c r="J356" t="s">
        <v>52</v>
      </c>
      <c r="K356" t="s">
        <v>73</v>
      </c>
      <c r="L356" t="s">
        <v>225</v>
      </c>
      <c r="M356" t="s">
        <v>39</v>
      </c>
      <c r="N356" t="s">
        <v>55</v>
      </c>
      <c r="O356" t="s">
        <v>29</v>
      </c>
      <c r="P356" t="s">
        <v>30</v>
      </c>
      <c r="Q356" t="s">
        <v>811</v>
      </c>
      <c r="R356" s="3">
        <v>55.35</v>
      </c>
      <c r="S356" s="3">
        <v>128.68</v>
      </c>
      <c r="T356" s="3">
        <f t="shared" si="80"/>
        <v>128.68</v>
      </c>
      <c r="U356" s="3">
        <f>(1+'10. Whatif Control pannel'!$B$6)*T356</f>
        <v>144.1216</v>
      </c>
      <c r="V356" s="3" t="str">
        <f t="shared" si="81"/>
        <v>Low</v>
      </c>
      <c r="W356" s="34">
        <v>0.128</v>
      </c>
      <c r="X356" s="24" t="str">
        <f t="shared" si="82"/>
        <v>Okay</v>
      </c>
      <c r="Y356" s="36">
        <f>IF(W356&lt;=0.25,W356,'10. Whatif Control pannel'!$B$2)</f>
        <v>0.128</v>
      </c>
      <c r="Z356" s="24">
        <v>10</v>
      </c>
      <c r="AA356" s="13">
        <f>(1+'10. Whatif Control pannel'!$B$10)*Z356</f>
        <v>12</v>
      </c>
      <c r="AB356" s="3">
        <f t="shared" si="83"/>
        <v>1122.0896</v>
      </c>
      <c r="AC356" s="3">
        <f t="shared" si="88"/>
        <v>1508.0884224</v>
      </c>
      <c r="AD356" s="3">
        <f t="shared" si="84"/>
        <v>553.5</v>
      </c>
      <c r="AE356" s="3">
        <f t="shared" si="85"/>
        <v>568.5896</v>
      </c>
      <c r="AF356" s="3">
        <f t="shared" si="89"/>
        <v>954.5884224</v>
      </c>
      <c r="AG356">
        <f t="shared" si="86"/>
        <v>0.506723883725506</v>
      </c>
    </row>
    <row r="357" spans="1:33">
      <c r="A357" t="s">
        <v>812</v>
      </c>
      <c r="B357" s="20">
        <v>45292</v>
      </c>
      <c r="C357" s="2">
        <f t="shared" si="75"/>
        <v>1</v>
      </c>
      <c r="D357" s="21">
        <f t="shared" si="87"/>
        <v>45292</v>
      </c>
      <c r="E357" s="19" t="str">
        <f t="shared" si="76"/>
        <v>Quarter 1</v>
      </c>
      <c r="F357" s="19">
        <v>45318</v>
      </c>
      <c r="G357" s="19">
        <f t="shared" si="77"/>
        <v>45318</v>
      </c>
      <c r="H357" s="22">
        <f t="shared" si="78"/>
        <v>26</v>
      </c>
      <c r="I357" t="str">
        <f t="shared" si="79"/>
        <v>Delayed </v>
      </c>
      <c r="J357" t="s">
        <v>78</v>
      </c>
      <c r="K357" t="s">
        <v>108</v>
      </c>
      <c r="L357" t="s">
        <v>228</v>
      </c>
      <c r="M357" t="s">
        <v>27</v>
      </c>
      <c r="N357" t="s">
        <v>55</v>
      </c>
      <c r="O357" t="s">
        <v>145</v>
      </c>
      <c r="P357" t="s">
        <v>81</v>
      </c>
      <c r="Q357" t="s">
        <v>813</v>
      </c>
      <c r="R357" s="3">
        <v>657.45</v>
      </c>
      <c r="S357" s="3">
        <v>1325.96</v>
      </c>
      <c r="T357" s="3">
        <f t="shared" si="80"/>
        <v>1325.96</v>
      </c>
      <c r="U357" s="3">
        <f>(1+'10. Whatif Control pannel'!$B$6)*T357</f>
        <v>1485.0752</v>
      </c>
      <c r="V357" s="3" t="str">
        <f t="shared" si="81"/>
        <v>Medium</v>
      </c>
      <c r="W357" s="34">
        <v>0.167</v>
      </c>
      <c r="X357" s="24" t="str">
        <f t="shared" si="82"/>
        <v>Okay</v>
      </c>
      <c r="Y357" s="36">
        <f>IF(W357&lt;=0.25,W357,'10. Whatif Control pannel'!$B$2)</f>
        <v>0.167</v>
      </c>
      <c r="Z357" s="24">
        <v>21</v>
      </c>
      <c r="AA357" s="13">
        <f>(1+'10. Whatif Control pannel'!$B$10)*Z357</f>
        <v>25.2</v>
      </c>
      <c r="AB357" s="3">
        <f t="shared" si="83"/>
        <v>23195.01828</v>
      </c>
      <c r="AC357" s="3">
        <f t="shared" si="88"/>
        <v>31174.10456832</v>
      </c>
      <c r="AD357" s="3">
        <f t="shared" si="84"/>
        <v>13806.45</v>
      </c>
      <c r="AE357" s="3">
        <f t="shared" si="85"/>
        <v>9388.56828</v>
      </c>
      <c r="AF357" s="3">
        <f t="shared" si="89"/>
        <v>17367.65456832</v>
      </c>
      <c r="AG357">
        <f t="shared" si="86"/>
        <v>0.404766582490488</v>
      </c>
    </row>
    <row r="358" spans="1:33">
      <c r="A358" t="s">
        <v>814</v>
      </c>
      <c r="B358" s="20">
        <v>45883</v>
      </c>
      <c r="C358" s="2">
        <f t="shared" si="75"/>
        <v>8</v>
      </c>
      <c r="D358" s="21">
        <f t="shared" si="87"/>
        <v>45883</v>
      </c>
      <c r="E358" s="19" t="str">
        <f t="shared" si="76"/>
        <v>Quarter 3</v>
      </c>
      <c r="F358" s="19">
        <v>45911</v>
      </c>
      <c r="G358" s="19">
        <f t="shared" si="77"/>
        <v>45911</v>
      </c>
      <c r="H358" s="22">
        <f t="shared" si="78"/>
        <v>28</v>
      </c>
      <c r="I358" t="str">
        <f t="shared" si="79"/>
        <v>Delayed </v>
      </c>
      <c r="J358" t="s">
        <v>52</v>
      </c>
      <c r="K358" t="s">
        <v>73</v>
      </c>
      <c r="L358" t="s">
        <v>74</v>
      </c>
      <c r="M358" t="s">
        <v>39</v>
      </c>
      <c r="N358" t="s">
        <v>98</v>
      </c>
      <c r="O358" t="s">
        <v>84</v>
      </c>
      <c r="P358" t="s">
        <v>30</v>
      </c>
      <c r="Q358" t="s">
        <v>815</v>
      </c>
      <c r="R358" s="3">
        <v>1203.02</v>
      </c>
      <c r="S358" s="3">
        <v>2439.33</v>
      </c>
      <c r="T358" s="3">
        <f t="shared" si="80"/>
        <v>2439.33</v>
      </c>
      <c r="U358" s="3">
        <f>(1+'10. Whatif Control pannel'!$B$6)*T358</f>
        <v>2732.0496</v>
      </c>
      <c r="V358" s="3" t="str">
        <f t="shared" si="81"/>
        <v>High</v>
      </c>
      <c r="W358" s="34">
        <v>0</v>
      </c>
      <c r="X358" s="24" t="str">
        <f t="shared" si="82"/>
        <v>Okay</v>
      </c>
      <c r="Y358" s="36">
        <f>IF(W358&lt;=0.25,W358,'10. Whatif Control pannel'!$B$2)</f>
        <v>0</v>
      </c>
      <c r="Z358" s="24">
        <v>18</v>
      </c>
      <c r="AA358" s="13">
        <f>(1+'10. Whatif Control pannel'!$B$10)*Z358</f>
        <v>21.6</v>
      </c>
      <c r="AB358" s="3">
        <f t="shared" si="83"/>
        <v>43907.94</v>
      </c>
      <c r="AC358" s="3">
        <f t="shared" si="88"/>
        <v>59012.27136</v>
      </c>
      <c r="AD358" s="3">
        <f t="shared" si="84"/>
        <v>21654.36</v>
      </c>
      <c r="AE358" s="3">
        <f t="shared" si="85"/>
        <v>22253.58</v>
      </c>
      <c r="AF358" s="3">
        <f t="shared" si="89"/>
        <v>37357.91136</v>
      </c>
      <c r="AG358">
        <f t="shared" si="86"/>
        <v>0.506823595003546</v>
      </c>
    </row>
    <row r="359" spans="1:33">
      <c r="A359" t="s">
        <v>816</v>
      </c>
      <c r="B359" s="20">
        <v>45385</v>
      </c>
      <c r="C359" s="2">
        <f t="shared" si="75"/>
        <v>4</v>
      </c>
      <c r="D359" s="21">
        <f t="shared" si="87"/>
        <v>45385</v>
      </c>
      <c r="E359" s="19" t="str">
        <f t="shared" si="76"/>
        <v>Quarter 2</v>
      </c>
      <c r="F359" s="19">
        <v>45403</v>
      </c>
      <c r="G359" s="19">
        <f t="shared" si="77"/>
        <v>45403</v>
      </c>
      <c r="H359" s="22">
        <f t="shared" si="78"/>
        <v>18</v>
      </c>
      <c r="I359" t="str">
        <f t="shared" si="79"/>
        <v>Delayed </v>
      </c>
      <c r="J359" t="s">
        <v>52</v>
      </c>
      <c r="K359" t="s">
        <v>73</v>
      </c>
      <c r="L359" t="s">
        <v>87</v>
      </c>
      <c r="M359" t="s">
        <v>62</v>
      </c>
      <c r="N359" t="s">
        <v>55</v>
      </c>
      <c r="O359" t="s">
        <v>56</v>
      </c>
      <c r="P359" t="s">
        <v>35</v>
      </c>
      <c r="Q359" t="s">
        <v>817</v>
      </c>
      <c r="R359" s="3">
        <v>1176.69</v>
      </c>
      <c r="S359" s="3">
        <v>2201.54</v>
      </c>
      <c r="T359" s="3">
        <f t="shared" si="80"/>
        <v>2201.54</v>
      </c>
      <c r="U359" s="3">
        <f>(1+'10. Whatif Control pannel'!$B$6)*T359</f>
        <v>2465.7248</v>
      </c>
      <c r="V359" s="3" t="str">
        <f t="shared" si="81"/>
        <v>High</v>
      </c>
      <c r="W359" s="34">
        <v>0.17</v>
      </c>
      <c r="X359" s="24" t="str">
        <f t="shared" si="82"/>
        <v>Okay</v>
      </c>
      <c r="Y359" s="36">
        <f>IF(W359&lt;=0.25,W359,'10. Whatif Control pannel'!$B$2)</f>
        <v>0.17</v>
      </c>
      <c r="Z359" s="24">
        <v>27</v>
      </c>
      <c r="AA359" s="13">
        <f>(1+'10. Whatif Control pannel'!$B$10)*Z359</f>
        <v>32.4</v>
      </c>
      <c r="AB359" s="3">
        <f t="shared" si="83"/>
        <v>49336.5114</v>
      </c>
      <c r="AC359" s="3">
        <f t="shared" si="88"/>
        <v>66308.2713216</v>
      </c>
      <c r="AD359" s="3">
        <f t="shared" si="84"/>
        <v>31770.63</v>
      </c>
      <c r="AE359" s="3">
        <f t="shared" si="85"/>
        <v>17565.8814</v>
      </c>
      <c r="AF359" s="3">
        <f t="shared" si="89"/>
        <v>34537.6413216</v>
      </c>
      <c r="AG359">
        <f t="shared" si="86"/>
        <v>0.356042227177011</v>
      </c>
    </row>
    <row r="360" spans="1:33">
      <c r="A360" t="s">
        <v>818</v>
      </c>
      <c r="B360" s="20">
        <v>45621</v>
      </c>
      <c r="C360" s="2">
        <f t="shared" si="75"/>
        <v>11</v>
      </c>
      <c r="D360" s="21">
        <f t="shared" si="87"/>
        <v>45621</v>
      </c>
      <c r="E360" s="19" t="str">
        <f t="shared" si="76"/>
        <v>Quarter 4</v>
      </c>
      <c r="F360" s="19">
        <v>45633</v>
      </c>
      <c r="G360" s="19">
        <f t="shared" si="77"/>
        <v>45633</v>
      </c>
      <c r="H360" s="22">
        <f t="shared" si="78"/>
        <v>12</v>
      </c>
      <c r="I360" t="str">
        <f t="shared" si="79"/>
        <v>Delayed </v>
      </c>
      <c r="J360" t="s">
        <v>45</v>
      </c>
      <c r="K360" t="s">
        <v>116</v>
      </c>
      <c r="L360" t="s">
        <v>162</v>
      </c>
      <c r="M360" t="s">
        <v>19</v>
      </c>
      <c r="N360" t="s">
        <v>55</v>
      </c>
      <c r="O360" t="s">
        <v>75</v>
      </c>
      <c r="P360" t="s">
        <v>81</v>
      </c>
      <c r="Q360" t="s">
        <v>819</v>
      </c>
      <c r="R360" s="3">
        <v>769.9</v>
      </c>
      <c r="S360" s="3">
        <v>814.36</v>
      </c>
      <c r="T360" s="3">
        <f t="shared" si="80"/>
        <v>814.36</v>
      </c>
      <c r="U360" s="3">
        <f>(1+'10. Whatif Control pannel'!$B$6)*T360</f>
        <v>912.0832</v>
      </c>
      <c r="V360" s="3" t="str">
        <f t="shared" si="81"/>
        <v>Low</v>
      </c>
      <c r="W360" s="34">
        <v>0</v>
      </c>
      <c r="X360" s="24" t="str">
        <f t="shared" si="82"/>
        <v>Okay</v>
      </c>
      <c r="Y360" s="36">
        <f>IF(W360&lt;=0.25,W360,'10. Whatif Control pannel'!$B$2)</f>
        <v>0</v>
      </c>
      <c r="Z360" s="24">
        <v>5</v>
      </c>
      <c r="AA360" s="13">
        <f>(1+'10. Whatif Control pannel'!$B$10)*Z360</f>
        <v>6</v>
      </c>
      <c r="AB360" s="3">
        <f t="shared" si="83"/>
        <v>4071.8</v>
      </c>
      <c r="AC360" s="3">
        <f t="shared" si="88"/>
        <v>5472.4992</v>
      </c>
      <c r="AD360" s="3">
        <f t="shared" si="84"/>
        <v>3849.5</v>
      </c>
      <c r="AE360" s="3">
        <f t="shared" si="85"/>
        <v>222.3</v>
      </c>
      <c r="AF360" s="3">
        <f t="shared" si="89"/>
        <v>1622.9992</v>
      </c>
      <c r="AG360">
        <f t="shared" si="86"/>
        <v>0.0545950194017388</v>
      </c>
    </row>
    <row r="361" spans="1:33">
      <c r="A361" t="s">
        <v>820</v>
      </c>
      <c r="B361" s="20">
        <v>45309</v>
      </c>
      <c r="C361" s="2">
        <f t="shared" si="75"/>
        <v>1</v>
      </c>
      <c r="D361" s="21">
        <f t="shared" si="87"/>
        <v>45309</v>
      </c>
      <c r="E361" s="19" t="str">
        <f t="shared" si="76"/>
        <v>Quarter 1</v>
      </c>
      <c r="F361" s="19">
        <v>45325</v>
      </c>
      <c r="G361" s="19">
        <f t="shared" si="77"/>
        <v>45325</v>
      </c>
      <c r="H361" s="22">
        <f t="shared" si="78"/>
        <v>16</v>
      </c>
      <c r="I361" t="str">
        <f t="shared" si="79"/>
        <v>Delayed </v>
      </c>
      <c r="J361" t="s">
        <v>16</v>
      </c>
      <c r="K361" t="s">
        <v>148</v>
      </c>
      <c r="L361" t="s">
        <v>258</v>
      </c>
      <c r="M361" t="s">
        <v>39</v>
      </c>
      <c r="N361" t="s">
        <v>55</v>
      </c>
      <c r="O361" t="s">
        <v>49</v>
      </c>
      <c r="P361" t="s">
        <v>30</v>
      </c>
      <c r="Q361" t="s">
        <v>821</v>
      </c>
      <c r="R361" s="3">
        <v>666.23</v>
      </c>
      <c r="S361" s="3">
        <v>1382.91</v>
      </c>
      <c r="T361" s="3">
        <f t="shared" si="80"/>
        <v>1382.91</v>
      </c>
      <c r="U361" s="3">
        <f>(1+'10. Whatif Control pannel'!$B$6)*T361</f>
        <v>1548.8592</v>
      </c>
      <c r="V361" s="3" t="str">
        <f t="shared" si="81"/>
        <v>Medium</v>
      </c>
      <c r="W361" s="34">
        <v>0.176</v>
      </c>
      <c r="X361" s="24" t="str">
        <f t="shared" si="82"/>
        <v>Okay</v>
      </c>
      <c r="Y361" s="36">
        <f>IF(W361&lt;=0.25,W361,'10. Whatif Control pannel'!$B$2)</f>
        <v>0.176</v>
      </c>
      <c r="Z361" s="24">
        <v>13</v>
      </c>
      <c r="AA361" s="13">
        <f>(1+'10. Whatif Control pannel'!$B$10)*Z361</f>
        <v>15.6</v>
      </c>
      <c r="AB361" s="3">
        <f t="shared" si="83"/>
        <v>14813.73192</v>
      </c>
      <c r="AC361" s="3">
        <f t="shared" si="88"/>
        <v>19909.65570048</v>
      </c>
      <c r="AD361" s="3">
        <f t="shared" si="84"/>
        <v>8660.99</v>
      </c>
      <c r="AE361" s="3">
        <f t="shared" si="85"/>
        <v>6152.74192</v>
      </c>
      <c r="AF361" s="3">
        <f t="shared" si="89"/>
        <v>11248.66570048</v>
      </c>
      <c r="AG361">
        <f t="shared" si="86"/>
        <v>0.41534043907553</v>
      </c>
    </row>
    <row r="362" spans="1:33">
      <c r="A362" t="s">
        <v>822</v>
      </c>
      <c r="B362" s="20">
        <v>45466</v>
      </c>
      <c r="C362" s="2">
        <f t="shared" si="75"/>
        <v>6</v>
      </c>
      <c r="D362" s="21">
        <f t="shared" si="87"/>
        <v>45466</v>
      </c>
      <c r="E362" s="19" t="str">
        <f t="shared" si="76"/>
        <v>Quarter 2</v>
      </c>
      <c r="F362" s="19">
        <v>45468</v>
      </c>
      <c r="G362" s="19">
        <f t="shared" si="77"/>
        <v>45468</v>
      </c>
      <c r="H362" s="22">
        <f t="shared" si="78"/>
        <v>2</v>
      </c>
      <c r="I362" t="str">
        <f t="shared" si="79"/>
        <v>Ontime</v>
      </c>
      <c r="J362" t="s">
        <v>78</v>
      </c>
      <c r="K362" t="s">
        <v>108</v>
      </c>
      <c r="L362" t="s">
        <v>109</v>
      </c>
      <c r="M362" t="s">
        <v>62</v>
      </c>
      <c r="N362" t="s">
        <v>40</v>
      </c>
      <c r="O362" t="s">
        <v>49</v>
      </c>
      <c r="P362" t="s">
        <v>81</v>
      </c>
      <c r="Q362" t="s">
        <v>823</v>
      </c>
      <c r="R362" s="3">
        <v>951.44</v>
      </c>
      <c r="S362" s="3">
        <v>1646.43</v>
      </c>
      <c r="T362" s="3">
        <f t="shared" si="80"/>
        <v>1646.43</v>
      </c>
      <c r="U362" s="3">
        <f>(1+'10. Whatif Control pannel'!$B$6)*T362</f>
        <v>1844.0016</v>
      </c>
      <c r="V362" s="3" t="str">
        <f t="shared" si="81"/>
        <v>High</v>
      </c>
      <c r="W362" s="34">
        <v>0.11</v>
      </c>
      <c r="X362" s="24" t="str">
        <f t="shared" si="82"/>
        <v>Okay</v>
      </c>
      <c r="Y362" s="36">
        <f>IF(W362&lt;=0.25,W362,'10. Whatif Control pannel'!$B$2)</f>
        <v>0.11</v>
      </c>
      <c r="Z362" s="24">
        <v>24</v>
      </c>
      <c r="AA362" s="13">
        <f>(1+'10. Whatif Control pannel'!$B$10)*Z362</f>
        <v>28.8</v>
      </c>
      <c r="AB362" s="3">
        <f t="shared" si="83"/>
        <v>35167.7448</v>
      </c>
      <c r="AC362" s="3">
        <f t="shared" si="88"/>
        <v>47265.4490112</v>
      </c>
      <c r="AD362" s="3">
        <f t="shared" si="84"/>
        <v>22834.56</v>
      </c>
      <c r="AE362" s="3">
        <f t="shared" si="85"/>
        <v>12333.1848</v>
      </c>
      <c r="AF362" s="3">
        <f t="shared" si="89"/>
        <v>24430.8890112</v>
      </c>
      <c r="AG362">
        <f t="shared" si="86"/>
        <v>0.350695925204735</v>
      </c>
    </row>
    <row r="363" spans="1:33">
      <c r="A363" t="s">
        <v>824</v>
      </c>
      <c r="B363" s="20">
        <v>45833</v>
      </c>
      <c r="C363" s="2">
        <f t="shared" si="75"/>
        <v>6</v>
      </c>
      <c r="D363" s="21">
        <f t="shared" si="87"/>
        <v>45833</v>
      </c>
      <c r="E363" s="19" t="str">
        <f t="shared" si="76"/>
        <v>Quarter 2</v>
      </c>
      <c r="F363" s="19">
        <v>45848</v>
      </c>
      <c r="G363" s="19">
        <f t="shared" si="77"/>
        <v>45848</v>
      </c>
      <c r="H363" s="22">
        <f t="shared" si="78"/>
        <v>15</v>
      </c>
      <c r="I363" t="str">
        <f t="shared" si="79"/>
        <v>Delayed </v>
      </c>
      <c r="J363" t="s">
        <v>78</v>
      </c>
      <c r="K363" t="s">
        <v>108</v>
      </c>
      <c r="L363" t="s">
        <v>109</v>
      </c>
      <c r="M363" t="s">
        <v>39</v>
      </c>
      <c r="N363" t="s">
        <v>40</v>
      </c>
      <c r="O363" t="s">
        <v>145</v>
      </c>
      <c r="P363" t="s">
        <v>42</v>
      </c>
      <c r="Q363" t="s">
        <v>825</v>
      </c>
      <c r="R363" s="3">
        <v>546.83</v>
      </c>
      <c r="S363" s="3">
        <v>400.84</v>
      </c>
      <c r="T363" s="3">
        <f t="shared" si="80"/>
        <v>400.84</v>
      </c>
      <c r="U363" s="3">
        <f>(1+'10. Whatif Control pannel'!$B$6)*T363</f>
        <v>448.9408</v>
      </c>
      <c r="V363" s="3" t="str">
        <f t="shared" si="81"/>
        <v>Low</v>
      </c>
      <c r="W363" s="34">
        <v>0.078</v>
      </c>
      <c r="X363" s="24" t="str">
        <f t="shared" si="82"/>
        <v>Okay</v>
      </c>
      <c r="Y363" s="36">
        <f>IF(W363&lt;=0.25,W363,'10. Whatif Control pannel'!$B$2)</f>
        <v>0.078</v>
      </c>
      <c r="Z363" s="24">
        <v>13</v>
      </c>
      <c r="AA363" s="13">
        <f>(1+'10. Whatif Control pannel'!$B$10)*Z363</f>
        <v>15.6</v>
      </c>
      <c r="AB363" s="3">
        <f t="shared" si="83"/>
        <v>4804.46824</v>
      </c>
      <c r="AC363" s="3">
        <f t="shared" si="88"/>
        <v>6457.20531456</v>
      </c>
      <c r="AD363" s="3">
        <f t="shared" si="84"/>
        <v>7108.79</v>
      </c>
      <c r="AE363" s="3">
        <f t="shared" si="85"/>
        <v>-2304.32176</v>
      </c>
      <c r="AF363" s="3">
        <f t="shared" si="89"/>
        <v>-651.584685440001</v>
      </c>
      <c r="AG363">
        <f t="shared" si="86"/>
        <v>-0.479620562545336</v>
      </c>
    </row>
    <row r="364" spans="1:33">
      <c r="A364" t="s">
        <v>826</v>
      </c>
      <c r="B364" s="20">
        <v>45108</v>
      </c>
      <c r="C364" s="2">
        <f t="shared" si="75"/>
        <v>7</v>
      </c>
      <c r="D364" s="21">
        <f t="shared" si="87"/>
        <v>45108</v>
      </c>
      <c r="E364" s="19" t="str">
        <f t="shared" si="76"/>
        <v>Quarter 3</v>
      </c>
      <c r="F364" s="19">
        <v>45115</v>
      </c>
      <c r="G364" s="19">
        <f t="shared" si="77"/>
        <v>45115</v>
      </c>
      <c r="H364" s="22">
        <f t="shared" si="78"/>
        <v>7</v>
      </c>
      <c r="I364" t="str">
        <f t="shared" si="79"/>
        <v>Ontime</v>
      </c>
      <c r="J364" t="s">
        <v>16</v>
      </c>
      <c r="K364" t="s">
        <v>25</v>
      </c>
      <c r="L364" t="s">
        <v>26</v>
      </c>
      <c r="M364" t="s">
        <v>19</v>
      </c>
      <c r="N364" t="s">
        <v>20</v>
      </c>
      <c r="O364" t="s">
        <v>75</v>
      </c>
      <c r="P364" t="s">
        <v>57</v>
      </c>
      <c r="Q364" t="s">
        <v>827</v>
      </c>
      <c r="R364" s="3">
        <v>834.26</v>
      </c>
      <c r="S364" s="3">
        <v>1780.56</v>
      </c>
      <c r="T364" s="3">
        <f t="shared" si="80"/>
        <v>1780.56</v>
      </c>
      <c r="U364" s="3">
        <f>(1+'10. Whatif Control pannel'!$B$6)*T364</f>
        <v>1994.2272</v>
      </c>
      <c r="V364" s="3" t="str">
        <f t="shared" si="81"/>
        <v>High</v>
      </c>
      <c r="W364" s="34">
        <v>0.014</v>
      </c>
      <c r="X364" s="24" t="str">
        <f t="shared" si="82"/>
        <v>Okay</v>
      </c>
      <c r="Y364" s="36">
        <f>IF(W364&lt;=0.25,W364,'10. Whatif Control pannel'!$B$2)</f>
        <v>0.014</v>
      </c>
      <c r="Z364" s="24">
        <v>47</v>
      </c>
      <c r="AA364" s="13">
        <f>(1+'10. Whatif Control pannel'!$B$10)*Z364</f>
        <v>56.4</v>
      </c>
      <c r="AB364" s="3">
        <f t="shared" si="83"/>
        <v>82514.71152</v>
      </c>
      <c r="AC364" s="3">
        <f t="shared" si="88"/>
        <v>110899.77228288</v>
      </c>
      <c r="AD364" s="3">
        <f t="shared" si="84"/>
        <v>39210.22</v>
      </c>
      <c r="AE364" s="3">
        <f t="shared" si="85"/>
        <v>43304.49152</v>
      </c>
      <c r="AF364" s="3">
        <f t="shared" si="89"/>
        <v>71689.55228288</v>
      </c>
      <c r="AG364">
        <f t="shared" si="86"/>
        <v>0.524809342749793</v>
      </c>
    </row>
    <row r="365" spans="1:33">
      <c r="A365" t="s">
        <v>828</v>
      </c>
      <c r="B365" s="20">
        <v>45360</v>
      </c>
      <c r="C365" s="2">
        <f t="shared" si="75"/>
        <v>3</v>
      </c>
      <c r="D365" s="21">
        <f t="shared" si="87"/>
        <v>45360</v>
      </c>
      <c r="E365" s="19" t="str">
        <f t="shared" si="76"/>
        <v>Quarter 1</v>
      </c>
      <c r="F365" s="19">
        <v>45377</v>
      </c>
      <c r="G365" s="19">
        <f t="shared" si="77"/>
        <v>45377</v>
      </c>
      <c r="H365" s="22">
        <f t="shared" si="78"/>
        <v>17</v>
      </c>
      <c r="I365" t="str">
        <f t="shared" si="79"/>
        <v>Delayed </v>
      </c>
      <c r="J365" t="s">
        <v>45</v>
      </c>
      <c r="K365" t="s">
        <v>116</v>
      </c>
      <c r="L365" t="s">
        <v>117</v>
      </c>
      <c r="M365" t="s">
        <v>105</v>
      </c>
      <c r="N365" t="s">
        <v>28</v>
      </c>
      <c r="O365" t="s">
        <v>95</v>
      </c>
      <c r="P365" t="s">
        <v>64</v>
      </c>
      <c r="Q365" t="s">
        <v>829</v>
      </c>
      <c r="R365" s="3">
        <v>1029.67</v>
      </c>
      <c r="S365" s="3">
        <v>1118.43</v>
      </c>
      <c r="T365" s="3">
        <f t="shared" si="80"/>
        <v>1118.43</v>
      </c>
      <c r="U365" s="3">
        <f>(1+'10. Whatif Control pannel'!$B$6)*T365</f>
        <v>1252.6416</v>
      </c>
      <c r="V365" s="3" t="str">
        <f t="shared" si="81"/>
        <v>Medium</v>
      </c>
      <c r="W365" s="34">
        <v>0.272</v>
      </c>
      <c r="X365" s="24" t="str">
        <f t="shared" si="82"/>
        <v>High Discount</v>
      </c>
      <c r="Y365" s="36">
        <f>IF(W365&lt;=0.25,W365,'10. Whatif Control pannel'!$B$2)</f>
        <v>0.23</v>
      </c>
      <c r="Z365" s="24">
        <v>9</v>
      </c>
      <c r="AA365" s="13">
        <f>(1+'10. Whatif Control pannel'!$B$10)*Z365</f>
        <v>10.8</v>
      </c>
      <c r="AB365" s="3">
        <f t="shared" si="83"/>
        <v>7327.95336</v>
      </c>
      <c r="AC365" s="3">
        <f t="shared" si="88"/>
        <v>10416.9675456</v>
      </c>
      <c r="AD365" s="3">
        <f t="shared" si="84"/>
        <v>9267.03</v>
      </c>
      <c r="AE365" s="3">
        <f t="shared" si="85"/>
        <v>-1939.07664</v>
      </c>
      <c r="AF365" s="3">
        <f t="shared" si="89"/>
        <v>1149.9375456</v>
      </c>
      <c r="AG365">
        <f t="shared" si="86"/>
        <v>-0.264613671067361</v>
      </c>
    </row>
    <row r="366" spans="1:33">
      <c r="A366" t="s">
        <v>830</v>
      </c>
      <c r="B366" s="20">
        <v>45082</v>
      </c>
      <c r="C366" s="2">
        <f t="shared" si="75"/>
        <v>6</v>
      </c>
      <c r="D366" s="21">
        <f t="shared" si="87"/>
        <v>45082</v>
      </c>
      <c r="E366" s="19" t="str">
        <f t="shared" si="76"/>
        <v>Quarter 2</v>
      </c>
      <c r="F366" s="19">
        <v>45105</v>
      </c>
      <c r="G366" s="19">
        <f t="shared" si="77"/>
        <v>45105</v>
      </c>
      <c r="H366" s="22">
        <f t="shared" si="78"/>
        <v>23</v>
      </c>
      <c r="I366" t="str">
        <f t="shared" si="79"/>
        <v>Delayed </v>
      </c>
      <c r="J366" t="s">
        <v>78</v>
      </c>
      <c r="K366" t="s">
        <v>108</v>
      </c>
      <c r="L366" t="s">
        <v>109</v>
      </c>
      <c r="M366" t="s">
        <v>19</v>
      </c>
      <c r="N366" t="s">
        <v>98</v>
      </c>
      <c r="O366" t="s">
        <v>95</v>
      </c>
      <c r="P366" t="s">
        <v>30</v>
      </c>
      <c r="Q366" t="s">
        <v>831</v>
      </c>
      <c r="R366" s="3">
        <v>605.82</v>
      </c>
      <c r="S366" s="3">
        <v>771.12</v>
      </c>
      <c r="T366" s="3">
        <f t="shared" si="80"/>
        <v>771.12</v>
      </c>
      <c r="U366" s="3">
        <f>(1+'10. Whatif Control pannel'!$B$6)*T366</f>
        <v>863.6544</v>
      </c>
      <c r="V366" s="3" t="str">
        <f t="shared" si="81"/>
        <v>Low</v>
      </c>
      <c r="W366" s="34">
        <v>0.132</v>
      </c>
      <c r="X366" s="24" t="str">
        <f t="shared" si="82"/>
        <v>Okay</v>
      </c>
      <c r="Y366" s="36">
        <f>IF(W366&lt;=0.25,W366,'10. Whatif Control pannel'!$B$2)</f>
        <v>0.132</v>
      </c>
      <c r="Z366" s="24">
        <v>19</v>
      </c>
      <c r="AA366" s="13">
        <f>(1+'10. Whatif Control pannel'!$B$10)*Z366</f>
        <v>22.8</v>
      </c>
      <c r="AB366" s="3">
        <f t="shared" si="83"/>
        <v>12717.31104</v>
      </c>
      <c r="AC366" s="3">
        <f t="shared" si="88"/>
        <v>17092.06603776</v>
      </c>
      <c r="AD366" s="3">
        <f t="shared" si="84"/>
        <v>11510.58</v>
      </c>
      <c r="AE366" s="3">
        <f t="shared" si="85"/>
        <v>1206.73104</v>
      </c>
      <c r="AF366" s="3">
        <f t="shared" si="89"/>
        <v>5581.48603776</v>
      </c>
      <c r="AG366">
        <f t="shared" si="86"/>
        <v>0.0948888515979868</v>
      </c>
    </row>
    <row r="367" spans="1:33">
      <c r="A367" t="s">
        <v>832</v>
      </c>
      <c r="B367" s="20">
        <v>45737</v>
      </c>
      <c r="C367" s="2">
        <f t="shared" si="75"/>
        <v>3</v>
      </c>
      <c r="D367" s="21">
        <f t="shared" si="87"/>
        <v>45737</v>
      </c>
      <c r="E367" s="19" t="str">
        <f t="shared" si="76"/>
        <v>Quarter 1</v>
      </c>
      <c r="F367" s="19">
        <v>45756</v>
      </c>
      <c r="G367" s="19">
        <f t="shared" si="77"/>
        <v>45756</v>
      </c>
      <c r="H367" s="22">
        <f t="shared" si="78"/>
        <v>19</v>
      </c>
      <c r="I367" t="str">
        <f t="shared" si="79"/>
        <v>Delayed </v>
      </c>
      <c r="J367" t="s">
        <v>45</v>
      </c>
      <c r="K367" t="s">
        <v>46</v>
      </c>
      <c r="L367" t="s">
        <v>214</v>
      </c>
      <c r="M367" t="s">
        <v>62</v>
      </c>
      <c r="N367" t="s">
        <v>55</v>
      </c>
      <c r="O367" t="s">
        <v>63</v>
      </c>
      <c r="P367" t="s">
        <v>22</v>
      </c>
      <c r="Q367" t="s">
        <v>833</v>
      </c>
      <c r="R367" s="3">
        <v>1055.45</v>
      </c>
      <c r="S367" s="3">
        <v>1210.04</v>
      </c>
      <c r="T367" s="3">
        <f t="shared" si="80"/>
        <v>1210.04</v>
      </c>
      <c r="U367" s="3">
        <f>(1+'10. Whatif Control pannel'!$B$6)*T367</f>
        <v>1355.2448</v>
      </c>
      <c r="V367" s="3" t="str">
        <f t="shared" si="81"/>
        <v>Medium</v>
      </c>
      <c r="W367" s="34">
        <v>0.009</v>
      </c>
      <c r="X367" s="24" t="str">
        <f t="shared" si="82"/>
        <v>Okay</v>
      </c>
      <c r="Y367" s="36">
        <f>IF(W367&lt;=0.25,W367,'10. Whatif Control pannel'!$B$2)</f>
        <v>0.009</v>
      </c>
      <c r="Z367" s="24">
        <v>18</v>
      </c>
      <c r="AA367" s="13">
        <f>(1+'10. Whatif Control pannel'!$B$10)*Z367</f>
        <v>21.6</v>
      </c>
      <c r="AB367" s="3">
        <f t="shared" si="83"/>
        <v>21584.69352</v>
      </c>
      <c r="AC367" s="3">
        <f t="shared" si="88"/>
        <v>29009.82809088</v>
      </c>
      <c r="AD367" s="3">
        <f t="shared" si="84"/>
        <v>18998.1</v>
      </c>
      <c r="AE367" s="3">
        <f t="shared" si="85"/>
        <v>2586.59352</v>
      </c>
      <c r="AF367" s="3">
        <f t="shared" si="89"/>
        <v>10011.72809088</v>
      </c>
      <c r="AG367">
        <f t="shared" si="86"/>
        <v>0.119834618805373</v>
      </c>
    </row>
    <row r="368" spans="1:33">
      <c r="A368" t="s">
        <v>834</v>
      </c>
      <c r="B368" s="20">
        <v>45445</v>
      </c>
      <c r="C368" s="2">
        <f t="shared" si="75"/>
        <v>6</v>
      </c>
      <c r="D368" s="21">
        <f t="shared" si="87"/>
        <v>45445</v>
      </c>
      <c r="E368" s="19" t="str">
        <f t="shared" si="76"/>
        <v>Quarter 2</v>
      </c>
      <c r="F368" s="19">
        <v>45458</v>
      </c>
      <c r="G368" s="19">
        <f t="shared" si="77"/>
        <v>45458</v>
      </c>
      <c r="H368" s="22">
        <f t="shared" si="78"/>
        <v>13</v>
      </c>
      <c r="I368" t="str">
        <f t="shared" si="79"/>
        <v>Delayed </v>
      </c>
      <c r="J368" t="s">
        <v>16</v>
      </c>
      <c r="K368" t="s">
        <v>17</v>
      </c>
      <c r="L368" t="s">
        <v>113</v>
      </c>
      <c r="M368" t="s">
        <v>27</v>
      </c>
      <c r="N368" t="s">
        <v>28</v>
      </c>
      <c r="O368" t="s">
        <v>68</v>
      </c>
      <c r="P368" t="s">
        <v>42</v>
      </c>
      <c r="Q368" t="s">
        <v>835</v>
      </c>
      <c r="R368" s="3">
        <v>1295.18</v>
      </c>
      <c r="S368" s="3">
        <v>3024.03</v>
      </c>
      <c r="T368" s="3">
        <f t="shared" si="80"/>
        <v>3024.03</v>
      </c>
      <c r="U368" s="3">
        <f>(1+'10. Whatif Control pannel'!$B$6)*T368</f>
        <v>3386.9136</v>
      </c>
      <c r="V368" s="3" t="str">
        <f t="shared" si="81"/>
        <v>High</v>
      </c>
      <c r="W368" s="34">
        <v>0.192</v>
      </c>
      <c r="X368" s="24" t="str">
        <f t="shared" si="82"/>
        <v>Okay</v>
      </c>
      <c r="Y368" s="36">
        <f>IF(W368&lt;=0.25,W368,'10. Whatif Control pannel'!$B$2)</f>
        <v>0.192</v>
      </c>
      <c r="Z368" s="24">
        <v>8</v>
      </c>
      <c r="AA368" s="13">
        <f>(1+'10. Whatif Control pannel'!$B$10)*Z368</f>
        <v>9.6</v>
      </c>
      <c r="AB368" s="3">
        <f t="shared" si="83"/>
        <v>19547.32992</v>
      </c>
      <c r="AC368" s="3">
        <f t="shared" si="88"/>
        <v>26271.61141248</v>
      </c>
      <c r="AD368" s="3">
        <f t="shared" si="84"/>
        <v>10361.44</v>
      </c>
      <c r="AE368" s="3">
        <f t="shared" si="85"/>
        <v>9185.88992</v>
      </c>
      <c r="AF368" s="3">
        <f t="shared" si="89"/>
        <v>15910.17141248</v>
      </c>
      <c r="AG368">
        <f t="shared" si="86"/>
        <v>0.469930673784832</v>
      </c>
    </row>
    <row r="369" spans="1:33">
      <c r="A369" t="s">
        <v>836</v>
      </c>
      <c r="B369" s="20">
        <v>45731</v>
      </c>
      <c r="C369" s="2">
        <f t="shared" si="75"/>
        <v>3</v>
      </c>
      <c r="D369" s="21">
        <f t="shared" si="87"/>
        <v>45731</v>
      </c>
      <c r="E369" s="19" t="str">
        <f t="shared" si="76"/>
        <v>Quarter 1</v>
      </c>
      <c r="F369" s="19">
        <v>45745</v>
      </c>
      <c r="G369" s="19">
        <f t="shared" si="77"/>
        <v>45745</v>
      </c>
      <c r="H369" s="22">
        <f t="shared" si="78"/>
        <v>14</v>
      </c>
      <c r="I369" t="str">
        <f t="shared" si="79"/>
        <v>Delayed </v>
      </c>
      <c r="J369" t="s">
        <v>45</v>
      </c>
      <c r="K369" t="s">
        <v>60</v>
      </c>
      <c r="L369" t="s">
        <v>220</v>
      </c>
      <c r="M369" t="s">
        <v>105</v>
      </c>
      <c r="N369" t="s">
        <v>98</v>
      </c>
      <c r="O369" t="s">
        <v>21</v>
      </c>
      <c r="P369" t="s">
        <v>22</v>
      </c>
      <c r="Q369" t="s">
        <v>837</v>
      </c>
      <c r="R369" s="3">
        <v>935.83</v>
      </c>
      <c r="S369" s="3">
        <v>2303.46</v>
      </c>
      <c r="T369" s="3">
        <f t="shared" si="80"/>
        <v>2303.46</v>
      </c>
      <c r="U369" s="3">
        <f>(1+'10. Whatif Control pannel'!$B$6)*T369</f>
        <v>2579.8752</v>
      </c>
      <c r="V369" s="3" t="str">
        <f t="shared" si="81"/>
        <v>High</v>
      </c>
      <c r="W369" s="34">
        <v>0.105</v>
      </c>
      <c r="X369" s="24" t="str">
        <f t="shared" si="82"/>
        <v>Okay</v>
      </c>
      <c r="Y369" s="36">
        <f>IF(W369&lt;=0.25,W369,'10. Whatif Control pannel'!$B$2)</f>
        <v>0.105</v>
      </c>
      <c r="Z369" s="24">
        <v>9</v>
      </c>
      <c r="AA369" s="13">
        <f>(1+'10. Whatif Control pannel'!$B$10)*Z369</f>
        <v>10.8</v>
      </c>
      <c r="AB369" s="3">
        <f t="shared" si="83"/>
        <v>18554.3703</v>
      </c>
      <c r="AC369" s="3">
        <f t="shared" si="88"/>
        <v>24937.0736832</v>
      </c>
      <c r="AD369" s="3">
        <f t="shared" si="84"/>
        <v>8422.47</v>
      </c>
      <c r="AE369" s="3">
        <f t="shared" si="85"/>
        <v>10131.9003</v>
      </c>
      <c r="AF369" s="3">
        <f t="shared" si="89"/>
        <v>16514.6036832</v>
      </c>
      <c r="AG369">
        <f t="shared" si="86"/>
        <v>0.546065435591743</v>
      </c>
    </row>
    <row r="370" spans="1:33">
      <c r="A370" t="s">
        <v>838</v>
      </c>
      <c r="B370" s="20">
        <v>45194</v>
      </c>
      <c r="C370" s="2">
        <f t="shared" si="75"/>
        <v>9</v>
      </c>
      <c r="D370" s="21">
        <f t="shared" si="87"/>
        <v>45194</v>
      </c>
      <c r="E370" s="19" t="str">
        <f t="shared" si="76"/>
        <v>Quarter 3</v>
      </c>
      <c r="F370" s="19">
        <v>45208</v>
      </c>
      <c r="G370" s="19">
        <f t="shared" si="77"/>
        <v>45208</v>
      </c>
      <c r="H370" s="22">
        <f t="shared" si="78"/>
        <v>14</v>
      </c>
      <c r="I370" t="str">
        <f t="shared" si="79"/>
        <v>Delayed </v>
      </c>
      <c r="J370" t="s">
        <v>52</v>
      </c>
      <c r="K370" t="s">
        <v>122</v>
      </c>
      <c r="L370" t="s">
        <v>387</v>
      </c>
      <c r="M370" t="s">
        <v>62</v>
      </c>
      <c r="N370" t="s">
        <v>40</v>
      </c>
      <c r="O370" t="s">
        <v>29</v>
      </c>
      <c r="P370" t="s">
        <v>57</v>
      </c>
      <c r="Q370" t="s">
        <v>839</v>
      </c>
      <c r="R370" s="3">
        <v>1279.56</v>
      </c>
      <c r="S370" s="3">
        <v>3083.8</v>
      </c>
      <c r="T370" s="3">
        <f t="shared" si="80"/>
        <v>3083.8</v>
      </c>
      <c r="U370" s="3">
        <f>(1+'10. Whatif Control pannel'!$B$6)*T370</f>
        <v>3453.856</v>
      </c>
      <c r="V370" s="3" t="str">
        <f t="shared" si="81"/>
        <v>High</v>
      </c>
      <c r="W370" s="34">
        <v>0.106</v>
      </c>
      <c r="X370" s="24" t="str">
        <f t="shared" si="82"/>
        <v>Okay</v>
      </c>
      <c r="Y370" s="36">
        <f>IF(W370&lt;=0.25,W370,'10. Whatif Control pannel'!$B$2)</f>
        <v>0.106</v>
      </c>
      <c r="Z370" s="24">
        <v>5</v>
      </c>
      <c r="AA370" s="13">
        <f>(1+'10. Whatif Control pannel'!$B$10)*Z370</f>
        <v>6</v>
      </c>
      <c r="AB370" s="3">
        <f t="shared" si="83"/>
        <v>13784.586</v>
      </c>
      <c r="AC370" s="3">
        <f t="shared" si="88"/>
        <v>18526.483584</v>
      </c>
      <c r="AD370" s="3">
        <f t="shared" si="84"/>
        <v>6397.8</v>
      </c>
      <c r="AE370" s="3">
        <f t="shared" si="85"/>
        <v>7386.786</v>
      </c>
      <c r="AF370" s="3">
        <f t="shared" si="89"/>
        <v>12128.683584</v>
      </c>
      <c r="AG370">
        <f t="shared" si="86"/>
        <v>0.535872894550478</v>
      </c>
    </row>
    <row r="371" spans="1:33">
      <c r="A371" t="s">
        <v>840</v>
      </c>
      <c r="B371" s="20">
        <v>45832</v>
      </c>
      <c r="C371" s="2">
        <f t="shared" si="75"/>
        <v>6</v>
      </c>
      <c r="D371" s="21">
        <f t="shared" si="87"/>
        <v>45832</v>
      </c>
      <c r="E371" s="19" t="str">
        <f t="shared" si="76"/>
        <v>Quarter 2</v>
      </c>
      <c r="F371" s="19">
        <v>45861</v>
      </c>
      <c r="G371" s="19">
        <f t="shared" si="77"/>
        <v>45861</v>
      </c>
      <c r="H371" s="22">
        <f t="shared" si="78"/>
        <v>29</v>
      </c>
      <c r="I371" t="str">
        <f t="shared" si="79"/>
        <v>Delayed </v>
      </c>
      <c r="J371" t="s">
        <v>52</v>
      </c>
      <c r="K371" t="s">
        <v>53</v>
      </c>
      <c r="L371" t="s">
        <v>179</v>
      </c>
      <c r="M371" t="s">
        <v>39</v>
      </c>
      <c r="N371" t="s">
        <v>40</v>
      </c>
      <c r="O371" t="s">
        <v>34</v>
      </c>
      <c r="P371" t="s">
        <v>30</v>
      </c>
      <c r="Q371" t="s">
        <v>841</v>
      </c>
      <c r="R371" s="3">
        <v>255.4</v>
      </c>
      <c r="S371" s="3">
        <v>322.71</v>
      </c>
      <c r="T371" s="3">
        <f t="shared" si="80"/>
        <v>322.71</v>
      </c>
      <c r="U371" s="3">
        <f>(1+'10. Whatif Control pannel'!$B$6)*T371</f>
        <v>361.4352</v>
      </c>
      <c r="V371" s="3" t="str">
        <f t="shared" si="81"/>
        <v>Low</v>
      </c>
      <c r="W371" s="34">
        <v>0.115</v>
      </c>
      <c r="X371" s="24" t="str">
        <f t="shared" si="82"/>
        <v>Okay</v>
      </c>
      <c r="Y371" s="36">
        <f>IF(W371&lt;=0.25,W371,'10. Whatif Control pannel'!$B$2)</f>
        <v>0.115</v>
      </c>
      <c r="Z371" s="24">
        <v>16</v>
      </c>
      <c r="AA371" s="13">
        <f>(1+'10. Whatif Control pannel'!$B$10)*Z371</f>
        <v>19.2</v>
      </c>
      <c r="AB371" s="3">
        <f t="shared" si="83"/>
        <v>4569.5736</v>
      </c>
      <c r="AC371" s="3">
        <f t="shared" si="88"/>
        <v>6141.5069184</v>
      </c>
      <c r="AD371" s="3">
        <f t="shared" si="84"/>
        <v>4086.4</v>
      </c>
      <c r="AE371" s="3">
        <f t="shared" si="85"/>
        <v>483.1736</v>
      </c>
      <c r="AF371" s="3">
        <f t="shared" si="89"/>
        <v>2055.1069184</v>
      </c>
      <c r="AG371">
        <f t="shared" si="86"/>
        <v>0.105737130484122</v>
      </c>
    </row>
    <row r="372" spans="1:33">
      <c r="A372" t="s">
        <v>842</v>
      </c>
      <c r="B372" s="20">
        <v>45286</v>
      </c>
      <c r="C372" s="2">
        <f t="shared" si="75"/>
        <v>12</v>
      </c>
      <c r="D372" s="21">
        <f t="shared" si="87"/>
        <v>45286</v>
      </c>
      <c r="E372" s="19" t="str">
        <f t="shared" si="76"/>
        <v>Quarter 4</v>
      </c>
      <c r="F372" s="19">
        <v>45294</v>
      </c>
      <c r="G372" s="19">
        <f t="shared" si="77"/>
        <v>45294</v>
      </c>
      <c r="H372" s="22">
        <f t="shared" si="78"/>
        <v>8</v>
      </c>
      <c r="I372" t="str">
        <f t="shared" si="79"/>
        <v>Delayed </v>
      </c>
      <c r="J372" t="s">
        <v>78</v>
      </c>
      <c r="K372" t="s">
        <v>90</v>
      </c>
      <c r="L372" t="s">
        <v>138</v>
      </c>
      <c r="M372" t="s">
        <v>62</v>
      </c>
      <c r="N372" t="s">
        <v>20</v>
      </c>
      <c r="O372" t="s">
        <v>110</v>
      </c>
      <c r="P372" t="s">
        <v>57</v>
      </c>
      <c r="Q372" t="s">
        <v>843</v>
      </c>
      <c r="R372" s="3">
        <v>492.75</v>
      </c>
      <c r="S372" s="3">
        <v>731.29</v>
      </c>
      <c r="T372" s="3">
        <f t="shared" si="80"/>
        <v>731.29</v>
      </c>
      <c r="U372" s="3">
        <f>(1+'10. Whatif Control pannel'!$B$6)*T372</f>
        <v>819.0448</v>
      </c>
      <c r="V372" s="3" t="str">
        <f t="shared" si="81"/>
        <v>Low</v>
      </c>
      <c r="W372" s="34">
        <v>0.058</v>
      </c>
      <c r="X372" s="24" t="str">
        <f t="shared" si="82"/>
        <v>Okay</v>
      </c>
      <c r="Y372" s="36">
        <f>IF(W372&lt;=0.25,W372,'10. Whatif Control pannel'!$B$2)</f>
        <v>0.058</v>
      </c>
      <c r="Z372" s="24">
        <v>6</v>
      </c>
      <c r="AA372" s="13">
        <f>(1+'10. Whatif Control pannel'!$B$10)*Z372</f>
        <v>7.2</v>
      </c>
      <c r="AB372" s="3">
        <f t="shared" si="83"/>
        <v>4133.25108</v>
      </c>
      <c r="AC372" s="3">
        <f t="shared" si="88"/>
        <v>5555.08945152</v>
      </c>
      <c r="AD372" s="3">
        <f t="shared" si="84"/>
        <v>2956.5</v>
      </c>
      <c r="AE372" s="3">
        <f t="shared" si="85"/>
        <v>1176.75108</v>
      </c>
      <c r="AF372" s="3">
        <f t="shared" si="89"/>
        <v>2598.58945152</v>
      </c>
      <c r="AG372">
        <f t="shared" si="86"/>
        <v>0.284703507535284</v>
      </c>
    </row>
    <row r="373" spans="1:33">
      <c r="A373" t="s">
        <v>844</v>
      </c>
      <c r="B373" s="20">
        <v>44962</v>
      </c>
      <c r="C373" s="2">
        <f t="shared" si="75"/>
        <v>2</v>
      </c>
      <c r="D373" s="21">
        <f t="shared" si="87"/>
        <v>44962</v>
      </c>
      <c r="E373" s="19" t="str">
        <f t="shared" si="76"/>
        <v>Quarter 1</v>
      </c>
      <c r="F373" s="19">
        <v>44985</v>
      </c>
      <c r="G373" s="19">
        <f t="shared" si="77"/>
        <v>44985</v>
      </c>
      <c r="H373" s="22">
        <f t="shared" si="78"/>
        <v>23</v>
      </c>
      <c r="I373" t="str">
        <f t="shared" si="79"/>
        <v>Delayed </v>
      </c>
      <c r="J373" t="s">
        <v>52</v>
      </c>
      <c r="K373" t="s">
        <v>122</v>
      </c>
      <c r="L373" t="s">
        <v>326</v>
      </c>
      <c r="M373" t="s">
        <v>39</v>
      </c>
      <c r="N373" t="s">
        <v>55</v>
      </c>
      <c r="O373" t="s">
        <v>49</v>
      </c>
      <c r="P373" t="s">
        <v>42</v>
      </c>
      <c r="Q373" t="s">
        <v>845</v>
      </c>
      <c r="R373" s="3">
        <v>1214.49</v>
      </c>
      <c r="S373" s="3">
        <v>1533.95</v>
      </c>
      <c r="T373" s="3">
        <f t="shared" si="80"/>
        <v>1533.95</v>
      </c>
      <c r="U373" s="3">
        <f>(1+'10. Whatif Control pannel'!$B$6)*T373</f>
        <v>1718.024</v>
      </c>
      <c r="V373" s="3" t="str">
        <f t="shared" si="81"/>
        <v>Medium</v>
      </c>
      <c r="W373" s="34">
        <v>0</v>
      </c>
      <c r="X373" s="24" t="str">
        <f t="shared" si="82"/>
        <v>Okay</v>
      </c>
      <c r="Y373" s="36">
        <f>IF(W373&lt;=0.25,W373,'10. Whatif Control pannel'!$B$2)</f>
        <v>0</v>
      </c>
      <c r="Z373" s="24">
        <v>11</v>
      </c>
      <c r="AA373" s="13">
        <f>(1+'10. Whatif Control pannel'!$B$10)*Z373</f>
        <v>13.2</v>
      </c>
      <c r="AB373" s="3">
        <f t="shared" si="83"/>
        <v>16873.45</v>
      </c>
      <c r="AC373" s="3">
        <f t="shared" si="88"/>
        <v>22677.9168</v>
      </c>
      <c r="AD373" s="3">
        <f t="shared" si="84"/>
        <v>13359.39</v>
      </c>
      <c r="AE373" s="3">
        <f t="shared" si="85"/>
        <v>3514.06</v>
      </c>
      <c r="AF373" s="3">
        <f t="shared" si="89"/>
        <v>9318.5268</v>
      </c>
      <c r="AG373">
        <f t="shared" si="86"/>
        <v>0.208259721633691</v>
      </c>
    </row>
    <row r="374" spans="1:33">
      <c r="A374" t="s">
        <v>846</v>
      </c>
      <c r="B374" s="20">
        <v>45022</v>
      </c>
      <c r="C374" s="2">
        <f t="shared" si="75"/>
        <v>4</v>
      </c>
      <c r="D374" s="21">
        <f t="shared" si="87"/>
        <v>45022</v>
      </c>
      <c r="E374" s="19" t="str">
        <f t="shared" si="76"/>
        <v>Quarter 2</v>
      </c>
      <c r="F374" s="19">
        <v>45024</v>
      </c>
      <c r="G374" s="19">
        <f t="shared" si="77"/>
        <v>45024</v>
      </c>
      <c r="H374" s="22">
        <f t="shared" si="78"/>
        <v>2</v>
      </c>
      <c r="I374" t="str">
        <f t="shared" si="79"/>
        <v>Ontime</v>
      </c>
      <c r="J374" t="s">
        <v>16</v>
      </c>
      <c r="K374" t="s">
        <v>25</v>
      </c>
      <c r="L374" t="s">
        <v>67</v>
      </c>
      <c r="M374" t="s">
        <v>62</v>
      </c>
      <c r="N374" t="s">
        <v>40</v>
      </c>
      <c r="O374" t="s">
        <v>95</v>
      </c>
      <c r="P374" t="s">
        <v>64</v>
      </c>
      <c r="Q374" t="s">
        <v>847</v>
      </c>
      <c r="R374" s="3">
        <v>720.35</v>
      </c>
      <c r="S374" s="3">
        <v>1571.66</v>
      </c>
      <c r="T374" s="3">
        <f t="shared" si="80"/>
        <v>1571.66</v>
      </c>
      <c r="U374" s="3">
        <f>(1+'10. Whatif Control pannel'!$B$6)*T374</f>
        <v>1760.2592</v>
      </c>
      <c r="V374" s="3" t="str">
        <f t="shared" si="81"/>
        <v>Medium</v>
      </c>
      <c r="W374" s="34">
        <v>0.107</v>
      </c>
      <c r="X374" s="24" t="str">
        <f t="shared" si="82"/>
        <v>Okay</v>
      </c>
      <c r="Y374" s="36">
        <f>IF(W374&lt;=0.25,W374,'10. Whatif Control pannel'!$B$2)</f>
        <v>0.107</v>
      </c>
      <c r="Z374" s="24">
        <v>23</v>
      </c>
      <c r="AA374" s="13">
        <f>(1+'10. Whatif Control pannel'!$B$10)*Z374</f>
        <v>27.6</v>
      </c>
      <c r="AB374" s="3">
        <f t="shared" si="83"/>
        <v>32280.32474</v>
      </c>
      <c r="AC374" s="3">
        <f t="shared" si="88"/>
        <v>43384.75645056</v>
      </c>
      <c r="AD374" s="3">
        <f t="shared" si="84"/>
        <v>16568.05</v>
      </c>
      <c r="AE374" s="3">
        <f t="shared" si="85"/>
        <v>15712.27474</v>
      </c>
      <c r="AF374" s="3">
        <f t="shared" si="89"/>
        <v>26816.70645056</v>
      </c>
      <c r="AG374">
        <f t="shared" si="86"/>
        <v>0.486744630562226</v>
      </c>
    </row>
    <row r="375" spans="1:33">
      <c r="A375" t="s">
        <v>848</v>
      </c>
      <c r="B375" s="20">
        <v>45751</v>
      </c>
      <c r="C375" s="2">
        <f t="shared" si="75"/>
        <v>4</v>
      </c>
      <c r="D375" s="21">
        <f t="shared" si="87"/>
        <v>45751</v>
      </c>
      <c r="E375" s="19" t="str">
        <f t="shared" si="76"/>
        <v>Quarter 2</v>
      </c>
      <c r="F375" s="19">
        <v>45757</v>
      </c>
      <c r="G375" s="19">
        <f t="shared" si="77"/>
        <v>45757</v>
      </c>
      <c r="H375" s="22">
        <f t="shared" si="78"/>
        <v>6</v>
      </c>
      <c r="I375" t="str">
        <f t="shared" si="79"/>
        <v>Ontime</v>
      </c>
      <c r="J375" t="s">
        <v>78</v>
      </c>
      <c r="K375" t="s">
        <v>108</v>
      </c>
      <c r="L375" t="s">
        <v>109</v>
      </c>
      <c r="M375" t="s">
        <v>39</v>
      </c>
      <c r="N375" t="s">
        <v>98</v>
      </c>
      <c r="O375" t="s">
        <v>126</v>
      </c>
      <c r="P375" t="s">
        <v>30</v>
      </c>
      <c r="Q375" t="s">
        <v>849</v>
      </c>
      <c r="R375" s="3">
        <v>290.14</v>
      </c>
      <c r="S375" s="3">
        <v>250.73</v>
      </c>
      <c r="T375" s="3">
        <f t="shared" si="80"/>
        <v>250.73</v>
      </c>
      <c r="U375" s="3">
        <f>(1+'10. Whatif Control pannel'!$B$6)*T375</f>
        <v>280.8176</v>
      </c>
      <c r="V375" s="3" t="str">
        <f t="shared" si="81"/>
        <v>Low</v>
      </c>
      <c r="W375" s="34">
        <v>0.034</v>
      </c>
      <c r="X375" s="24" t="str">
        <f t="shared" si="82"/>
        <v>Okay</v>
      </c>
      <c r="Y375" s="36">
        <f>IF(W375&lt;=0.25,W375,'10. Whatif Control pannel'!$B$2)</f>
        <v>0.034</v>
      </c>
      <c r="Z375" s="24">
        <v>17</v>
      </c>
      <c r="AA375" s="13">
        <f>(1+'10. Whatif Control pannel'!$B$10)*Z375</f>
        <v>20.4</v>
      </c>
      <c r="AB375" s="3">
        <f t="shared" si="83"/>
        <v>4117.48806</v>
      </c>
      <c r="AC375" s="3">
        <f t="shared" si="88"/>
        <v>5533.90395264</v>
      </c>
      <c r="AD375" s="3">
        <f t="shared" si="84"/>
        <v>4932.38</v>
      </c>
      <c r="AE375" s="3">
        <f t="shared" si="85"/>
        <v>-814.89194</v>
      </c>
      <c r="AF375" s="3">
        <f t="shared" si="89"/>
        <v>601.52395264</v>
      </c>
      <c r="AG375">
        <f t="shared" si="86"/>
        <v>-0.197909970381311</v>
      </c>
    </row>
    <row r="376" spans="1:33">
      <c r="A376" t="s">
        <v>850</v>
      </c>
      <c r="B376" s="20">
        <v>45429</v>
      </c>
      <c r="C376" s="2">
        <f t="shared" si="75"/>
        <v>5</v>
      </c>
      <c r="D376" s="21">
        <f t="shared" si="87"/>
        <v>45429</v>
      </c>
      <c r="E376" s="19" t="str">
        <f t="shared" si="76"/>
        <v>Quarter 2</v>
      </c>
      <c r="F376" s="19">
        <v>45439</v>
      </c>
      <c r="G376" s="19">
        <f t="shared" si="77"/>
        <v>45439</v>
      </c>
      <c r="H376" s="22">
        <f t="shared" si="78"/>
        <v>10</v>
      </c>
      <c r="I376" t="str">
        <f t="shared" si="79"/>
        <v>Delayed </v>
      </c>
      <c r="J376" t="s">
        <v>52</v>
      </c>
      <c r="K376" t="s">
        <v>122</v>
      </c>
      <c r="L376" t="s">
        <v>326</v>
      </c>
      <c r="M376" t="s">
        <v>39</v>
      </c>
      <c r="N376" t="s">
        <v>28</v>
      </c>
      <c r="O376" t="s">
        <v>21</v>
      </c>
      <c r="P376" t="s">
        <v>42</v>
      </c>
      <c r="Q376" t="s">
        <v>851</v>
      </c>
      <c r="R376" s="3">
        <v>1484.23</v>
      </c>
      <c r="S376" s="3">
        <v>3472.81</v>
      </c>
      <c r="T376" s="3">
        <f t="shared" si="80"/>
        <v>3472.81</v>
      </c>
      <c r="U376" s="3">
        <f>(1+'10. Whatif Control pannel'!$B$6)*T376</f>
        <v>3889.5472</v>
      </c>
      <c r="V376" s="3" t="str">
        <f t="shared" si="81"/>
        <v>High</v>
      </c>
      <c r="W376" s="34">
        <v>0.256</v>
      </c>
      <c r="X376" s="24" t="str">
        <f t="shared" si="82"/>
        <v>High Discount</v>
      </c>
      <c r="Y376" s="36">
        <f>IF(W376&lt;=0.25,W376,'10. Whatif Control pannel'!$B$2)</f>
        <v>0.23</v>
      </c>
      <c r="Z376" s="24">
        <v>12</v>
      </c>
      <c r="AA376" s="13">
        <f>(1+'10. Whatif Control pannel'!$B$10)*Z376</f>
        <v>14.4</v>
      </c>
      <c r="AB376" s="3">
        <f t="shared" si="83"/>
        <v>31005.24768</v>
      </c>
      <c r="AC376" s="3">
        <f t="shared" si="88"/>
        <v>43127.2993536</v>
      </c>
      <c r="AD376" s="3">
        <f t="shared" si="84"/>
        <v>17810.76</v>
      </c>
      <c r="AE376" s="3">
        <f t="shared" si="85"/>
        <v>13194.48768</v>
      </c>
      <c r="AF376" s="3">
        <f t="shared" si="89"/>
        <v>25316.5393536</v>
      </c>
      <c r="AG376">
        <f t="shared" si="86"/>
        <v>0.425556596618034</v>
      </c>
    </row>
    <row r="377" spans="1:33">
      <c r="A377" t="s">
        <v>852</v>
      </c>
      <c r="B377" s="20">
        <v>45354</v>
      </c>
      <c r="C377" s="2">
        <f t="shared" si="75"/>
        <v>3</v>
      </c>
      <c r="D377" s="21">
        <f t="shared" si="87"/>
        <v>45354</v>
      </c>
      <c r="E377" s="19" t="str">
        <f t="shared" si="76"/>
        <v>Quarter 1</v>
      </c>
      <c r="F377" s="19">
        <v>45370</v>
      </c>
      <c r="G377" s="19">
        <f t="shared" si="77"/>
        <v>45370</v>
      </c>
      <c r="H377" s="22">
        <f t="shared" si="78"/>
        <v>16</v>
      </c>
      <c r="I377" t="str">
        <f t="shared" si="79"/>
        <v>Delayed </v>
      </c>
      <c r="J377" t="s">
        <v>45</v>
      </c>
      <c r="K377" t="s">
        <v>116</v>
      </c>
      <c r="L377" t="s">
        <v>338</v>
      </c>
      <c r="M377" t="s">
        <v>48</v>
      </c>
      <c r="N377" t="s">
        <v>55</v>
      </c>
      <c r="O377" t="s">
        <v>41</v>
      </c>
      <c r="P377" t="s">
        <v>42</v>
      </c>
      <c r="Q377" t="s">
        <v>853</v>
      </c>
      <c r="R377" s="3">
        <v>988.83</v>
      </c>
      <c r="S377" s="3">
        <v>1206.04</v>
      </c>
      <c r="T377" s="3">
        <f t="shared" si="80"/>
        <v>1206.04</v>
      </c>
      <c r="U377" s="3">
        <f>(1+'10. Whatif Control pannel'!$B$6)*T377</f>
        <v>1350.7648</v>
      </c>
      <c r="V377" s="3" t="str">
        <f t="shared" si="81"/>
        <v>Medium</v>
      </c>
      <c r="W377" s="34">
        <v>0.063</v>
      </c>
      <c r="X377" s="24" t="str">
        <f t="shared" si="82"/>
        <v>Okay</v>
      </c>
      <c r="Y377" s="36">
        <f>IF(W377&lt;=0.25,W377,'10. Whatif Control pannel'!$B$2)</f>
        <v>0.063</v>
      </c>
      <c r="Z377" s="24">
        <v>34</v>
      </c>
      <c r="AA377" s="13">
        <f>(1+'10. Whatif Control pannel'!$B$10)*Z377</f>
        <v>40.8</v>
      </c>
      <c r="AB377" s="3">
        <f t="shared" si="83"/>
        <v>38422.02232</v>
      </c>
      <c r="AC377" s="3">
        <f t="shared" si="88"/>
        <v>51639.19799808</v>
      </c>
      <c r="AD377" s="3">
        <f t="shared" si="84"/>
        <v>33620.22</v>
      </c>
      <c r="AE377" s="3">
        <f t="shared" si="85"/>
        <v>4801.80232</v>
      </c>
      <c r="AF377" s="3">
        <f t="shared" si="89"/>
        <v>18018.97799808</v>
      </c>
      <c r="AG377">
        <f t="shared" si="86"/>
        <v>0.124975262364066</v>
      </c>
    </row>
    <row r="378" spans="1:33">
      <c r="A378" t="s">
        <v>854</v>
      </c>
      <c r="B378" s="20">
        <v>45835</v>
      </c>
      <c r="C378" s="2">
        <f t="shared" si="75"/>
        <v>6</v>
      </c>
      <c r="D378" s="21">
        <f t="shared" si="87"/>
        <v>45835</v>
      </c>
      <c r="E378" s="19" t="str">
        <f t="shared" si="76"/>
        <v>Quarter 2</v>
      </c>
      <c r="F378" s="19">
        <v>45849</v>
      </c>
      <c r="G378" s="19">
        <f t="shared" si="77"/>
        <v>45849</v>
      </c>
      <c r="H378" s="22">
        <f t="shared" si="78"/>
        <v>14</v>
      </c>
      <c r="I378" t="str">
        <f t="shared" si="79"/>
        <v>Delayed </v>
      </c>
      <c r="J378" t="s">
        <v>45</v>
      </c>
      <c r="K378" t="s">
        <v>116</v>
      </c>
      <c r="L378" t="s">
        <v>162</v>
      </c>
      <c r="M378" t="s">
        <v>62</v>
      </c>
      <c r="N378" t="s">
        <v>40</v>
      </c>
      <c r="O378" t="s">
        <v>49</v>
      </c>
      <c r="P378" t="s">
        <v>35</v>
      </c>
      <c r="Q378" t="s">
        <v>855</v>
      </c>
      <c r="R378" s="3">
        <v>1227.7</v>
      </c>
      <c r="S378" s="3">
        <v>2197.23</v>
      </c>
      <c r="T378" s="3">
        <f t="shared" si="80"/>
        <v>2197.23</v>
      </c>
      <c r="U378" s="3">
        <f>(1+'10. Whatif Control pannel'!$B$6)*T378</f>
        <v>2460.8976</v>
      </c>
      <c r="V378" s="3" t="str">
        <f t="shared" si="81"/>
        <v>High</v>
      </c>
      <c r="W378" s="34">
        <v>0.099</v>
      </c>
      <c r="X378" s="24" t="str">
        <f t="shared" si="82"/>
        <v>Okay</v>
      </c>
      <c r="Y378" s="36">
        <f>IF(W378&lt;=0.25,W378,'10. Whatif Control pannel'!$B$2)</f>
        <v>0.099</v>
      </c>
      <c r="Z378" s="24">
        <v>22</v>
      </c>
      <c r="AA378" s="13">
        <f>(1+'10. Whatif Control pannel'!$B$10)*Z378</f>
        <v>26.4</v>
      </c>
      <c r="AB378" s="3">
        <f t="shared" si="83"/>
        <v>43553.49306</v>
      </c>
      <c r="AC378" s="3">
        <f t="shared" si="88"/>
        <v>58535.89467264</v>
      </c>
      <c r="AD378" s="3">
        <f t="shared" si="84"/>
        <v>27009.4</v>
      </c>
      <c r="AE378" s="3">
        <f t="shared" si="85"/>
        <v>16544.09306</v>
      </c>
      <c r="AF378" s="3">
        <f t="shared" si="89"/>
        <v>31526.49467264</v>
      </c>
      <c r="AG378">
        <f t="shared" si="86"/>
        <v>0.379856858718739</v>
      </c>
    </row>
    <row r="379" spans="1:33">
      <c r="A379" t="s">
        <v>856</v>
      </c>
      <c r="B379" s="20">
        <v>44998</v>
      </c>
      <c r="C379" s="2">
        <f t="shared" si="75"/>
        <v>3</v>
      </c>
      <c r="D379" s="21">
        <f t="shared" si="87"/>
        <v>44998</v>
      </c>
      <c r="E379" s="19" t="str">
        <f t="shared" si="76"/>
        <v>Quarter 1</v>
      </c>
      <c r="F379" s="19">
        <v>45020</v>
      </c>
      <c r="G379" s="19">
        <f t="shared" si="77"/>
        <v>45020</v>
      </c>
      <c r="H379" s="22">
        <f t="shared" si="78"/>
        <v>22</v>
      </c>
      <c r="I379" t="str">
        <f t="shared" si="79"/>
        <v>Delayed </v>
      </c>
      <c r="J379" t="s">
        <v>16</v>
      </c>
      <c r="K379" t="s">
        <v>148</v>
      </c>
      <c r="L379" t="s">
        <v>172</v>
      </c>
      <c r="M379" t="s">
        <v>62</v>
      </c>
      <c r="N379" t="s">
        <v>20</v>
      </c>
      <c r="O379" t="s">
        <v>75</v>
      </c>
      <c r="P379" t="s">
        <v>22</v>
      </c>
      <c r="Q379" t="s">
        <v>857</v>
      </c>
      <c r="R379" s="3">
        <v>1113.7</v>
      </c>
      <c r="S379" s="3">
        <v>1620.6</v>
      </c>
      <c r="T379" s="3">
        <f t="shared" si="80"/>
        <v>1620.6</v>
      </c>
      <c r="U379" s="3">
        <f>(1+'10. Whatif Control pannel'!$B$6)*T379</f>
        <v>1815.072</v>
      </c>
      <c r="V379" s="3" t="str">
        <f t="shared" si="81"/>
        <v>Medium</v>
      </c>
      <c r="W379" s="34">
        <v>0.139</v>
      </c>
      <c r="X379" s="24" t="str">
        <f t="shared" si="82"/>
        <v>Okay</v>
      </c>
      <c r="Y379" s="36">
        <f>IF(W379&lt;=0.25,W379,'10. Whatif Control pannel'!$B$2)</f>
        <v>0.139</v>
      </c>
      <c r="Z379" s="24">
        <v>11</v>
      </c>
      <c r="AA379" s="13">
        <f>(1+'10. Whatif Control pannel'!$B$10)*Z379</f>
        <v>13.2</v>
      </c>
      <c r="AB379" s="3">
        <f t="shared" si="83"/>
        <v>15348.7026</v>
      </c>
      <c r="AC379" s="3">
        <f t="shared" si="88"/>
        <v>20628.6562944</v>
      </c>
      <c r="AD379" s="3">
        <f t="shared" si="84"/>
        <v>12250.7</v>
      </c>
      <c r="AE379" s="3">
        <f t="shared" si="85"/>
        <v>3098.0026</v>
      </c>
      <c r="AF379" s="3">
        <f t="shared" si="89"/>
        <v>8377.9562944</v>
      </c>
      <c r="AG379">
        <f t="shared" si="86"/>
        <v>0.201841333481828</v>
      </c>
    </row>
    <row r="380" spans="1:33">
      <c r="A380" t="s">
        <v>858</v>
      </c>
      <c r="B380" s="20">
        <v>45664</v>
      </c>
      <c r="C380" s="2">
        <f t="shared" si="75"/>
        <v>1</v>
      </c>
      <c r="D380" s="21">
        <f t="shared" si="87"/>
        <v>45664</v>
      </c>
      <c r="E380" s="19" t="str">
        <f t="shared" si="76"/>
        <v>Quarter 1</v>
      </c>
      <c r="F380" s="19">
        <v>45677</v>
      </c>
      <c r="G380" s="19">
        <f t="shared" si="77"/>
        <v>45677</v>
      </c>
      <c r="H380" s="22">
        <f t="shared" si="78"/>
        <v>13</v>
      </c>
      <c r="I380" t="str">
        <f t="shared" si="79"/>
        <v>Delayed </v>
      </c>
      <c r="J380" t="s">
        <v>16</v>
      </c>
      <c r="K380" t="s">
        <v>148</v>
      </c>
      <c r="L380" t="s">
        <v>258</v>
      </c>
      <c r="M380" t="s">
        <v>19</v>
      </c>
      <c r="N380" t="s">
        <v>98</v>
      </c>
      <c r="O380" t="s">
        <v>95</v>
      </c>
      <c r="P380" t="s">
        <v>35</v>
      </c>
      <c r="Q380" t="s">
        <v>859</v>
      </c>
      <c r="R380" s="3">
        <v>432.13</v>
      </c>
      <c r="S380" s="3">
        <v>1034.66</v>
      </c>
      <c r="T380" s="3">
        <f t="shared" si="80"/>
        <v>1034.66</v>
      </c>
      <c r="U380" s="3">
        <f>(1+'10. Whatif Control pannel'!$B$6)*T380</f>
        <v>1158.8192</v>
      </c>
      <c r="V380" s="3" t="str">
        <f t="shared" si="81"/>
        <v>Medium</v>
      </c>
      <c r="W380" s="34">
        <v>0.092</v>
      </c>
      <c r="X380" s="24" t="str">
        <f t="shared" si="82"/>
        <v>Okay</v>
      </c>
      <c r="Y380" s="36">
        <f>IF(W380&lt;=0.25,W380,'10. Whatif Control pannel'!$B$2)</f>
        <v>0.092</v>
      </c>
      <c r="Z380" s="24">
        <v>7</v>
      </c>
      <c r="AA380" s="13">
        <f>(1+'10. Whatif Control pannel'!$B$10)*Z380</f>
        <v>8.4</v>
      </c>
      <c r="AB380" s="3">
        <f t="shared" si="83"/>
        <v>6576.29896</v>
      </c>
      <c r="AC380" s="3">
        <f t="shared" si="88"/>
        <v>8838.54580224</v>
      </c>
      <c r="AD380" s="3">
        <f t="shared" si="84"/>
        <v>3024.91</v>
      </c>
      <c r="AE380" s="3">
        <f t="shared" si="85"/>
        <v>3551.38896</v>
      </c>
      <c r="AF380" s="3">
        <f t="shared" si="89"/>
        <v>5813.63580224</v>
      </c>
      <c r="AG380">
        <f t="shared" si="86"/>
        <v>0.540028514762048</v>
      </c>
    </row>
    <row r="381" spans="1:33">
      <c r="A381" t="s">
        <v>860</v>
      </c>
      <c r="B381" s="20">
        <v>45694</v>
      </c>
      <c r="C381" s="2">
        <f t="shared" si="75"/>
        <v>2</v>
      </c>
      <c r="D381" s="21">
        <f t="shared" si="87"/>
        <v>45694</v>
      </c>
      <c r="E381" s="19" t="str">
        <f t="shared" si="76"/>
        <v>Quarter 1</v>
      </c>
      <c r="F381" s="19">
        <v>45703</v>
      </c>
      <c r="G381" s="19">
        <f t="shared" si="77"/>
        <v>45703</v>
      </c>
      <c r="H381" s="22">
        <f t="shared" si="78"/>
        <v>9</v>
      </c>
      <c r="I381" t="str">
        <f t="shared" si="79"/>
        <v>Delayed </v>
      </c>
      <c r="J381" t="s">
        <v>52</v>
      </c>
      <c r="K381" t="s">
        <v>73</v>
      </c>
      <c r="L381" t="s">
        <v>74</v>
      </c>
      <c r="M381" t="s">
        <v>39</v>
      </c>
      <c r="N381" t="s">
        <v>55</v>
      </c>
      <c r="O381" t="s">
        <v>84</v>
      </c>
      <c r="P381" t="s">
        <v>35</v>
      </c>
      <c r="Q381" t="s">
        <v>861</v>
      </c>
      <c r="R381" s="3">
        <v>837.39</v>
      </c>
      <c r="S381" s="3">
        <v>1905.42</v>
      </c>
      <c r="T381" s="3">
        <f t="shared" si="80"/>
        <v>1905.42</v>
      </c>
      <c r="U381" s="3">
        <f>(1+'10. Whatif Control pannel'!$B$6)*T381</f>
        <v>2134.0704</v>
      </c>
      <c r="V381" s="3" t="str">
        <f t="shared" si="81"/>
        <v>High</v>
      </c>
      <c r="W381" s="34">
        <v>0.032</v>
      </c>
      <c r="X381" s="24" t="str">
        <f t="shared" si="82"/>
        <v>Okay</v>
      </c>
      <c r="Y381" s="36">
        <f>IF(W381&lt;=0.25,W381,'10. Whatif Control pannel'!$B$2)</f>
        <v>0.032</v>
      </c>
      <c r="Z381" s="24">
        <v>18</v>
      </c>
      <c r="AA381" s="13">
        <f>(1+'10. Whatif Control pannel'!$B$10)*Z381</f>
        <v>21.6</v>
      </c>
      <c r="AB381" s="3">
        <f t="shared" si="83"/>
        <v>33200.03808</v>
      </c>
      <c r="AC381" s="3">
        <f t="shared" si="88"/>
        <v>44620.85117952</v>
      </c>
      <c r="AD381" s="3">
        <f t="shared" si="84"/>
        <v>15073.02</v>
      </c>
      <c r="AE381" s="3">
        <f t="shared" si="85"/>
        <v>18127.01808</v>
      </c>
      <c r="AF381" s="3">
        <f t="shared" si="89"/>
        <v>29547.83117952</v>
      </c>
      <c r="AG381">
        <f t="shared" si="86"/>
        <v>0.545993894233509</v>
      </c>
    </row>
    <row r="382" spans="1:33">
      <c r="A382" t="s">
        <v>862</v>
      </c>
      <c r="B382" s="20">
        <v>45688</v>
      </c>
      <c r="C382" s="2">
        <f t="shared" si="75"/>
        <v>1</v>
      </c>
      <c r="D382" s="21">
        <f t="shared" si="87"/>
        <v>45688</v>
      </c>
      <c r="E382" s="19" t="str">
        <f t="shared" si="76"/>
        <v>Quarter 1</v>
      </c>
      <c r="F382" s="19">
        <v>45705</v>
      </c>
      <c r="G382" s="19">
        <f t="shared" si="77"/>
        <v>45705</v>
      </c>
      <c r="H382" s="22">
        <f t="shared" si="78"/>
        <v>17</v>
      </c>
      <c r="I382" t="str">
        <f t="shared" si="79"/>
        <v>Delayed </v>
      </c>
      <c r="J382" t="s">
        <v>78</v>
      </c>
      <c r="K382" t="s">
        <v>108</v>
      </c>
      <c r="L382" t="s">
        <v>152</v>
      </c>
      <c r="M382" t="s">
        <v>105</v>
      </c>
      <c r="N382" t="s">
        <v>20</v>
      </c>
      <c r="O382" t="s">
        <v>92</v>
      </c>
      <c r="P382" t="s">
        <v>22</v>
      </c>
      <c r="Q382" t="s">
        <v>254</v>
      </c>
      <c r="R382" s="3">
        <v>378.26</v>
      </c>
      <c r="S382" s="3">
        <v>541.56</v>
      </c>
      <c r="T382" s="3">
        <f t="shared" si="80"/>
        <v>541.56</v>
      </c>
      <c r="U382" s="3">
        <f>(1+'10. Whatif Control pannel'!$B$6)*T382</f>
        <v>606.5472</v>
      </c>
      <c r="V382" s="3" t="str">
        <f t="shared" si="81"/>
        <v>Low</v>
      </c>
      <c r="W382" s="34">
        <v>0.163</v>
      </c>
      <c r="X382" s="24" t="str">
        <f t="shared" si="82"/>
        <v>Okay</v>
      </c>
      <c r="Y382" s="36">
        <f>IF(W382&lt;=0.25,W382,'10. Whatif Control pannel'!$B$2)</f>
        <v>0.163</v>
      </c>
      <c r="Z382" s="24">
        <v>25</v>
      </c>
      <c r="AA382" s="13">
        <f>(1+'10. Whatif Control pannel'!$B$10)*Z382</f>
        <v>30</v>
      </c>
      <c r="AB382" s="3">
        <f t="shared" si="83"/>
        <v>11332.143</v>
      </c>
      <c r="AC382" s="3">
        <f t="shared" si="88"/>
        <v>15230.400192</v>
      </c>
      <c r="AD382" s="3">
        <f t="shared" si="84"/>
        <v>9456.5</v>
      </c>
      <c r="AE382" s="3">
        <f t="shared" si="85"/>
        <v>1875.643</v>
      </c>
      <c r="AF382" s="3">
        <f t="shared" si="89"/>
        <v>5773.900192</v>
      </c>
      <c r="AG382">
        <f t="shared" si="86"/>
        <v>0.165515295738855</v>
      </c>
    </row>
    <row r="383" spans="1:33">
      <c r="A383" t="s">
        <v>863</v>
      </c>
      <c r="B383" s="20">
        <v>45876</v>
      </c>
      <c r="C383" s="2">
        <f t="shared" si="75"/>
        <v>8</v>
      </c>
      <c r="D383" s="21">
        <f t="shared" si="87"/>
        <v>45876</v>
      </c>
      <c r="E383" s="19" t="str">
        <f t="shared" si="76"/>
        <v>Quarter 3</v>
      </c>
      <c r="F383" s="19">
        <v>45906</v>
      </c>
      <c r="G383" s="19">
        <f t="shared" si="77"/>
        <v>45906</v>
      </c>
      <c r="H383" s="22">
        <f t="shared" si="78"/>
        <v>30</v>
      </c>
      <c r="I383" t="str">
        <f t="shared" si="79"/>
        <v>Delayed </v>
      </c>
      <c r="J383" t="s">
        <v>52</v>
      </c>
      <c r="K383" t="s">
        <v>53</v>
      </c>
      <c r="L383" t="s">
        <v>144</v>
      </c>
      <c r="M383" t="s">
        <v>27</v>
      </c>
      <c r="N383" t="s">
        <v>98</v>
      </c>
      <c r="O383" t="s">
        <v>110</v>
      </c>
      <c r="P383" t="s">
        <v>35</v>
      </c>
      <c r="Q383" t="s">
        <v>864</v>
      </c>
      <c r="R383" s="3">
        <v>833.73</v>
      </c>
      <c r="S383" s="3">
        <v>1116.6</v>
      </c>
      <c r="T383" s="3">
        <f t="shared" si="80"/>
        <v>1116.6</v>
      </c>
      <c r="U383" s="3">
        <f>(1+'10. Whatif Control pannel'!$B$6)*T383</f>
        <v>1250.592</v>
      </c>
      <c r="V383" s="3" t="str">
        <f t="shared" si="81"/>
        <v>Medium</v>
      </c>
      <c r="W383" s="34">
        <v>0.176</v>
      </c>
      <c r="X383" s="24" t="str">
        <f t="shared" si="82"/>
        <v>Okay</v>
      </c>
      <c r="Y383" s="36">
        <f>IF(W383&lt;=0.25,W383,'10. Whatif Control pannel'!$B$2)</f>
        <v>0.176</v>
      </c>
      <c r="Z383" s="24">
        <v>14</v>
      </c>
      <c r="AA383" s="13">
        <f>(1+'10. Whatif Control pannel'!$B$10)*Z383</f>
        <v>16.8</v>
      </c>
      <c r="AB383" s="3">
        <f t="shared" si="83"/>
        <v>12881.0976</v>
      </c>
      <c r="AC383" s="3">
        <f t="shared" si="88"/>
        <v>17312.1951744</v>
      </c>
      <c r="AD383" s="3">
        <f t="shared" si="84"/>
        <v>11672.22</v>
      </c>
      <c r="AE383" s="3">
        <f t="shared" si="85"/>
        <v>1208.8776</v>
      </c>
      <c r="AF383" s="3">
        <f t="shared" si="89"/>
        <v>5639.9751744</v>
      </c>
      <c r="AG383">
        <f t="shared" si="86"/>
        <v>0.0938489589582799</v>
      </c>
    </row>
    <row r="384" spans="1:33">
      <c r="A384" t="s">
        <v>865</v>
      </c>
      <c r="B384" s="20">
        <v>45861</v>
      </c>
      <c r="C384" s="2">
        <f t="shared" si="75"/>
        <v>7</v>
      </c>
      <c r="D384" s="21">
        <f t="shared" si="87"/>
        <v>45861</v>
      </c>
      <c r="E384" s="19" t="str">
        <f t="shared" si="76"/>
        <v>Quarter 3</v>
      </c>
      <c r="F384" s="19">
        <v>45886</v>
      </c>
      <c r="G384" s="19">
        <f t="shared" si="77"/>
        <v>45886</v>
      </c>
      <c r="H384" s="22">
        <f t="shared" si="78"/>
        <v>25</v>
      </c>
      <c r="I384" t="str">
        <f t="shared" si="79"/>
        <v>Delayed </v>
      </c>
      <c r="J384" t="s">
        <v>78</v>
      </c>
      <c r="K384" t="s">
        <v>108</v>
      </c>
      <c r="L384" t="s">
        <v>109</v>
      </c>
      <c r="M384" t="s">
        <v>27</v>
      </c>
      <c r="N384" t="s">
        <v>28</v>
      </c>
      <c r="O384" t="s">
        <v>34</v>
      </c>
      <c r="P384" t="s">
        <v>30</v>
      </c>
      <c r="Q384" t="s">
        <v>866</v>
      </c>
      <c r="R384" s="3">
        <v>1142.06</v>
      </c>
      <c r="S384" s="3">
        <v>1455</v>
      </c>
      <c r="T384" s="3">
        <f t="shared" si="80"/>
        <v>1455</v>
      </c>
      <c r="U384" s="3">
        <f>(1+'10. Whatif Control pannel'!$B$6)*T384</f>
        <v>1629.6</v>
      </c>
      <c r="V384" s="3" t="str">
        <f t="shared" si="81"/>
        <v>Medium</v>
      </c>
      <c r="W384" s="34">
        <v>0.078</v>
      </c>
      <c r="X384" s="24" t="str">
        <f t="shared" si="82"/>
        <v>Okay</v>
      </c>
      <c r="Y384" s="36">
        <f>IF(W384&lt;=0.25,W384,'10. Whatif Control pannel'!$B$2)</f>
        <v>0.078</v>
      </c>
      <c r="Z384" s="24">
        <v>28</v>
      </c>
      <c r="AA384" s="13">
        <f>(1+'10. Whatif Control pannel'!$B$10)*Z384</f>
        <v>33.6</v>
      </c>
      <c r="AB384" s="3">
        <f t="shared" si="83"/>
        <v>37562.28</v>
      </c>
      <c r="AC384" s="3">
        <f t="shared" si="88"/>
        <v>50483.70432</v>
      </c>
      <c r="AD384" s="3">
        <f t="shared" si="84"/>
        <v>31977.68</v>
      </c>
      <c r="AE384" s="3">
        <f t="shared" si="85"/>
        <v>5584.6</v>
      </c>
      <c r="AF384" s="3">
        <f t="shared" si="89"/>
        <v>18506.02432</v>
      </c>
      <c r="AG384">
        <f t="shared" si="86"/>
        <v>0.14867574598773</v>
      </c>
    </row>
    <row r="385" spans="1:33">
      <c r="A385" t="s">
        <v>867</v>
      </c>
      <c r="B385" s="20">
        <v>45097</v>
      </c>
      <c r="C385" s="2">
        <f t="shared" si="75"/>
        <v>6</v>
      </c>
      <c r="D385" s="21">
        <f t="shared" si="87"/>
        <v>45097</v>
      </c>
      <c r="E385" s="19" t="str">
        <f t="shared" si="76"/>
        <v>Quarter 2</v>
      </c>
      <c r="F385" s="19">
        <v>45115</v>
      </c>
      <c r="G385" s="19">
        <f t="shared" si="77"/>
        <v>45115</v>
      </c>
      <c r="H385" s="22">
        <f t="shared" si="78"/>
        <v>18</v>
      </c>
      <c r="I385" t="str">
        <f t="shared" si="79"/>
        <v>Delayed </v>
      </c>
      <c r="J385" t="s">
        <v>52</v>
      </c>
      <c r="K385" t="s">
        <v>122</v>
      </c>
      <c r="L385" t="s">
        <v>387</v>
      </c>
      <c r="M385" t="s">
        <v>48</v>
      </c>
      <c r="N385" t="s">
        <v>40</v>
      </c>
      <c r="O385" t="s">
        <v>68</v>
      </c>
      <c r="P385" t="s">
        <v>35</v>
      </c>
      <c r="Q385" t="s">
        <v>868</v>
      </c>
      <c r="R385" s="3">
        <v>1145.53</v>
      </c>
      <c r="S385" s="3">
        <v>1278.3</v>
      </c>
      <c r="T385" s="3">
        <f t="shared" si="80"/>
        <v>1278.3</v>
      </c>
      <c r="U385" s="3">
        <f>(1+'10. Whatif Control pannel'!$B$6)*T385</f>
        <v>1431.696</v>
      </c>
      <c r="V385" s="3" t="str">
        <f t="shared" si="81"/>
        <v>Medium</v>
      </c>
      <c r="W385" s="34">
        <v>0.09</v>
      </c>
      <c r="X385" s="24" t="str">
        <f t="shared" si="82"/>
        <v>Okay</v>
      </c>
      <c r="Y385" s="36">
        <f>IF(W385&lt;=0.25,W385,'10. Whatif Control pannel'!$B$2)</f>
        <v>0.09</v>
      </c>
      <c r="Z385" s="24">
        <v>41</v>
      </c>
      <c r="AA385" s="13">
        <f>(1+'10. Whatif Control pannel'!$B$10)*Z385</f>
        <v>49.2</v>
      </c>
      <c r="AB385" s="3">
        <f t="shared" si="83"/>
        <v>47693.373</v>
      </c>
      <c r="AC385" s="3">
        <f t="shared" si="88"/>
        <v>64099.893312</v>
      </c>
      <c r="AD385" s="3">
        <f t="shared" si="84"/>
        <v>46966.73</v>
      </c>
      <c r="AE385" s="3">
        <f t="shared" si="85"/>
        <v>726.643000000004</v>
      </c>
      <c r="AF385" s="3">
        <f t="shared" si="89"/>
        <v>17133.163312</v>
      </c>
      <c r="AG385">
        <f t="shared" si="86"/>
        <v>0.0152357225814162</v>
      </c>
    </row>
    <row r="386" spans="1:33">
      <c r="A386" t="s">
        <v>869</v>
      </c>
      <c r="B386" s="20">
        <v>45491</v>
      </c>
      <c r="C386" s="2">
        <f t="shared" ref="C386:C449" si="90">MONTH(B386)</f>
        <v>7</v>
      </c>
      <c r="D386" s="21">
        <f t="shared" si="87"/>
        <v>45491</v>
      </c>
      <c r="E386" s="19" t="str">
        <f t="shared" ref="E386:E449" si="91">IF(AND(MONTH(B386)&gt;=1,MONTH(B386)&lt;=3),"Quarter 1",IF(AND(MONTH(B386)&gt;=4,MONTH(B386)&lt;=6),"Quarter 2",IF(AND(MONTH(B386)&gt;=7,MONTH(B386)&lt;=9),"Quarter 3",IF(AND(MONTH(B386)&gt;=10,MONTH(B386)&lt;=12),"Quarter 4"))))</f>
        <v>Quarter 3</v>
      </c>
      <c r="F386" s="19">
        <v>45511</v>
      </c>
      <c r="G386" s="19">
        <f t="shared" ref="G386:G449" si="92">IF(B386&gt;F386,B386+7,F386)</f>
        <v>45511</v>
      </c>
      <c r="H386" s="22">
        <f t="shared" ref="H386:H449" si="93">G386-B386</f>
        <v>20</v>
      </c>
      <c r="I386" t="str">
        <f t="shared" ref="I386:I449" si="94">IF(H386&lt;=7,"Ontime","Delayed ")</f>
        <v>Delayed </v>
      </c>
      <c r="J386" t="s">
        <v>78</v>
      </c>
      <c r="K386" t="s">
        <v>90</v>
      </c>
      <c r="L386" t="s">
        <v>91</v>
      </c>
      <c r="M386" t="s">
        <v>19</v>
      </c>
      <c r="N386" t="s">
        <v>20</v>
      </c>
      <c r="O386" t="s">
        <v>84</v>
      </c>
      <c r="P386" t="s">
        <v>64</v>
      </c>
      <c r="Q386" t="s">
        <v>870</v>
      </c>
      <c r="R386" s="3">
        <v>941.35</v>
      </c>
      <c r="S386" s="3">
        <v>899.83</v>
      </c>
      <c r="T386" s="3">
        <f t="shared" ref="T386:T449" si="95">IF(S386&lt;=0,R386,S386)</f>
        <v>899.83</v>
      </c>
      <c r="U386" s="3">
        <f>(1+'10. Whatif Control pannel'!$B$6)*T386</f>
        <v>1007.8096</v>
      </c>
      <c r="V386" s="3" t="str">
        <f t="shared" ref="V386:V449" si="96">IF(T386&lt;=_xlfn.PERCENTILE.INC(T386:T1017,33%),"Low",IF(T386&lt;=_xlfn.PERCENTILE.INC(T386:T1017,67%),"Medium","High"))</f>
        <v>Medium</v>
      </c>
      <c r="W386" s="34">
        <v>0.058</v>
      </c>
      <c r="X386" s="24" t="str">
        <f t="shared" ref="X386:X449" si="97">IF(W386&gt;0.2,"High Discount","Okay")</f>
        <v>Okay</v>
      </c>
      <c r="Y386" s="36">
        <f>IF(W386&lt;=0.25,W386,'10. Whatif Control pannel'!$B$2)</f>
        <v>0.058</v>
      </c>
      <c r="Z386" s="24">
        <v>18</v>
      </c>
      <c r="AA386" s="13">
        <f>(1+'10. Whatif Control pannel'!$B$10)*Z386</f>
        <v>21.6</v>
      </c>
      <c r="AB386" s="3">
        <f t="shared" ref="AB386:AB449" si="98">T386*Z386*(1-W386)</f>
        <v>15257.51748</v>
      </c>
      <c r="AC386" s="3">
        <f t="shared" si="88"/>
        <v>20506.10349312</v>
      </c>
      <c r="AD386" s="3">
        <f t="shared" ref="AD386:AD449" si="99">R386*Z386</f>
        <v>16944.3</v>
      </c>
      <c r="AE386" s="3">
        <f t="shared" ref="AE386:AE449" si="100">AB386-AD386</f>
        <v>-1686.78252</v>
      </c>
      <c r="AF386" s="3">
        <f t="shared" si="89"/>
        <v>3561.80349312</v>
      </c>
      <c r="AG386">
        <f t="shared" ref="AG386:AG449" si="101">IF(AB386=0,0,AE386/AB386)</f>
        <v>-0.110554192201391</v>
      </c>
    </row>
    <row r="387" spans="1:33">
      <c r="A387" t="s">
        <v>871</v>
      </c>
      <c r="B387" s="20">
        <v>45066</v>
      </c>
      <c r="C387" s="2">
        <f t="shared" si="90"/>
        <v>5</v>
      </c>
      <c r="D387" s="21">
        <f t="shared" ref="D387:D450" si="102">B387</f>
        <v>45066</v>
      </c>
      <c r="E387" s="19" t="str">
        <f t="shared" si="91"/>
        <v>Quarter 2</v>
      </c>
      <c r="F387" s="19">
        <v>45096</v>
      </c>
      <c r="G387" s="19">
        <f t="shared" si="92"/>
        <v>45096</v>
      </c>
      <c r="H387" s="22">
        <f t="shared" si="93"/>
        <v>30</v>
      </c>
      <c r="I387" t="str">
        <f t="shared" si="94"/>
        <v>Delayed </v>
      </c>
      <c r="J387" t="s">
        <v>45</v>
      </c>
      <c r="K387" t="s">
        <v>60</v>
      </c>
      <c r="L387" t="s">
        <v>141</v>
      </c>
      <c r="M387" t="s">
        <v>39</v>
      </c>
      <c r="N387" t="s">
        <v>40</v>
      </c>
      <c r="O387" t="s">
        <v>92</v>
      </c>
      <c r="P387" t="s">
        <v>57</v>
      </c>
      <c r="Q387" t="s">
        <v>872</v>
      </c>
      <c r="R387" s="3">
        <v>1161.2</v>
      </c>
      <c r="S387" s="3">
        <v>878.73</v>
      </c>
      <c r="T387" s="3">
        <f t="shared" si="95"/>
        <v>878.73</v>
      </c>
      <c r="U387" s="3">
        <f>(1+'10. Whatif Control pannel'!$B$6)*T387</f>
        <v>984.1776</v>
      </c>
      <c r="V387" s="3" t="str">
        <f t="shared" si="96"/>
        <v>Medium</v>
      </c>
      <c r="W387" s="34">
        <v>0.19</v>
      </c>
      <c r="X387" s="24" t="str">
        <f t="shared" si="97"/>
        <v>Okay</v>
      </c>
      <c r="Y387" s="36">
        <f>IF(W387&lt;=0.25,W387,'10. Whatif Control pannel'!$B$2)</f>
        <v>0.19</v>
      </c>
      <c r="Z387" s="24">
        <v>31</v>
      </c>
      <c r="AA387" s="13">
        <f>(1+'10. Whatif Control pannel'!$B$10)*Z387</f>
        <v>37.2</v>
      </c>
      <c r="AB387" s="3">
        <f t="shared" si="98"/>
        <v>22064.9103</v>
      </c>
      <c r="AC387" s="3">
        <f t="shared" ref="AC387:AC450" si="103">U387*AA387*(1-Y387)</f>
        <v>29655.2394432</v>
      </c>
      <c r="AD387" s="3">
        <f t="shared" si="99"/>
        <v>35997.2</v>
      </c>
      <c r="AE387" s="3">
        <f t="shared" si="100"/>
        <v>-13932.2897</v>
      </c>
      <c r="AF387" s="3">
        <f t="shared" ref="AF387:AF450" si="104">AC387-AD387</f>
        <v>-6341.9605568</v>
      </c>
      <c r="AG387">
        <f t="shared" si="101"/>
        <v>-0.63142290227212</v>
      </c>
    </row>
    <row r="388" spans="1:33">
      <c r="A388" t="s">
        <v>873</v>
      </c>
      <c r="B388" s="20">
        <v>45789</v>
      </c>
      <c r="C388" s="2">
        <f t="shared" si="90"/>
        <v>5</v>
      </c>
      <c r="D388" s="21">
        <f t="shared" si="102"/>
        <v>45789</v>
      </c>
      <c r="E388" s="19" t="str">
        <f t="shared" si="91"/>
        <v>Quarter 2</v>
      </c>
      <c r="F388" s="19">
        <v>45803</v>
      </c>
      <c r="G388" s="19">
        <f t="shared" si="92"/>
        <v>45803</v>
      </c>
      <c r="H388" s="22">
        <f t="shared" si="93"/>
        <v>14</v>
      </c>
      <c r="I388" t="str">
        <f t="shared" si="94"/>
        <v>Delayed </v>
      </c>
      <c r="J388" t="s">
        <v>45</v>
      </c>
      <c r="K388" t="s">
        <v>60</v>
      </c>
      <c r="L388" t="s">
        <v>281</v>
      </c>
      <c r="M388" t="s">
        <v>19</v>
      </c>
      <c r="N388" t="s">
        <v>40</v>
      </c>
      <c r="O388" t="s">
        <v>41</v>
      </c>
      <c r="P388" t="s">
        <v>30</v>
      </c>
      <c r="Q388" t="s">
        <v>874</v>
      </c>
      <c r="R388" s="3">
        <v>320.12</v>
      </c>
      <c r="S388" s="3">
        <v>594.42</v>
      </c>
      <c r="T388" s="3">
        <f t="shared" si="95"/>
        <v>594.42</v>
      </c>
      <c r="U388" s="3">
        <f>(1+'10. Whatif Control pannel'!$B$6)*T388</f>
        <v>665.7504</v>
      </c>
      <c r="V388" s="3" t="str">
        <f t="shared" si="96"/>
        <v>Low</v>
      </c>
      <c r="W388" s="34">
        <v>0.104</v>
      </c>
      <c r="X388" s="24" t="str">
        <f t="shared" si="97"/>
        <v>Okay</v>
      </c>
      <c r="Y388" s="36">
        <f>IF(W388&lt;=0.25,W388,'10. Whatif Control pannel'!$B$2)</f>
        <v>0.104</v>
      </c>
      <c r="Z388" s="24">
        <v>18</v>
      </c>
      <c r="AA388" s="13">
        <f>(1+'10. Whatif Control pannel'!$B$10)*Z388</f>
        <v>21.6</v>
      </c>
      <c r="AB388" s="3">
        <f t="shared" si="98"/>
        <v>9586.80576</v>
      </c>
      <c r="AC388" s="3">
        <f t="shared" si="103"/>
        <v>12884.66694144</v>
      </c>
      <c r="AD388" s="3">
        <f t="shared" si="99"/>
        <v>5762.16</v>
      </c>
      <c r="AE388" s="3">
        <f t="shared" si="100"/>
        <v>3824.64576</v>
      </c>
      <c r="AF388" s="3">
        <f t="shared" si="104"/>
        <v>7122.50694144</v>
      </c>
      <c r="AG388">
        <f t="shared" si="101"/>
        <v>0.398948915389311</v>
      </c>
    </row>
    <row r="389" spans="1:33">
      <c r="A389" t="s">
        <v>875</v>
      </c>
      <c r="B389" s="20">
        <v>45419</v>
      </c>
      <c r="C389" s="2">
        <f t="shared" si="90"/>
        <v>5</v>
      </c>
      <c r="D389" s="21">
        <f t="shared" si="102"/>
        <v>45419</v>
      </c>
      <c r="E389" s="19" t="str">
        <f t="shared" si="91"/>
        <v>Quarter 2</v>
      </c>
      <c r="F389" s="19">
        <v>45424</v>
      </c>
      <c r="G389" s="19">
        <f t="shared" si="92"/>
        <v>45424</v>
      </c>
      <c r="H389" s="22">
        <f t="shared" si="93"/>
        <v>5</v>
      </c>
      <c r="I389" t="str">
        <f t="shared" si="94"/>
        <v>Ontime</v>
      </c>
      <c r="J389" t="s">
        <v>16</v>
      </c>
      <c r="K389" t="s">
        <v>25</v>
      </c>
      <c r="L389" t="s">
        <v>67</v>
      </c>
      <c r="M389" t="s">
        <v>39</v>
      </c>
      <c r="N389" t="s">
        <v>55</v>
      </c>
      <c r="O389" t="s">
        <v>49</v>
      </c>
      <c r="P389" t="s">
        <v>57</v>
      </c>
      <c r="Q389" t="s">
        <v>876</v>
      </c>
      <c r="R389" s="3">
        <v>1163.99</v>
      </c>
      <c r="S389" s="3">
        <v>1617.85</v>
      </c>
      <c r="T389" s="3">
        <f t="shared" si="95"/>
        <v>1617.85</v>
      </c>
      <c r="U389" s="3">
        <f>(1+'10. Whatif Control pannel'!$B$6)*T389</f>
        <v>1811.992</v>
      </c>
      <c r="V389" s="3" t="str">
        <f t="shared" si="96"/>
        <v>Medium</v>
      </c>
      <c r="W389" s="34">
        <v>0.127</v>
      </c>
      <c r="X389" s="24" t="str">
        <f t="shared" si="97"/>
        <v>Okay</v>
      </c>
      <c r="Y389" s="36">
        <f>IF(W389&lt;=0.25,W389,'10. Whatif Control pannel'!$B$2)</f>
        <v>0.127</v>
      </c>
      <c r="Z389" s="24">
        <v>14</v>
      </c>
      <c r="AA389" s="13">
        <f>(1+'10. Whatif Control pannel'!$B$10)*Z389</f>
        <v>16.8</v>
      </c>
      <c r="AB389" s="3">
        <f t="shared" si="98"/>
        <v>19773.3627</v>
      </c>
      <c r="AC389" s="3">
        <f t="shared" si="103"/>
        <v>26575.3994688</v>
      </c>
      <c r="AD389" s="3">
        <f t="shared" si="99"/>
        <v>16295.86</v>
      </c>
      <c r="AE389" s="3">
        <f t="shared" si="100"/>
        <v>3477.5027</v>
      </c>
      <c r="AF389" s="3">
        <f t="shared" si="104"/>
        <v>10279.5394688</v>
      </c>
      <c r="AG389">
        <f t="shared" si="101"/>
        <v>0.175868047977494</v>
      </c>
    </row>
    <row r="390" spans="1:33">
      <c r="A390" t="s">
        <v>877</v>
      </c>
      <c r="B390" s="20">
        <v>45199</v>
      </c>
      <c r="C390" s="2">
        <f t="shared" si="90"/>
        <v>9</v>
      </c>
      <c r="D390" s="21">
        <f t="shared" si="102"/>
        <v>45199</v>
      </c>
      <c r="E390" s="19" t="str">
        <f t="shared" si="91"/>
        <v>Quarter 3</v>
      </c>
      <c r="F390" s="19">
        <v>45202</v>
      </c>
      <c r="G390" s="19">
        <f t="shared" si="92"/>
        <v>45202</v>
      </c>
      <c r="H390" s="22">
        <f t="shared" si="93"/>
        <v>3</v>
      </c>
      <c r="I390" t="str">
        <f t="shared" si="94"/>
        <v>Ontime</v>
      </c>
      <c r="J390" t="s">
        <v>45</v>
      </c>
      <c r="K390" t="s">
        <v>116</v>
      </c>
      <c r="L390" t="s">
        <v>338</v>
      </c>
      <c r="M390" t="s">
        <v>39</v>
      </c>
      <c r="N390" t="s">
        <v>20</v>
      </c>
      <c r="O390" t="s">
        <v>29</v>
      </c>
      <c r="P390" t="s">
        <v>57</v>
      </c>
      <c r="Q390" t="s">
        <v>878</v>
      </c>
      <c r="R390" s="3">
        <v>1019.36</v>
      </c>
      <c r="S390" s="3">
        <v>972.91</v>
      </c>
      <c r="T390" s="3">
        <f t="shared" si="95"/>
        <v>972.91</v>
      </c>
      <c r="U390" s="3">
        <f>(1+'10. Whatif Control pannel'!$B$6)*T390</f>
        <v>1089.6592</v>
      </c>
      <c r="V390" s="3" t="str">
        <f t="shared" si="96"/>
        <v>Medium</v>
      </c>
      <c r="W390" s="34">
        <v>0.147</v>
      </c>
      <c r="X390" s="24" t="str">
        <f t="shared" si="97"/>
        <v>Okay</v>
      </c>
      <c r="Y390" s="36">
        <f>IF(W390&lt;=0.25,W390,'10. Whatif Control pannel'!$B$2)</f>
        <v>0.147</v>
      </c>
      <c r="Z390" s="24">
        <v>17</v>
      </c>
      <c r="AA390" s="13">
        <f>(1+'10. Whatif Control pannel'!$B$10)*Z390</f>
        <v>20.4</v>
      </c>
      <c r="AB390" s="3">
        <f t="shared" si="98"/>
        <v>14108.16791</v>
      </c>
      <c r="AC390" s="3">
        <f t="shared" si="103"/>
        <v>18961.37767104</v>
      </c>
      <c r="AD390" s="3">
        <f t="shared" si="99"/>
        <v>17329.12</v>
      </c>
      <c r="AE390" s="3">
        <f t="shared" si="100"/>
        <v>-3220.95209</v>
      </c>
      <c r="AF390" s="3">
        <f t="shared" si="104"/>
        <v>1632.25767104</v>
      </c>
      <c r="AG390">
        <f t="shared" si="101"/>
        <v>-0.228304065456788</v>
      </c>
    </row>
    <row r="391" spans="1:33">
      <c r="A391" t="s">
        <v>879</v>
      </c>
      <c r="B391" s="20">
        <v>45225</v>
      </c>
      <c r="C391" s="2">
        <f t="shared" si="90"/>
        <v>10</v>
      </c>
      <c r="D391" s="21">
        <f t="shared" si="102"/>
        <v>45225</v>
      </c>
      <c r="E391" s="19" t="str">
        <f t="shared" si="91"/>
        <v>Quarter 4</v>
      </c>
      <c r="F391" s="19">
        <v>45235</v>
      </c>
      <c r="G391" s="19">
        <f t="shared" si="92"/>
        <v>45235</v>
      </c>
      <c r="H391" s="22">
        <f t="shared" si="93"/>
        <v>10</v>
      </c>
      <c r="I391" t="str">
        <f t="shared" si="94"/>
        <v>Delayed </v>
      </c>
      <c r="J391" t="s">
        <v>16</v>
      </c>
      <c r="K391" t="s">
        <v>148</v>
      </c>
      <c r="L391" t="s">
        <v>258</v>
      </c>
      <c r="M391" t="s">
        <v>39</v>
      </c>
      <c r="N391" t="s">
        <v>28</v>
      </c>
      <c r="O391" t="s">
        <v>34</v>
      </c>
      <c r="P391" t="s">
        <v>57</v>
      </c>
      <c r="Q391" t="s">
        <v>880</v>
      </c>
      <c r="R391" s="3">
        <v>20.38</v>
      </c>
      <c r="S391" s="3">
        <v>42.56</v>
      </c>
      <c r="T391" s="3">
        <f t="shared" si="95"/>
        <v>42.56</v>
      </c>
      <c r="U391" s="3">
        <f>(1+'10. Whatif Control pannel'!$B$6)*T391</f>
        <v>47.6672</v>
      </c>
      <c r="V391" s="3" t="str">
        <f t="shared" si="96"/>
        <v>Low</v>
      </c>
      <c r="W391" s="34">
        <v>0.072</v>
      </c>
      <c r="X391" s="24" t="str">
        <f t="shared" si="97"/>
        <v>Okay</v>
      </c>
      <c r="Y391" s="36">
        <f>IF(W391&lt;=0.25,W391,'10. Whatif Control pannel'!$B$2)</f>
        <v>0.072</v>
      </c>
      <c r="Z391" s="24">
        <v>11</v>
      </c>
      <c r="AA391" s="13">
        <f>(1+'10. Whatif Control pannel'!$B$10)*Z391</f>
        <v>13.2</v>
      </c>
      <c r="AB391" s="3">
        <f t="shared" si="98"/>
        <v>434.45248</v>
      </c>
      <c r="AC391" s="3">
        <f t="shared" si="103"/>
        <v>583.90413312</v>
      </c>
      <c r="AD391" s="3">
        <f t="shared" si="99"/>
        <v>224.18</v>
      </c>
      <c r="AE391" s="3">
        <f t="shared" si="100"/>
        <v>210.27248</v>
      </c>
      <c r="AF391" s="3">
        <f t="shared" si="104"/>
        <v>359.72413312</v>
      </c>
      <c r="AG391">
        <f t="shared" si="101"/>
        <v>0.483994198859217</v>
      </c>
    </row>
    <row r="392" spans="1:33">
      <c r="A392" t="s">
        <v>881</v>
      </c>
      <c r="B392" s="20">
        <v>45823</v>
      </c>
      <c r="C392" s="2">
        <f t="shared" si="90"/>
        <v>6</v>
      </c>
      <c r="D392" s="21">
        <f t="shared" si="102"/>
        <v>45823</v>
      </c>
      <c r="E392" s="19" t="str">
        <f t="shared" si="91"/>
        <v>Quarter 2</v>
      </c>
      <c r="F392" s="19">
        <v>45838</v>
      </c>
      <c r="G392" s="19">
        <f t="shared" si="92"/>
        <v>45838</v>
      </c>
      <c r="H392" s="22">
        <f t="shared" si="93"/>
        <v>15</v>
      </c>
      <c r="I392" t="str">
        <f t="shared" si="94"/>
        <v>Delayed </v>
      </c>
      <c r="J392" t="s">
        <v>16</v>
      </c>
      <c r="K392" t="s">
        <v>148</v>
      </c>
      <c r="L392" t="s">
        <v>149</v>
      </c>
      <c r="M392" t="s">
        <v>62</v>
      </c>
      <c r="N392" t="s">
        <v>98</v>
      </c>
      <c r="O392" t="s">
        <v>21</v>
      </c>
      <c r="P392" t="s">
        <v>64</v>
      </c>
      <c r="Q392" t="s">
        <v>882</v>
      </c>
      <c r="R392" s="3">
        <v>1487.59</v>
      </c>
      <c r="S392" s="3">
        <v>1480.83</v>
      </c>
      <c r="T392" s="3">
        <f t="shared" si="95"/>
        <v>1480.83</v>
      </c>
      <c r="U392" s="3">
        <f>(1+'10. Whatif Control pannel'!$B$6)*T392</f>
        <v>1658.5296</v>
      </c>
      <c r="V392" s="3" t="str">
        <f t="shared" si="96"/>
        <v>Medium</v>
      </c>
      <c r="W392" s="34">
        <v>0.009</v>
      </c>
      <c r="X392" s="24" t="str">
        <f t="shared" si="97"/>
        <v>Okay</v>
      </c>
      <c r="Y392" s="36">
        <f>IF(W392&lt;=0.25,W392,'10. Whatif Control pannel'!$B$2)</f>
        <v>0.009</v>
      </c>
      <c r="Z392" s="24">
        <v>11</v>
      </c>
      <c r="AA392" s="13">
        <f>(1+'10. Whatif Control pannel'!$B$10)*Z392</f>
        <v>13.2</v>
      </c>
      <c r="AB392" s="3">
        <f t="shared" si="98"/>
        <v>16142.52783</v>
      </c>
      <c r="AC392" s="3">
        <f t="shared" si="103"/>
        <v>21695.55740352</v>
      </c>
      <c r="AD392" s="3">
        <f t="shared" si="99"/>
        <v>16363.49</v>
      </c>
      <c r="AE392" s="3">
        <f t="shared" si="100"/>
        <v>-220.962170000001</v>
      </c>
      <c r="AF392" s="3">
        <f t="shared" si="104"/>
        <v>5332.06740352</v>
      </c>
      <c r="AG392">
        <f t="shared" si="101"/>
        <v>-0.0136882012734929</v>
      </c>
    </row>
    <row r="393" spans="1:33">
      <c r="A393" t="s">
        <v>883</v>
      </c>
      <c r="B393" s="20">
        <v>45514</v>
      </c>
      <c r="C393" s="2">
        <f t="shared" si="90"/>
        <v>8</v>
      </c>
      <c r="D393" s="21">
        <f t="shared" si="102"/>
        <v>45514</v>
      </c>
      <c r="E393" s="19" t="str">
        <f t="shared" si="91"/>
        <v>Quarter 3</v>
      </c>
      <c r="F393" s="19">
        <v>45542</v>
      </c>
      <c r="G393" s="19">
        <f t="shared" si="92"/>
        <v>45542</v>
      </c>
      <c r="H393" s="22">
        <f t="shared" si="93"/>
        <v>28</v>
      </c>
      <c r="I393" t="str">
        <f t="shared" si="94"/>
        <v>Delayed </v>
      </c>
      <c r="J393" t="s">
        <v>78</v>
      </c>
      <c r="K393" t="s">
        <v>90</v>
      </c>
      <c r="L393" t="s">
        <v>91</v>
      </c>
      <c r="M393" t="s">
        <v>39</v>
      </c>
      <c r="N393" t="s">
        <v>98</v>
      </c>
      <c r="O393" t="s">
        <v>84</v>
      </c>
      <c r="P393" t="s">
        <v>30</v>
      </c>
      <c r="Q393" t="s">
        <v>884</v>
      </c>
      <c r="R393" s="3">
        <v>229.96</v>
      </c>
      <c r="S393" s="3">
        <v>564.26</v>
      </c>
      <c r="T393" s="3">
        <f t="shared" si="95"/>
        <v>564.26</v>
      </c>
      <c r="U393" s="3">
        <f>(1+'10. Whatif Control pannel'!$B$6)*T393</f>
        <v>631.9712</v>
      </c>
      <c r="V393" s="3" t="str">
        <f t="shared" si="96"/>
        <v>Low</v>
      </c>
      <c r="W393" s="34">
        <v>0.105</v>
      </c>
      <c r="X393" s="24" t="str">
        <f t="shared" si="97"/>
        <v>Okay</v>
      </c>
      <c r="Y393" s="36">
        <f>IF(W393&lt;=0.25,W393,'10. Whatif Control pannel'!$B$2)</f>
        <v>0.105</v>
      </c>
      <c r="Z393" s="24">
        <v>5</v>
      </c>
      <c r="AA393" s="13">
        <f>(1+'10. Whatif Control pannel'!$B$10)*Z393</f>
        <v>6</v>
      </c>
      <c r="AB393" s="3">
        <f t="shared" si="98"/>
        <v>2525.0635</v>
      </c>
      <c r="AC393" s="3">
        <f t="shared" si="103"/>
        <v>3393.685344</v>
      </c>
      <c r="AD393" s="3">
        <f t="shared" si="99"/>
        <v>1149.8</v>
      </c>
      <c r="AE393" s="3">
        <f t="shared" si="100"/>
        <v>1375.2635</v>
      </c>
      <c r="AF393" s="3">
        <f t="shared" si="104"/>
        <v>2243.885344</v>
      </c>
      <c r="AG393">
        <f t="shared" si="101"/>
        <v>0.544645114865428</v>
      </c>
    </row>
    <row r="394" spans="1:33">
      <c r="A394" t="s">
        <v>885</v>
      </c>
      <c r="B394" s="20">
        <v>45208</v>
      </c>
      <c r="C394" s="2">
        <f t="shared" si="90"/>
        <v>10</v>
      </c>
      <c r="D394" s="21">
        <f t="shared" si="102"/>
        <v>45208</v>
      </c>
      <c r="E394" s="19" t="str">
        <f t="shared" si="91"/>
        <v>Quarter 4</v>
      </c>
      <c r="F394" s="19">
        <v>45225</v>
      </c>
      <c r="G394" s="19">
        <f t="shared" si="92"/>
        <v>45225</v>
      </c>
      <c r="H394" s="22">
        <f t="shared" si="93"/>
        <v>17</v>
      </c>
      <c r="I394" t="str">
        <f t="shared" si="94"/>
        <v>Delayed </v>
      </c>
      <c r="J394" t="s">
        <v>45</v>
      </c>
      <c r="K394" t="s">
        <v>116</v>
      </c>
      <c r="L394" t="s">
        <v>162</v>
      </c>
      <c r="M394" t="s">
        <v>48</v>
      </c>
      <c r="N394" t="s">
        <v>40</v>
      </c>
      <c r="O394" t="s">
        <v>21</v>
      </c>
      <c r="P394" t="s">
        <v>22</v>
      </c>
      <c r="Q394" t="s">
        <v>886</v>
      </c>
      <c r="R394" s="3">
        <v>1132.03</v>
      </c>
      <c r="S394" s="3">
        <v>2137.21</v>
      </c>
      <c r="T394" s="3">
        <f t="shared" si="95"/>
        <v>2137.21</v>
      </c>
      <c r="U394" s="3">
        <f>(1+'10. Whatif Control pannel'!$B$6)*T394</f>
        <v>2393.6752</v>
      </c>
      <c r="V394" s="3" t="str">
        <f t="shared" si="96"/>
        <v>High</v>
      </c>
      <c r="W394" s="34">
        <v>0.357</v>
      </c>
      <c r="X394" s="24" t="str">
        <f t="shared" si="97"/>
        <v>High Discount</v>
      </c>
      <c r="Y394" s="36">
        <f>IF(W394&lt;=0.25,W394,'10. Whatif Control pannel'!$B$2)</f>
        <v>0.23</v>
      </c>
      <c r="Z394" s="24">
        <v>35</v>
      </c>
      <c r="AA394" s="13">
        <f>(1+'10. Whatif Control pannel'!$B$10)*Z394</f>
        <v>42</v>
      </c>
      <c r="AB394" s="3">
        <f t="shared" si="98"/>
        <v>48097.91105</v>
      </c>
      <c r="AC394" s="3">
        <f t="shared" si="103"/>
        <v>77411.455968</v>
      </c>
      <c r="AD394" s="3">
        <f t="shared" si="99"/>
        <v>39621.05</v>
      </c>
      <c r="AE394" s="3">
        <f t="shared" si="100"/>
        <v>8476.86105000001</v>
      </c>
      <c r="AF394" s="3">
        <f t="shared" si="104"/>
        <v>37790.405968</v>
      </c>
      <c r="AG394">
        <f t="shared" si="101"/>
        <v>0.176241771522841</v>
      </c>
    </row>
    <row r="395" spans="1:33">
      <c r="A395" t="s">
        <v>887</v>
      </c>
      <c r="B395" s="20">
        <v>45360</v>
      </c>
      <c r="C395" s="2">
        <f t="shared" si="90"/>
        <v>3</v>
      </c>
      <c r="D395" s="21">
        <f t="shared" si="102"/>
        <v>45360</v>
      </c>
      <c r="E395" s="19" t="str">
        <f t="shared" si="91"/>
        <v>Quarter 1</v>
      </c>
      <c r="F395" s="19">
        <v>45377</v>
      </c>
      <c r="G395" s="19">
        <f t="shared" si="92"/>
        <v>45377</v>
      </c>
      <c r="H395" s="22">
        <f t="shared" si="93"/>
        <v>17</v>
      </c>
      <c r="I395" t="str">
        <f t="shared" si="94"/>
        <v>Delayed </v>
      </c>
      <c r="J395" t="s">
        <v>52</v>
      </c>
      <c r="K395" t="s">
        <v>122</v>
      </c>
      <c r="L395" t="s">
        <v>167</v>
      </c>
      <c r="M395" t="s">
        <v>27</v>
      </c>
      <c r="N395" t="s">
        <v>98</v>
      </c>
      <c r="O395" t="s">
        <v>34</v>
      </c>
      <c r="P395" t="s">
        <v>42</v>
      </c>
      <c r="Q395" t="s">
        <v>888</v>
      </c>
      <c r="R395" s="3">
        <v>1137.41</v>
      </c>
      <c r="S395" s="3">
        <v>1680.93</v>
      </c>
      <c r="T395" s="3">
        <f t="shared" si="95"/>
        <v>1680.93</v>
      </c>
      <c r="U395" s="3">
        <f>(1+'10. Whatif Control pannel'!$B$6)*T395</f>
        <v>1882.6416</v>
      </c>
      <c r="V395" s="3" t="str">
        <f t="shared" si="96"/>
        <v>High</v>
      </c>
      <c r="W395" s="34">
        <v>0.254</v>
      </c>
      <c r="X395" s="24" t="str">
        <f t="shared" si="97"/>
        <v>High Discount</v>
      </c>
      <c r="Y395" s="36">
        <f>IF(W395&lt;=0.25,W395,'10. Whatif Control pannel'!$B$2)</f>
        <v>0.23</v>
      </c>
      <c r="Z395" s="24">
        <v>9</v>
      </c>
      <c r="AA395" s="13">
        <f>(1+'10. Whatif Control pannel'!$B$10)*Z395</f>
        <v>10.8</v>
      </c>
      <c r="AB395" s="3">
        <f t="shared" si="98"/>
        <v>11285.76402</v>
      </c>
      <c r="AC395" s="3">
        <f t="shared" si="103"/>
        <v>15656.0475456</v>
      </c>
      <c r="AD395" s="3">
        <f t="shared" si="99"/>
        <v>10236.69</v>
      </c>
      <c r="AE395" s="3">
        <f t="shared" si="100"/>
        <v>1049.07402</v>
      </c>
      <c r="AF395" s="3">
        <f t="shared" si="104"/>
        <v>5419.3575456</v>
      </c>
      <c r="AG395">
        <f t="shared" si="101"/>
        <v>0.0929555161831215</v>
      </c>
    </row>
    <row r="396" spans="1:33">
      <c r="A396" t="s">
        <v>889</v>
      </c>
      <c r="B396" s="20">
        <v>45075</v>
      </c>
      <c r="C396" s="2">
        <f t="shared" si="90"/>
        <v>5</v>
      </c>
      <c r="D396" s="21">
        <f t="shared" si="102"/>
        <v>45075</v>
      </c>
      <c r="E396" s="19" t="str">
        <f t="shared" si="91"/>
        <v>Quarter 2</v>
      </c>
      <c r="F396" s="19">
        <v>45097</v>
      </c>
      <c r="G396" s="19">
        <f t="shared" si="92"/>
        <v>45097</v>
      </c>
      <c r="H396" s="22">
        <f t="shared" si="93"/>
        <v>22</v>
      </c>
      <c r="I396" t="str">
        <f t="shared" si="94"/>
        <v>Delayed </v>
      </c>
      <c r="J396" t="s">
        <v>78</v>
      </c>
      <c r="K396" t="s">
        <v>108</v>
      </c>
      <c r="L396" t="s">
        <v>152</v>
      </c>
      <c r="M396" t="s">
        <v>62</v>
      </c>
      <c r="N396" t="s">
        <v>98</v>
      </c>
      <c r="O396" t="s">
        <v>95</v>
      </c>
      <c r="P396" t="s">
        <v>22</v>
      </c>
      <c r="Q396" t="s">
        <v>890</v>
      </c>
      <c r="R396" s="3">
        <v>1295.39</v>
      </c>
      <c r="S396" s="3">
        <v>2905.06</v>
      </c>
      <c r="T396" s="3">
        <f t="shared" si="95"/>
        <v>2905.06</v>
      </c>
      <c r="U396" s="3">
        <f>(1+'10. Whatif Control pannel'!$B$6)*T396</f>
        <v>3253.6672</v>
      </c>
      <c r="V396" s="3" t="str">
        <f t="shared" si="96"/>
        <v>High</v>
      </c>
      <c r="W396" s="34">
        <v>0.148</v>
      </c>
      <c r="X396" s="24" t="str">
        <f t="shared" si="97"/>
        <v>Okay</v>
      </c>
      <c r="Y396" s="36">
        <f>IF(W396&lt;=0.25,W396,'10. Whatif Control pannel'!$B$2)</f>
        <v>0.148</v>
      </c>
      <c r="Z396" s="24">
        <v>8</v>
      </c>
      <c r="AA396" s="13">
        <f>(1+'10. Whatif Control pannel'!$B$10)*Z396</f>
        <v>9.6</v>
      </c>
      <c r="AB396" s="3">
        <f t="shared" si="98"/>
        <v>19800.88896</v>
      </c>
      <c r="AC396" s="3">
        <f t="shared" si="103"/>
        <v>26612.39476224</v>
      </c>
      <c r="AD396" s="3">
        <f t="shared" si="99"/>
        <v>10363.12</v>
      </c>
      <c r="AE396" s="3">
        <f t="shared" si="100"/>
        <v>9437.76896</v>
      </c>
      <c r="AF396" s="3">
        <f t="shared" si="104"/>
        <v>16249.27476224</v>
      </c>
      <c r="AG396">
        <f t="shared" si="101"/>
        <v>0.476633598575566</v>
      </c>
    </row>
    <row r="397" spans="1:33">
      <c r="A397" t="s">
        <v>891</v>
      </c>
      <c r="B397" s="20">
        <v>45804</v>
      </c>
      <c r="C397" s="2">
        <f t="shared" si="90"/>
        <v>5</v>
      </c>
      <c r="D397" s="21">
        <f t="shared" si="102"/>
        <v>45804</v>
      </c>
      <c r="E397" s="19" t="str">
        <f t="shared" si="91"/>
        <v>Quarter 2</v>
      </c>
      <c r="F397" s="19">
        <v>45816</v>
      </c>
      <c r="G397" s="19">
        <f t="shared" si="92"/>
        <v>45816</v>
      </c>
      <c r="H397" s="22">
        <f t="shared" si="93"/>
        <v>12</v>
      </c>
      <c r="I397" t="str">
        <f t="shared" si="94"/>
        <v>Delayed </v>
      </c>
      <c r="J397" t="s">
        <v>45</v>
      </c>
      <c r="K397" t="s">
        <v>46</v>
      </c>
      <c r="L397" t="s">
        <v>47</v>
      </c>
      <c r="M397" t="s">
        <v>19</v>
      </c>
      <c r="N397" t="s">
        <v>20</v>
      </c>
      <c r="O397" t="s">
        <v>92</v>
      </c>
      <c r="P397" t="s">
        <v>81</v>
      </c>
      <c r="Q397" t="s">
        <v>892</v>
      </c>
      <c r="R397" s="3">
        <v>653.6</v>
      </c>
      <c r="S397" s="3">
        <v>842.09</v>
      </c>
      <c r="T397" s="3">
        <f t="shared" si="95"/>
        <v>842.09</v>
      </c>
      <c r="U397" s="3">
        <f>(1+'10. Whatif Control pannel'!$B$6)*T397</f>
        <v>943.1408</v>
      </c>
      <c r="V397" s="3" t="str">
        <f t="shared" si="96"/>
        <v>Low</v>
      </c>
      <c r="W397" s="34">
        <v>0.098</v>
      </c>
      <c r="X397" s="24" t="str">
        <f t="shared" si="97"/>
        <v>Okay</v>
      </c>
      <c r="Y397" s="36">
        <f>IF(W397&lt;=0.25,W397,'10. Whatif Control pannel'!$B$2)</f>
        <v>0.098</v>
      </c>
      <c r="Z397" s="24">
        <v>19</v>
      </c>
      <c r="AA397" s="13">
        <f>(1+'10. Whatif Control pannel'!$B$10)*Z397</f>
        <v>22.8</v>
      </c>
      <c r="AB397" s="3">
        <f t="shared" si="98"/>
        <v>14431.73842</v>
      </c>
      <c r="AC397" s="3">
        <f t="shared" si="103"/>
        <v>19396.25643648</v>
      </c>
      <c r="AD397" s="3">
        <f t="shared" si="99"/>
        <v>12418.4</v>
      </c>
      <c r="AE397" s="3">
        <f t="shared" si="100"/>
        <v>2013.33842</v>
      </c>
      <c r="AF397" s="3">
        <f t="shared" si="104"/>
        <v>6977.85643648</v>
      </c>
      <c r="AG397">
        <f t="shared" si="101"/>
        <v>0.139507685173246</v>
      </c>
    </row>
    <row r="398" spans="1:33">
      <c r="A398" t="s">
        <v>893</v>
      </c>
      <c r="B398" s="20">
        <v>45890</v>
      </c>
      <c r="C398" s="2">
        <f t="shared" si="90"/>
        <v>8</v>
      </c>
      <c r="D398" s="21">
        <f t="shared" si="102"/>
        <v>45890</v>
      </c>
      <c r="E398" s="19" t="str">
        <f t="shared" si="91"/>
        <v>Quarter 3</v>
      </c>
      <c r="F398" s="19">
        <v>45914</v>
      </c>
      <c r="G398" s="19">
        <f t="shared" si="92"/>
        <v>45914</v>
      </c>
      <c r="H398" s="22">
        <f t="shared" si="93"/>
        <v>24</v>
      </c>
      <c r="I398" t="str">
        <f t="shared" si="94"/>
        <v>Delayed </v>
      </c>
      <c r="J398" t="s">
        <v>78</v>
      </c>
      <c r="K398" t="s">
        <v>79</v>
      </c>
      <c r="L398" t="s">
        <v>80</v>
      </c>
      <c r="M398" t="s">
        <v>39</v>
      </c>
      <c r="N398" t="s">
        <v>28</v>
      </c>
      <c r="O398" t="s">
        <v>75</v>
      </c>
      <c r="P398" t="s">
        <v>64</v>
      </c>
      <c r="Q398" t="s">
        <v>894</v>
      </c>
      <c r="R398" s="3">
        <v>1397.67</v>
      </c>
      <c r="S398" s="3">
        <v>3131.37</v>
      </c>
      <c r="T398" s="3">
        <f t="shared" si="95"/>
        <v>3131.37</v>
      </c>
      <c r="U398" s="3">
        <f>(1+'10. Whatif Control pannel'!$B$6)*T398</f>
        <v>3507.1344</v>
      </c>
      <c r="V398" s="3" t="str">
        <f t="shared" si="96"/>
        <v>High</v>
      </c>
      <c r="W398" s="34">
        <v>0.103</v>
      </c>
      <c r="X398" s="24" t="str">
        <f t="shared" si="97"/>
        <v>Okay</v>
      </c>
      <c r="Y398" s="36">
        <f>IF(W398&lt;=0.25,W398,'10. Whatif Control pannel'!$B$2)</f>
        <v>0.103</v>
      </c>
      <c r="Z398" s="24">
        <v>20</v>
      </c>
      <c r="AA398" s="13">
        <f>(1+'10. Whatif Control pannel'!$B$10)*Z398</f>
        <v>24</v>
      </c>
      <c r="AB398" s="3">
        <f t="shared" si="98"/>
        <v>56176.7778</v>
      </c>
      <c r="AC398" s="3">
        <f t="shared" si="103"/>
        <v>75501.5893632</v>
      </c>
      <c r="AD398" s="3">
        <f t="shared" si="99"/>
        <v>27953.4</v>
      </c>
      <c r="AE398" s="3">
        <f t="shared" si="100"/>
        <v>28223.3778</v>
      </c>
      <c r="AF398" s="3">
        <f t="shared" si="104"/>
        <v>47548.1893632</v>
      </c>
      <c r="AG398">
        <f t="shared" si="101"/>
        <v>0.502402930628748</v>
      </c>
    </row>
    <row r="399" spans="1:33">
      <c r="A399" t="s">
        <v>895</v>
      </c>
      <c r="B399" s="20">
        <v>45638</v>
      </c>
      <c r="C399" s="2">
        <f t="shared" si="90"/>
        <v>12</v>
      </c>
      <c r="D399" s="21">
        <f t="shared" si="102"/>
        <v>45638</v>
      </c>
      <c r="E399" s="19" t="str">
        <f t="shared" si="91"/>
        <v>Quarter 4</v>
      </c>
      <c r="F399" s="19">
        <v>45646</v>
      </c>
      <c r="G399" s="19">
        <f t="shared" si="92"/>
        <v>45646</v>
      </c>
      <c r="H399" s="22">
        <f t="shared" si="93"/>
        <v>8</v>
      </c>
      <c r="I399" t="str">
        <f t="shared" si="94"/>
        <v>Delayed </v>
      </c>
      <c r="J399" t="s">
        <v>45</v>
      </c>
      <c r="K399" t="s">
        <v>46</v>
      </c>
      <c r="L399" t="s">
        <v>214</v>
      </c>
      <c r="M399" t="s">
        <v>19</v>
      </c>
      <c r="N399" t="s">
        <v>20</v>
      </c>
      <c r="O399" t="s">
        <v>56</v>
      </c>
      <c r="P399" t="s">
        <v>57</v>
      </c>
      <c r="Q399" t="s">
        <v>896</v>
      </c>
      <c r="R399" s="3">
        <v>1202.47</v>
      </c>
      <c r="S399" s="3">
        <v>1444.72</v>
      </c>
      <c r="T399" s="3">
        <f t="shared" si="95"/>
        <v>1444.72</v>
      </c>
      <c r="U399" s="3">
        <f>(1+'10. Whatif Control pannel'!$B$6)*T399</f>
        <v>1618.0864</v>
      </c>
      <c r="V399" s="3" t="str">
        <f t="shared" si="96"/>
        <v>Medium</v>
      </c>
      <c r="W399" s="34">
        <v>0.241</v>
      </c>
      <c r="X399" s="24" t="str">
        <f t="shared" si="97"/>
        <v>High Discount</v>
      </c>
      <c r="Y399" s="36">
        <f>IF(W399&lt;=0.25,W399,'10. Whatif Control pannel'!$B$2)</f>
        <v>0.241</v>
      </c>
      <c r="Z399" s="24">
        <v>17</v>
      </c>
      <c r="AA399" s="13">
        <f>(1+'10. Whatif Control pannel'!$B$10)*Z399</f>
        <v>20.4</v>
      </c>
      <c r="AB399" s="3">
        <f t="shared" si="98"/>
        <v>18641.22216</v>
      </c>
      <c r="AC399" s="3">
        <f t="shared" si="103"/>
        <v>25053.80258304</v>
      </c>
      <c r="AD399" s="3">
        <f t="shared" si="99"/>
        <v>20441.99</v>
      </c>
      <c r="AE399" s="3">
        <f t="shared" si="100"/>
        <v>-1800.76784</v>
      </c>
      <c r="AF399" s="3">
        <f t="shared" si="104"/>
        <v>4611.81258304</v>
      </c>
      <c r="AG399">
        <f t="shared" si="101"/>
        <v>-0.0966013829213438</v>
      </c>
    </row>
    <row r="400" spans="1:33">
      <c r="A400" t="s">
        <v>897</v>
      </c>
      <c r="B400" s="20">
        <v>45914</v>
      </c>
      <c r="C400" s="2">
        <f t="shared" si="90"/>
        <v>9</v>
      </c>
      <c r="D400" s="21">
        <f t="shared" si="102"/>
        <v>45914</v>
      </c>
      <c r="E400" s="19" t="str">
        <f t="shared" si="91"/>
        <v>Quarter 3</v>
      </c>
      <c r="F400" s="19">
        <v>45923</v>
      </c>
      <c r="G400" s="19">
        <f t="shared" si="92"/>
        <v>45923</v>
      </c>
      <c r="H400" s="22">
        <f t="shared" si="93"/>
        <v>9</v>
      </c>
      <c r="I400" t="str">
        <f t="shared" si="94"/>
        <v>Delayed </v>
      </c>
      <c r="J400" t="s">
        <v>16</v>
      </c>
      <c r="K400" t="s">
        <v>148</v>
      </c>
      <c r="L400" t="s">
        <v>172</v>
      </c>
      <c r="M400" t="s">
        <v>39</v>
      </c>
      <c r="N400" t="s">
        <v>28</v>
      </c>
      <c r="O400" t="s">
        <v>145</v>
      </c>
      <c r="P400" t="s">
        <v>22</v>
      </c>
      <c r="Q400" t="s">
        <v>898</v>
      </c>
      <c r="R400" s="3">
        <v>1310.3</v>
      </c>
      <c r="S400" s="3">
        <v>2875.8</v>
      </c>
      <c r="T400" s="3">
        <f t="shared" si="95"/>
        <v>2875.8</v>
      </c>
      <c r="U400" s="3">
        <f>(1+'10. Whatif Control pannel'!$B$6)*T400</f>
        <v>3220.896</v>
      </c>
      <c r="V400" s="3" t="str">
        <f t="shared" si="96"/>
        <v>High</v>
      </c>
      <c r="W400" s="34">
        <v>0.083</v>
      </c>
      <c r="X400" s="24" t="str">
        <f t="shared" si="97"/>
        <v>Okay</v>
      </c>
      <c r="Y400" s="36">
        <f>IF(W400&lt;=0.25,W400,'10. Whatif Control pannel'!$B$2)</f>
        <v>0.083</v>
      </c>
      <c r="Z400" s="24">
        <v>5</v>
      </c>
      <c r="AA400" s="13">
        <f>(1+'10. Whatif Control pannel'!$B$10)*Z400</f>
        <v>6</v>
      </c>
      <c r="AB400" s="3">
        <f t="shared" si="98"/>
        <v>13185.543</v>
      </c>
      <c r="AC400" s="3">
        <f t="shared" si="103"/>
        <v>17721.369792</v>
      </c>
      <c r="AD400" s="3">
        <f t="shared" si="99"/>
        <v>6551.5</v>
      </c>
      <c r="AE400" s="3">
        <f t="shared" si="100"/>
        <v>6634.043</v>
      </c>
      <c r="AF400" s="3">
        <f t="shared" si="104"/>
        <v>11169.869792</v>
      </c>
      <c r="AG400">
        <f t="shared" si="101"/>
        <v>0.503130056911574</v>
      </c>
    </row>
    <row r="401" spans="1:33">
      <c r="A401" t="s">
        <v>899</v>
      </c>
      <c r="B401" s="20">
        <v>45541</v>
      </c>
      <c r="C401" s="2">
        <f t="shared" si="90"/>
        <v>9</v>
      </c>
      <c r="D401" s="21">
        <f t="shared" si="102"/>
        <v>45541</v>
      </c>
      <c r="E401" s="19" t="str">
        <f t="shared" si="91"/>
        <v>Quarter 3</v>
      </c>
      <c r="F401" s="19">
        <v>45569</v>
      </c>
      <c r="G401" s="19">
        <f t="shared" si="92"/>
        <v>45569</v>
      </c>
      <c r="H401" s="22">
        <f t="shared" si="93"/>
        <v>28</v>
      </c>
      <c r="I401" t="str">
        <f t="shared" si="94"/>
        <v>Delayed </v>
      </c>
      <c r="J401" t="s">
        <v>16</v>
      </c>
      <c r="K401" t="s">
        <v>148</v>
      </c>
      <c r="L401" t="s">
        <v>258</v>
      </c>
      <c r="M401" t="s">
        <v>19</v>
      </c>
      <c r="N401" t="s">
        <v>40</v>
      </c>
      <c r="O401" t="s">
        <v>145</v>
      </c>
      <c r="P401" t="s">
        <v>64</v>
      </c>
      <c r="Q401" t="s">
        <v>900</v>
      </c>
      <c r="R401" s="3">
        <v>1174.17</v>
      </c>
      <c r="S401" s="3">
        <v>1641.61</v>
      </c>
      <c r="T401" s="3">
        <f t="shared" si="95"/>
        <v>1641.61</v>
      </c>
      <c r="U401" s="3">
        <f>(1+'10. Whatif Control pannel'!$B$6)*T401</f>
        <v>1838.6032</v>
      </c>
      <c r="V401" s="3" t="str">
        <f t="shared" si="96"/>
        <v>Medium</v>
      </c>
      <c r="W401" s="34">
        <v>0.122</v>
      </c>
      <c r="X401" s="24" t="str">
        <f t="shared" si="97"/>
        <v>Okay</v>
      </c>
      <c r="Y401" s="36">
        <f>IF(W401&lt;=0.25,W401,'10. Whatif Control pannel'!$B$2)</f>
        <v>0.122</v>
      </c>
      <c r="Z401" s="24">
        <v>9</v>
      </c>
      <c r="AA401" s="13">
        <f>(1+'10. Whatif Control pannel'!$B$10)*Z401</f>
        <v>10.8</v>
      </c>
      <c r="AB401" s="3">
        <f t="shared" si="98"/>
        <v>12972.00222</v>
      </c>
      <c r="AC401" s="3">
        <f t="shared" si="103"/>
        <v>17434.37098368</v>
      </c>
      <c r="AD401" s="3">
        <f t="shared" si="99"/>
        <v>10567.53</v>
      </c>
      <c r="AE401" s="3">
        <f t="shared" si="100"/>
        <v>2404.47222</v>
      </c>
      <c r="AF401" s="3">
        <f t="shared" si="104"/>
        <v>6866.84098368</v>
      </c>
      <c r="AG401">
        <f t="shared" si="101"/>
        <v>0.185358603800794</v>
      </c>
    </row>
    <row r="402" spans="1:33">
      <c r="A402" t="s">
        <v>901</v>
      </c>
      <c r="B402" s="20">
        <v>45759</v>
      </c>
      <c r="C402" s="2">
        <f t="shared" si="90"/>
        <v>4</v>
      </c>
      <c r="D402" s="21">
        <f t="shared" si="102"/>
        <v>45759</v>
      </c>
      <c r="E402" s="19" t="str">
        <f t="shared" si="91"/>
        <v>Quarter 2</v>
      </c>
      <c r="F402" s="19">
        <v>45777</v>
      </c>
      <c r="G402" s="19">
        <f t="shared" si="92"/>
        <v>45777</v>
      </c>
      <c r="H402" s="22">
        <f t="shared" si="93"/>
        <v>18</v>
      </c>
      <c r="I402" t="str">
        <f t="shared" si="94"/>
        <v>Delayed </v>
      </c>
      <c r="J402" t="s">
        <v>16</v>
      </c>
      <c r="K402" t="s">
        <v>17</v>
      </c>
      <c r="L402" t="s">
        <v>18</v>
      </c>
      <c r="M402" t="s">
        <v>19</v>
      </c>
      <c r="N402" t="s">
        <v>40</v>
      </c>
      <c r="O402" t="s">
        <v>84</v>
      </c>
      <c r="P402" t="s">
        <v>35</v>
      </c>
      <c r="Q402" t="s">
        <v>902</v>
      </c>
      <c r="R402" s="3">
        <v>1119.04</v>
      </c>
      <c r="S402" s="3">
        <v>1299.02</v>
      </c>
      <c r="T402" s="3">
        <f t="shared" si="95"/>
        <v>1299.02</v>
      </c>
      <c r="U402" s="3">
        <f>(1+'10. Whatif Control pannel'!$B$6)*T402</f>
        <v>1454.9024</v>
      </c>
      <c r="V402" s="3" t="str">
        <f t="shared" si="96"/>
        <v>Medium</v>
      </c>
      <c r="W402" s="34">
        <v>0.025</v>
      </c>
      <c r="X402" s="24" t="str">
        <f t="shared" si="97"/>
        <v>Okay</v>
      </c>
      <c r="Y402" s="36">
        <f>IF(W402&lt;=0.25,W402,'10. Whatif Control pannel'!$B$2)</f>
        <v>0.025</v>
      </c>
      <c r="Z402" s="24">
        <v>14</v>
      </c>
      <c r="AA402" s="13">
        <f>(1+'10. Whatif Control pannel'!$B$10)*Z402</f>
        <v>16.8</v>
      </c>
      <c r="AB402" s="3">
        <f t="shared" si="98"/>
        <v>17731.623</v>
      </c>
      <c r="AC402" s="3">
        <f t="shared" si="103"/>
        <v>23831.301312</v>
      </c>
      <c r="AD402" s="3">
        <f t="shared" si="99"/>
        <v>15666.56</v>
      </c>
      <c r="AE402" s="3">
        <f t="shared" si="100"/>
        <v>2065.063</v>
      </c>
      <c r="AF402" s="3">
        <f t="shared" si="104"/>
        <v>8164.741312</v>
      </c>
      <c r="AG402">
        <f t="shared" si="101"/>
        <v>0.116462153520859</v>
      </c>
    </row>
    <row r="403" spans="1:33">
      <c r="A403" t="s">
        <v>903</v>
      </c>
      <c r="B403" s="20">
        <v>45516</v>
      </c>
      <c r="C403" s="2">
        <f t="shared" si="90"/>
        <v>8</v>
      </c>
      <c r="D403" s="21">
        <f t="shared" si="102"/>
        <v>45516</v>
      </c>
      <c r="E403" s="19" t="str">
        <f t="shared" si="91"/>
        <v>Quarter 3</v>
      </c>
      <c r="F403" s="19">
        <v>45519</v>
      </c>
      <c r="G403" s="19">
        <f t="shared" si="92"/>
        <v>45519</v>
      </c>
      <c r="H403" s="22">
        <f t="shared" si="93"/>
        <v>3</v>
      </c>
      <c r="I403" t="str">
        <f t="shared" si="94"/>
        <v>Ontime</v>
      </c>
      <c r="J403" t="s">
        <v>52</v>
      </c>
      <c r="K403" t="s">
        <v>122</v>
      </c>
      <c r="L403" t="s">
        <v>123</v>
      </c>
      <c r="M403" t="s">
        <v>19</v>
      </c>
      <c r="N403" t="s">
        <v>40</v>
      </c>
      <c r="O403" t="s">
        <v>145</v>
      </c>
      <c r="P403" t="s">
        <v>30</v>
      </c>
      <c r="Q403" t="s">
        <v>904</v>
      </c>
      <c r="R403" s="3">
        <v>850.7</v>
      </c>
      <c r="S403" s="3">
        <v>1118.56</v>
      </c>
      <c r="T403" s="3">
        <f t="shared" si="95"/>
        <v>1118.56</v>
      </c>
      <c r="U403" s="3">
        <f>(1+'10. Whatif Control pannel'!$B$6)*T403</f>
        <v>1252.7872</v>
      </c>
      <c r="V403" s="3" t="str">
        <f t="shared" si="96"/>
        <v>Medium</v>
      </c>
      <c r="W403" s="34">
        <v>0.18</v>
      </c>
      <c r="X403" s="24" t="str">
        <f t="shared" si="97"/>
        <v>Okay</v>
      </c>
      <c r="Y403" s="36">
        <f>IF(W403&lt;=0.25,W403,'10. Whatif Control pannel'!$B$2)</f>
        <v>0.18</v>
      </c>
      <c r="Z403" s="24">
        <v>19</v>
      </c>
      <c r="AA403" s="13">
        <f>(1+'10. Whatif Control pannel'!$B$10)*Z403</f>
        <v>22.8</v>
      </c>
      <c r="AB403" s="3">
        <f t="shared" si="98"/>
        <v>17427.1648</v>
      </c>
      <c r="AC403" s="3">
        <f t="shared" si="103"/>
        <v>23422.1094912</v>
      </c>
      <c r="AD403" s="3">
        <f t="shared" si="99"/>
        <v>16163.3</v>
      </c>
      <c r="AE403" s="3">
        <f t="shared" si="100"/>
        <v>1263.8648</v>
      </c>
      <c r="AF403" s="3">
        <f t="shared" si="104"/>
        <v>7258.8094912</v>
      </c>
      <c r="AG403">
        <f t="shared" si="101"/>
        <v>0.0725226859620907</v>
      </c>
    </row>
    <row r="404" spans="1:33">
      <c r="A404" t="s">
        <v>905</v>
      </c>
      <c r="B404" s="20">
        <v>45601</v>
      </c>
      <c r="C404" s="2">
        <f t="shared" si="90"/>
        <v>11</v>
      </c>
      <c r="D404" s="21">
        <f t="shared" si="102"/>
        <v>45601</v>
      </c>
      <c r="E404" s="19" t="str">
        <f t="shared" si="91"/>
        <v>Quarter 4</v>
      </c>
      <c r="F404" s="19">
        <v>45604</v>
      </c>
      <c r="G404" s="19">
        <f t="shared" si="92"/>
        <v>45604</v>
      </c>
      <c r="H404" s="22">
        <f t="shared" si="93"/>
        <v>3</v>
      </c>
      <c r="I404" t="str">
        <f t="shared" si="94"/>
        <v>Ontime</v>
      </c>
      <c r="J404" t="s">
        <v>52</v>
      </c>
      <c r="K404" t="s">
        <v>53</v>
      </c>
      <c r="L404" t="s">
        <v>54</v>
      </c>
      <c r="M404" t="s">
        <v>27</v>
      </c>
      <c r="N404" t="s">
        <v>40</v>
      </c>
      <c r="O404" t="s">
        <v>68</v>
      </c>
      <c r="P404" t="s">
        <v>22</v>
      </c>
      <c r="Q404" t="s">
        <v>906</v>
      </c>
      <c r="R404" s="3">
        <v>1020.4</v>
      </c>
      <c r="S404" s="3">
        <v>1184.71</v>
      </c>
      <c r="T404" s="3">
        <f t="shared" si="95"/>
        <v>1184.71</v>
      </c>
      <c r="U404" s="3">
        <f>(1+'10. Whatif Control pannel'!$B$6)*T404</f>
        <v>1326.8752</v>
      </c>
      <c r="V404" s="3" t="str">
        <f t="shared" si="96"/>
        <v>Medium</v>
      </c>
      <c r="W404" s="34">
        <v>0.106</v>
      </c>
      <c r="X404" s="24" t="str">
        <f t="shared" si="97"/>
        <v>Okay</v>
      </c>
      <c r="Y404" s="36">
        <f>IF(W404&lt;=0.25,W404,'10. Whatif Control pannel'!$B$2)</f>
        <v>0.106</v>
      </c>
      <c r="Z404" s="24">
        <v>16</v>
      </c>
      <c r="AA404" s="13">
        <f>(1+'10. Whatif Control pannel'!$B$10)*Z404</f>
        <v>19.2</v>
      </c>
      <c r="AB404" s="3">
        <f t="shared" si="98"/>
        <v>16946.09184</v>
      </c>
      <c r="AC404" s="3">
        <f t="shared" si="103"/>
        <v>22775.54743296</v>
      </c>
      <c r="AD404" s="3">
        <f t="shared" si="99"/>
        <v>16326.4</v>
      </c>
      <c r="AE404" s="3">
        <f t="shared" si="100"/>
        <v>619.691840000001</v>
      </c>
      <c r="AF404" s="3">
        <f t="shared" si="104"/>
        <v>6449.14743296</v>
      </c>
      <c r="AG404">
        <f t="shared" si="101"/>
        <v>0.0365684221383283</v>
      </c>
    </row>
    <row r="405" spans="1:33">
      <c r="A405" t="s">
        <v>907</v>
      </c>
      <c r="B405" s="20">
        <v>45497</v>
      </c>
      <c r="C405" s="2">
        <f t="shared" si="90"/>
        <v>7</v>
      </c>
      <c r="D405" s="21">
        <f t="shared" si="102"/>
        <v>45497</v>
      </c>
      <c r="E405" s="19" t="str">
        <f t="shared" si="91"/>
        <v>Quarter 3</v>
      </c>
      <c r="F405" s="19">
        <v>45512</v>
      </c>
      <c r="G405" s="19">
        <f t="shared" si="92"/>
        <v>45512</v>
      </c>
      <c r="H405" s="22">
        <f t="shared" si="93"/>
        <v>15</v>
      </c>
      <c r="I405" t="str">
        <f t="shared" si="94"/>
        <v>Delayed </v>
      </c>
      <c r="J405" t="s">
        <v>78</v>
      </c>
      <c r="K405" t="s">
        <v>90</v>
      </c>
      <c r="L405" t="s">
        <v>91</v>
      </c>
      <c r="M405" t="s">
        <v>105</v>
      </c>
      <c r="N405" t="s">
        <v>40</v>
      </c>
      <c r="O405" t="s">
        <v>92</v>
      </c>
      <c r="P405" t="s">
        <v>57</v>
      </c>
      <c r="Q405" t="s">
        <v>908</v>
      </c>
      <c r="R405" s="3">
        <v>501.5</v>
      </c>
      <c r="S405" s="3">
        <v>1201.47</v>
      </c>
      <c r="T405" s="3">
        <f t="shared" si="95"/>
        <v>1201.47</v>
      </c>
      <c r="U405" s="3">
        <f>(1+'10. Whatif Control pannel'!$B$6)*T405</f>
        <v>1345.6464</v>
      </c>
      <c r="V405" s="3" t="str">
        <f t="shared" si="96"/>
        <v>Medium</v>
      </c>
      <c r="W405" s="34">
        <v>0.126</v>
      </c>
      <c r="X405" s="24" t="str">
        <f t="shared" si="97"/>
        <v>Okay</v>
      </c>
      <c r="Y405" s="36">
        <f>IF(W405&lt;=0.25,W405,'10. Whatif Control pannel'!$B$2)</f>
        <v>0.126</v>
      </c>
      <c r="Z405" s="24">
        <v>5</v>
      </c>
      <c r="AA405" s="13">
        <f>(1+'10. Whatif Control pannel'!$B$10)*Z405</f>
        <v>6</v>
      </c>
      <c r="AB405" s="3">
        <f t="shared" si="98"/>
        <v>5250.4239</v>
      </c>
      <c r="AC405" s="3">
        <f t="shared" si="103"/>
        <v>7056.5697216</v>
      </c>
      <c r="AD405" s="3">
        <f t="shared" si="99"/>
        <v>2507.5</v>
      </c>
      <c r="AE405" s="3">
        <f t="shared" si="100"/>
        <v>2742.9239</v>
      </c>
      <c r="AF405" s="3">
        <f t="shared" si="104"/>
        <v>4549.0697216</v>
      </c>
      <c r="AG405">
        <f t="shared" si="101"/>
        <v>0.522419513593941</v>
      </c>
    </row>
    <row r="406" spans="1:33">
      <c r="A406" t="s">
        <v>909</v>
      </c>
      <c r="B406" s="20">
        <v>45677</v>
      </c>
      <c r="C406" s="2">
        <f t="shared" si="90"/>
        <v>1</v>
      </c>
      <c r="D406" s="21">
        <f t="shared" si="102"/>
        <v>45677</v>
      </c>
      <c r="E406" s="19" t="str">
        <f t="shared" si="91"/>
        <v>Quarter 1</v>
      </c>
      <c r="F406" s="19">
        <v>45691</v>
      </c>
      <c r="G406" s="19">
        <f t="shared" si="92"/>
        <v>45691</v>
      </c>
      <c r="H406" s="22">
        <f t="shared" si="93"/>
        <v>14</v>
      </c>
      <c r="I406" t="str">
        <f t="shared" si="94"/>
        <v>Delayed </v>
      </c>
      <c r="J406" t="s">
        <v>52</v>
      </c>
      <c r="K406" t="s">
        <v>73</v>
      </c>
      <c r="L406" t="s">
        <v>87</v>
      </c>
      <c r="M406" t="s">
        <v>105</v>
      </c>
      <c r="N406" t="s">
        <v>40</v>
      </c>
      <c r="O406" t="s">
        <v>84</v>
      </c>
      <c r="P406" t="s">
        <v>22</v>
      </c>
      <c r="Q406" t="s">
        <v>910</v>
      </c>
      <c r="R406" s="3">
        <v>974.11</v>
      </c>
      <c r="S406" s="3">
        <v>880.99</v>
      </c>
      <c r="T406" s="3">
        <f t="shared" si="95"/>
        <v>880.99</v>
      </c>
      <c r="U406" s="3">
        <f>(1+'10. Whatif Control pannel'!$B$6)*T406</f>
        <v>986.7088</v>
      </c>
      <c r="V406" s="3" t="str">
        <f t="shared" si="96"/>
        <v>Medium</v>
      </c>
      <c r="W406" s="34">
        <v>0.111</v>
      </c>
      <c r="X406" s="24" t="str">
        <f t="shared" si="97"/>
        <v>Okay</v>
      </c>
      <c r="Y406" s="36">
        <f>IF(W406&lt;=0.25,W406,'10. Whatif Control pannel'!$B$2)</f>
        <v>0.111</v>
      </c>
      <c r="Z406" s="24">
        <v>10</v>
      </c>
      <c r="AA406" s="13">
        <f>(1+'10. Whatif Control pannel'!$B$10)*Z406</f>
        <v>12</v>
      </c>
      <c r="AB406" s="3">
        <f t="shared" si="98"/>
        <v>7832.0011</v>
      </c>
      <c r="AC406" s="3">
        <f t="shared" si="103"/>
        <v>10526.2094784</v>
      </c>
      <c r="AD406" s="3">
        <f t="shared" si="99"/>
        <v>9741.1</v>
      </c>
      <c r="AE406" s="3">
        <f t="shared" si="100"/>
        <v>-1909.0989</v>
      </c>
      <c r="AF406" s="3">
        <f t="shared" si="104"/>
        <v>785.1094784</v>
      </c>
      <c r="AG406">
        <f t="shared" si="101"/>
        <v>-0.243756209380512</v>
      </c>
    </row>
    <row r="407" spans="1:33">
      <c r="A407" t="s">
        <v>911</v>
      </c>
      <c r="B407" s="20">
        <v>44991</v>
      </c>
      <c r="C407" s="2">
        <f t="shared" si="90"/>
        <v>3</v>
      </c>
      <c r="D407" s="21">
        <f t="shared" si="102"/>
        <v>44991</v>
      </c>
      <c r="E407" s="19" t="str">
        <f t="shared" si="91"/>
        <v>Quarter 1</v>
      </c>
      <c r="F407" s="19">
        <v>45020</v>
      </c>
      <c r="G407" s="19">
        <f t="shared" si="92"/>
        <v>45020</v>
      </c>
      <c r="H407" s="22">
        <f t="shared" si="93"/>
        <v>29</v>
      </c>
      <c r="I407" t="str">
        <f t="shared" si="94"/>
        <v>Delayed </v>
      </c>
      <c r="J407" t="s">
        <v>45</v>
      </c>
      <c r="K407" t="s">
        <v>116</v>
      </c>
      <c r="L407" t="s">
        <v>338</v>
      </c>
      <c r="M407" t="s">
        <v>62</v>
      </c>
      <c r="N407" t="s">
        <v>98</v>
      </c>
      <c r="O407" t="s">
        <v>21</v>
      </c>
      <c r="P407" t="s">
        <v>64</v>
      </c>
      <c r="Q407" t="s">
        <v>912</v>
      </c>
      <c r="R407" s="3">
        <v>1126.29</v>
      </c>
      <c r="S407" s="3">
        <v>2050.87</v>
      </c>
      <c r="T407" s="3">
        <f t="shared" si="95"/>
        <v>2050.87</v>
      </c>
      <c r="U407" s="3">
        <f>(1+'10. Whatif Control pannel'!$B$6)*T407</f>
        <v>2296.9744</v>
      </c>
      <c r="V407" s="3" t="str">
        <f t="shared" si="96"/>
        <v>High</v>
      </c>
      <c r="W407" s="34">
        <v>0.064</v>
      </c>
      <c r="X407" s="24" t="str">
        <f t="shared" si="97"/>
        <v>Okay</v>
      </c>
      <c r="Y407" s="36">
        <f>IF(W407&lt;=0.25,W407,'10. Whatif Control pannel'!$B$2)</f>
        <v>0.064</v>
      </c>
      <c r="Z407" s="24">
        <v>7</v>
      </c>
      <c r="AA407" s="13">
        <f>(1+'10. Whatif Control pannel'!$B$10)*Z407</f>
        <v>8.4</v>
      </c>
      <c r="AB407" s="3">
        <f t="shared" si="98"/>
        <v>13437.30024</v>
      </c>
      <c r="AC407" s="3">
        <f t="shared" si="103"/>
        <v>18059.73152256</v>
      </c>
      <c r="AD407" s="3">
        <f t="shared" si="99"/>
        <v>7884.03</v>
      </c>
      <c r="AE407" s="3">
        <f t="shared" si="100"/>
        <v>5553.27024</v>
      </c>
      <c r="AF407" s="3">
        <f t="shared" si="104"/>
        <v>10175.70152256</v>
      </c>
      <c r="AG407">
        <f t="shared" si="101"/>
        <v>0.413272766166904</v>
      </c>
    </row>
    <row r="408" spans="1:33">
      <c r="A408" t="s">
        <v>913</v>
      </c>
      <c r="B408" s="20">
        <v>45646</v>
      </c>
      <c r="C408" s="2">
        <f t="shared" si="90"/>
        <v>12</v>
      </c>
      <c r="D408" s="21">
        <f t="shared" si="102"/>
        <v>45646</v>
      </c>
      <c r="E408" s="19" t="str">
        <f t="shared" si="91"/>
        <v>Quarter 4</v>
      </c>
      <c r="F408" s="19">
        <v>45671</v>
      </c>
      <c r="G408" s="19">
        <f t="shared" si="92"/>
        <v>45671</v>
      </c>
      <c r="H408" s="22">
        <f t="shared" si="93"/>
        <v>25</v>
      </c>
      <c r="I408" t="str">
        <f t="shared" si="94"/>
        <v>Delayed </v>
      </c>
      <c r="J408" t="s">
        <v>45</v>
      </c>
      <c r="K408" t="s">
        <v>60</v>
      </c>
      <c r="L408" t="s">
        <v>141</v>
      </c>
      <c r="M408" t="s">
        <v>62</v>
      </c>
      <c r="N408" t="s">
        <v>20</v>
      </c>
      <c r="O408" t="s">
        <v>110</v>
      </c>
      <c r="P408" t="s">
        <v>30</v>
      </c>
      <c r="Q408" t="s">
        <v>914</v>
      </c>
      <c r="R408" s="3">
        <v>1361.34</v>
      </c>
      <c r="S408" s="3">
        <v>1737.9</v>
      </c>
      <c r="T408" s="3">
        <f t="shared" si="95"/>
        <v>1737.9</v>
      </c>
      <c r="U408" s="3">
        <f>(1+'10. Whatif Control pannel'!$B$6)*T408</f>
        <v>1946.448</v>
      </c>
      <c r="V408" s="3" t="str">
        <f t="shared" si="96"/>
        <v>High</v>
      </c>
      <c r="W408" s="34">
        <v>0.077</v>
      </c>
      <c r="X408" s="24" t="str">
        <f t="shared" si="97"/>
        <v>Okay</v>
      </c>
      <c r="Y408" s="36">
        <f>IF(W408&lt;=0.25,W408,'10. Whatif Control pannel'!$B$2)</f>
        <v>0.077</v>
      </c>
      <c r="Z408" s="24">
        <v>14</v>
      </c>
      <c r="AA408" s="13">
        <f>(1+'10. Whatif Control pannel'!$B$10)*Z408</f>
        <v>16.8</v>
      </c>
      <c r="AB408" s="3">
        <f t="shared" si="98"/>
        <v>22457.1438</v>
      </c>
      <c r="AC408" s="3">
        <f t="shared" si="103"/>
        <v>30182.4012672</v>
      </c>
      <c r="AD408" s="3">
        <f t="shared" si="99"/>
        <v>19058.76</v>
      </c>
      <c r="AE408" s="3">
        <f t="shared" si="100"/>
        <v>3398.3838</v>
      </c>
      <c r="AF408" s="3">
        <f t="shared" si="104"/>
        <v>11123.6412672</v>
      </c>
      <c r="AG408">
        <f t="shared" si="101"/>
        <v>0.151327516547318</v>
      </c>
    </row>
    <row r="409" spans="1:33">
      <c r="A409" t="s">
        <v>915</v>
      </c>
      <c r="B409" s="20">
        <v>45709</v>
      </c>
      <c r="C409" s="2">
        <f t="shared" si="90"/>
        <v>2</v>
      </c>
      <c r="D409" s="21">
        <f t="shared" si="102"/>
        <v>45709</v>
      </c>
      <c r="E409" s="19" t="str">
        <f t="shared" si="91"/>
        <v>Quarter 1</v>
      </c>
      <c r="F409" s="19">
        <v>45737</v>
      </c>
      <c r="G409" s="19">
        <f t="shared" si="92"/>
        <v>45737</v>
      </c>
      <c r="H409" s="22">
        <f t="shared" si="93"/>
        <v>28</v>
      </c>
      <c r="I409" t="str">
        <f t="shared" si="94"/>
        <v>Delayed </v>
      </c>
      <c r="J409" t="s">
        <v>16</v>
      </c>
      <c r="K409" t="s">
        <v>25</v>
      </c>
      <c r="L409" t="s">
        <v>67</v>
      </c>
      <c r="M409" t="s">
        <v>105</v>
      </c>
      <c r="N409" t="s">
        <v>40</v>
      </c>
      <c r="O409" t="s">
        <v>34</v>
      </c>
      <c r="P409" t="s">
        <v>42</v>
      </c>
      <c r="Q409" t="s">
        <v>916</v>
      </c>
      <c r="R409" s="3">
        <v>1437.39</v>
      </c>
      <c r="S409" s="3">
        <v>1388.31</v>
      </c>
      <c r="T409" s="3">
        <f t="shared" si="95"/>
        <v>1388.31</v>
      </c>
      <c r="U409" s="3">
        <f>(1+'10. Whatif Control pannel'!$B$6)*T409</f>
        <v>1554.9072</v>
      </c>
      <c r="V409" s="3" t="str">
        <f t="shared" si="96"/>
        <v>Medium</v>
      </c>
      <c r="W409" s="34">
        <v>0.138</v>
      </c>
      <c r="X409" s="24" t="str">
        <f t="shared" si="97"/>
        <v>Okay</v>
      </c>
      <c r="Y409" s="36">
        <f>IF(W409&lt;=0.25,W409,'10. Whatif Control pannel'!$B$2)</f>
        <v>0.138</v>
      </c>
      <c r="Z409" s="24">
        <v>18</v>
      </c>
      <c r="AA409" s="13">
        <f>(1+'10. Whatif Control pannel'!$B$10)*Z409</f>
        <v>21.6</v>
      </c>
      <c r="AB409" s="3">
        <f t="shared" si="98"/>
        <v>21541.01796</v>
      </c>
      <c r="AC409" s="3">
        <f t="shared" si="103"/>
        <v>28951.12813824</v>
      </c>
      <c r="AD409" s="3">
        <f t="shared" si="99"/>
        <v>25873.02</v>
      </c>
      <c r="AE409" s="3">
        <f t="shared" si="100"/>
        <v>-4332.00204</v>
      </c>
      <c r="AF409" s="3">
        <f t="shared" si="104"/>
        <v>3078.10813824</v>
      </c>
      <c r="AG409">
        <f t="shared" si="101"/>
        <v>-0.201104796813419</v>
      </c>
    </row>
    <row r="410" spans="1:33">
      <c r="A410" t="s">
        <v>917</v>
      </c>
      <c r="B410" s="20">
        <v>45724</v>
      </c>
      <c r="C410" s="2">
        <f t="shared" si="90"/>
        <v>3</v>
      </c>
      <c r="D410" s="21">
        <f t="shared" si="102"/>
        <v>45724</v>
      </c>
      <c r="E410" s="19" t="str">
        <f t="shared" si="91"/>
        <v>Quarter 1</v>
      </c>
      <c r="F410" s="19">
        <v>45731</v>
      </c>
      <c r="G410" s="19">
        <f t="shared" si="92"/>
        <v>45731</v>
      </c>
      <c r="H410" s="22">
        <f t="shared" si="93"/>
        <v>7</v>
      </c>
      <c r="I410" t="str">
        <f t="shared" si="94"/>
        <v>Ontime</v>
      </c>
      <c r="J410" t="s">
        <v>45</v>
      </c>
      <c r="K410" t="s">
        <v>60</v>
      </c>
      <c r="L410" t="s">
        <v>61</v>
      </c>
      <c r="M410" t="s">
        <v>19</v>
      </c>
      <c r="N410" t="s">
        <v>55</v>
      </c>
      <c r="O410" t="s">
        <v>95</v>
      </c>
      <c r="P410" t="s">
        <v>57</v>
      </c>
      <c r="Q410" t="s">
        <v>918</v>
      </c>
      <c r="R410" s="3">
        <v>475.66</v>
      </c>
      <c r="S410" s="3">
        <v>529.14</v>
      </c>
      <c r="T410" s="3">
        <f t="shared" si="95"/>
        <v>529.14</v>
      </c>
      <c r="U410" s="3">
        <f>(1+'10. Whatif Control pannel'!$B$6)*T410</f>
        <v>592.6368</v>
      </c>
      <c r="V410" s="3" t="str">
        <f t="shared" si="96"/>
        <v>Low</v>
      </c>
      <c r="W410" s="34">
        <v>0.196</v>
      </c>
      <c r="X410" s="24" t="str">
        <f t="shared" si="97"/>
        <v>Okay</v>
      </c>
      <c r="Y410" s="36">
        <f>IF(W410&lt;=0.25,W410,'10. Whatif Control pannel'!$B$2)</f>
        <v>0.196</v>
      </c>
      <c r="Z410" s="24">
        <v>11</v>
      </c>
      <c r="AA410" s="13">
        <f>(1+'10. Whatif Control pannel'!$B$10)*Z410</f>
        <v>13.2</v>
      </c>
      <c r="AB410" s="3">
        <f t="shared" si="98"/>
        <v>4679.71416</v>
      </c>
      <c r="AC410" s="3">
        <f t="shared" si="103"/>
        <v>6289.53583104</v>
      </c>
      <c r="AD410" s="3">
        <f t="shared" si="99"/>
        <v>5232.26</v>
      </c>
      <c r="AE410" s="3">
        <f t="shared" si="100"/>
        <v>-552.54584</v>
      </c>
      <c r="AF410" s="3">
        <f t="shared" si="104"/>
        <v>1057.27583104</v>
      </c>
      <c r="AG410">
        <f t="shared" si="101"/>
        <v>-0.118072561936133</v>
      </c>
    </row>
    <row r="411" spans="1:33">
      <c r="A411" t="s">
        <v>919</v>
      </c>
      <c r="B411" s="20">
        <v>45276</v>
      </c>
      <c r="C411" s="2">
        <f t="shared" si="90"/>
        <v>12</v>
      </c>
      <c r="D411" s="21">
        <f t="shared" si="102"/>
        <v>45276</v>
      </c>
      <c r="E411" s="19" t="str">
        <f t="shared" si="91"/>
        <v>Quarter 4</v>
      </c>
      <c r="F411" s="19">
        <v>45279</v>
      </c>
      <c r="G411" s="19">
        <f t="shared" si="92"/>
        <v>45279</v>
      </c>
      <c r="H411" s="22">
        <f t="shared" si="93"/>
        <v>3</v>
      </c>
      <c r="I411" t="str">
        <f t="shared" si="94"/>
        <v>Ontime</v>
      </c>
      <c r="J411" t="s">
        <v>45</v>
      </c>
      <c r="K411" t="s">
        <v>116</v>
      </c>
      <c r="L411" t="s">
        <v>338</v>
      </c>
      <c r="M411" t="s">
        <v>27</v>
      </c>
      <c r="N411" t="s">
        <v>20</v>
      </c>
      <c r="O411" t="s">
        <v>75</v>
      </c>
      <c r="P411" t="s">
        <v>81</v>
      </c>
      <c r="Q411" t="s">
        <v>920</v>
      </c>
      <c r="R411" s="3">
        <v>1415.05</v>
      </c>
      <c r="S411" s="3">
        <v>1972.38</v>
      </c>
      <c r="T411" s="3">
        <f t="shared" si="95"/>
        <v>1972.38</v>
      </c>
      <c r="U411" s="3">
        <f>(1+'10. Whatif Control pannel'!$B$6)*T411</f>
        <v>2209.0656</v>
      </c>
      <c r="V411" s="3" t="str">
        <f t="shared" si="96"/>
        <v>High</v>
      </c>
      <c r="W411" s="34">
        <v>0</v>
      </c>
      <c r="X411" s="24" t="str">
        <f t="shared" si="97"/>
        <v>Okay</v>
      </c>
      <c r="Y411" s="36">
        <f>IF(W411&lt;=0.25,W411,'10. Whatif Control pannel'!$B$2)</f>
        <v>0</v>
      </c>
      <c r="Z411" s="24">
        <v>12</v>
      </c>
      <c r="AA411" s="13">
        <f>(1+'10. Whatif Control pannel'!$B$10)*Z411</f>
        <v>14.4</v>
      </c>
      <c r="AB411" s="3">
        <f t="shared" si="98"/>
        <v>23668.56</v>
      </c>
      <c r="AC411" s="3">
        <f t="shared" si="103"/>
        <v>31810.54464</v>
      </c>
      <c r="AD411" s="3">
        <f t="shared" si="99"/>
        <v>16980.6</v>
      </c>
      <c r="AE411" s="3">
        <f t="shared" si="100"/>
        <v>6687.96</v>
      </c>
      <c r="AF411" s="3">
        <f t="shared" si="104"/>
        <v>14829.94464</v>
      </c>
      <c r="AG411">
        <f t="shared" si="101"/>
        <v>0.282567253774628</v>
      </c>
    </row>
    <row r="412" spans="1:33">
      <c r="A412" t="s">
        <v>921</v>
      </c>
      <c r="B412" s="20">
        <v>45534</v>
      </c>
      <c r="C412" s="2">
        <f t="shared" si="90"/>
        <v>8</v>
      </c>
      <c r="D412" s="21">
        <f t="shared" si="102"/>
        <v>45534</v>
      </c>
      <c r="E412" s="19" t="str">
        <f t="shared" si="91"/>
        <v>Quarter 3</v>
      </c>
      <c r="F412" s="19">
        <v>45540</v>
      </c>
      <c r="G412" s="19">
        <f t="shared" si="92"/>
        <v>45540</v>
      </c>
      <c r="H412" s="22">
        <f t="shared" si="93"/>
        <v>6</v>
      </c>
      <c r="I412" t="str">
        <f t="shared" si="94"/>
        <v>Ontime</v>
      </c>
      <c r="J412" t="s">
        <v>45</v>
      </c>
      <c r="K412" t="s">
        <v>46</v>
      </c>
      <c r="L412" t="s">
        <v>231</v>
      </c>
      <c r="M412" t="s">
        <v>27</v>
      </c>
      <c r="N412" t="s">
        <v>28</v>
      </c>
      <c r="O412" t="s">
        <v>126</v>
      </c>
      <c r="P412" t="s">
        <v>57</v>
      </c>
      <c r="Q412" t="s">
        <v>922</v>
      </c>
      <c r="R412" s="3">
        <v>466.16</v>
      </c>
      <c r="S412" s="3">
        <v>876.81</v>
      </c>
      <c r="T412" s="3">
        <f t="shared" si="95"/>
        <v>876.81</v>
      </c>
      <c r="U412" s="3">
        <f>(1+'10. Whatif Control pannel'!$B$6)*T412</f>
        <v>982.0272</v>
      </c>
      <c r="V412" s="3" t="str">
        <f t="shared" si="96"/>
        <v>Medium</v>
      </c>
      <c r="W412" s="34">
        <v>0.241</v>
      </c>
      <c r="X412" s="24" t="str">
        <f t="shared" si="97"/>
        <v>High Discount</v>
      </c>
      <c r="Y412" s="36">
        <f>IF(W412&lt;=0.25,W412,'10. Whatif Control pannel'!$B$2)</f>
        <v>0.241</v>
      </c>
      <c r="Z412" s="24">
        <v>8</v>
      </c>
      <c r="AA412" s="13">
        <f>(1+'10. Whatif Control pannel'!$B$10)*Z412</f>
        <v>9.6</v>
      </c>
      <c r="AB412" s="3">
        <f t="shared" si="98"/>
        <v>5323.99032</v>
      </c>
      <c r="AC412" s="3">
        <f t="shared" si="103"/>
        <v>7155.44299008</v>
      </c>
      <c r="AD412" s="3">
        <f t="shared" si="99"/>
        <v>3729.28</v>
      </c>
      <c r="AE412" s="3">
        <f t="shared" si="100"/>
        <v>1594.71032</v>
      </c>
      <c r="AF412" s="3">
        <f t="shared" si="104"/>
        <v>3426.16299008</v>
      </c>
      <c r="AG412">
        <f t="shared" si="101"/>
        <v>0.299532911246916</v>
      </c>
    </row>
    <row r="413" spans="1:33">
      <c r="A413" t="s">
        <v>923</v>
      </c>
      <c r="B413" s="20">
        <v>45430</v>
      </c>
      <c r="C413" s="2">
        <f t="shared" si="90"/>
        <v>5</v>
      </c>
      <c r="D413" s="21">
        <f t="shared" si="102"/>
        <v>45430</v>
      </c>
      <c r="E413" s="19" t="str">
        <f t="shared" si="91"/>
        <v>Quarter 2</v>
      </c>
      <c r="F413" s="19">
        <v>45433</v>
      </c>
      <c r="G413" s="19">
        <f t="shared" si="92"/>
        <v>45433</v>
      </c>
      <c r="H413" s="22">
        <f t="shared" si="93"/>
        <v>3</v>
      </c>
      <c r="I413" t="str">
        <f t="shared" si="94"/>
        <v>Ontime</v>
      </c>
      <c r="J413" t="s">
        <v>78</v>
      </c>
      <c r="K413" t="s">
        <v>90</v>
      </c>
      <c r="L413" t="s">
        <v>91</v>
      </c>
      <c r="M413" t="s">
        <v>39</v>
      </c>
      <c r="N413" t="s">
        <v>40</v>
      </c>
      <c r="O413" t="s">
        <v>145</v>
      </c>
      <c r="P413" t="s">
        <v>30</v>
      </c>
      <c r="Q413" t="s">
        <v>924</v>
      </c>
      <c r="R413" s="3">
        <v>663.66</v>
      </c>
      <c r="S413" s="3">
        <v>824.26</v>
      </c>
      <c r="T413" s="3">
        <f t="shared" si="95"/>
        <v>824.26</v>
      </c>
      <c r="U413" s="3">
        <f>(1+'10. Whatif Control pannel'!$B$6)*T413</f>
        <v>923.1712</v>
      </c>
      <c r="V413" s="3" t="str">
        <f t="shared" si="96"/>
        <v>Low</v>
      </c>
      <c r="W413" s="34">
        <v>0.239</v>
      </c>
      <c r="X413" s="24" t="str">
        <f t="shared" si="97"/>
        <v>High Discount</v>
      </c>
      <c r="Y413" s="36">
        <f>IF(W413&lt;=0.25,W413,'10. Whatif Control pannel'!$B$2)</f>
        <v>0.239</v>
      </c>
      <c r="Z413" s="24">
        <v>11</v>
      </c>
      <c r="AA413" s="13">
        <f>(1+'10. Whatif Control pannel'!$B$10)*Z413</f>
        <v>13.2</v>
      </c>
      <c r="AB413" s="3">
        <f t="shared" si="98"/>
        <v>6899.88046</v>
      </c>
      <c r="AC413" s="3">
        <f t="shared" si="103"/>
        <v>9273.43933824</v>
      </c>
      <c r="AD413" s="3">
        <f t="shared" si="99"/>
        <v>7300.26</v>
      </c>
      <c r="AE413" s="3">
        <f t="shared" si="100"/>
        <v>-400.379539999999</v>
      </c>
      <c r="AF413" s="3">
        <f t="shared" si="104"/>
        <v>1973.17933824</v>
      </c>
      <c r="AG413">
        <f t="shared" si="101"/>
        <v>-0.0580270255870489</v>
      </c>
    </row>
    <row r="414" spans="1:33">
      <c r="A414" t="s">
        <v>925</v>
      </c>
      <c r="B414" s="20">
        <v>45002</v>
      </c>
      <c r="C414" s="2">
        <f t="shared" si="90"/>
        <v>3</v>
      </c>
      <c r="D414" s="21">
        <f t="shared" si="102"/>
        <v>45002</v>
      </c>
      <c r="E414" s="19" t="str">
        <f t="shared" si="91"/>
        <v>Quarter 1</v>
      </c>
      <c r="F414" s="19">
        <v>45022</v>
      </c>
      <c r="G414" s="19">
        <f t="shared" si="92"/>
        <v>45022</v>
      </c>
      <c r="H414" s="22">
        <f t="shared" si="93"/>
        <v>20</v>
      </c>
      <c r="I414" t="str">
        <f t="shared" si="94"/>
        <v>Delayed </v>
      </c>
      <c r="J414" t="s">
        <v>78</v>
      </c>
      <c r="K414" t="s">
        <v>79</v>
      </c>
      <c r="L414" t="s">
        <v>159</v>
      </c>
      <c r="M414" t="s">
        <v>48</v>
      </c>
      <c r="N414" t="s">
        <v>20</v>
      </c>
      <c r="O414" t="s">
        <v>68</v>
      </c>
      <c r="P414" t="s">
        <v>42</v>
      </c>
      <c r="Q414" t="s">
        <v>926</v>
      </c>
      <c r="R414" s="3">
        <v>692.18</v>
      </c>
      <c r="S414" s="3">
        <v>1159.35</v>
      </c>
      <c r="T414" s="3">
        <f t="shared" si="95"/>
        <v>1159.35</v>
      </c>
      <c r="U414" s="3">
        <f>(1+'10. Whatif Control pannel'!$B$6)*T414</f>
        <v>1298.472</v>
      </c>
      <c r="V414" s="3" t="str">
        <f t="shared" si="96"/>
        <v>Medium</v>
      </c>
      <c r="W414" s="34">
        <v>0.112</v>
      </c>
      <c r="X414" s="24" t="str">
        <f t="shared" si="97"/>
        <v>Okay</v>
      </c>
      <c r="Y414" s="36">
        <f>IF(W414&lt;=0.25,W414,'10. Whatif Control pannel'!$B$2)</f>
        <v>0.112</v>
      </c>
      <c r="Z414" s="24">
        <v>2</v>
      </c>
      <c r="AA414" s="13">
        <f>(1+'10. Whatif Control pannel'!$B$10)*Z414</f>
        <v>2.4</v>
      </c>
      <c r="AB414" s="3">
        <f t="shared" si="98"/>
        <v>2059.0056</v>
      </c>
      <c r="AC414" s="3">
        <f t="shared" si="103"/>
        <v>2767.3035264</v>
      </c>
      <c r="AD414" s="3">
        <f t="shared" si="99"/>
        <v>1384.36</v>
      </c>
      <c r="AE414" s="3">
        <f t="shared" si="100"/>
        <v>674.6456</v>
      </c>
      <c r="AF414" s="3">
        <f t="shared" si="104"/>
        <v>1382.9435264</v>
      </c>
      <c r="AG414">
        <f t="shared" si="101"/>
        <v>0.32765602968734</v>
      </c>
    </row>
    <row r="415" spans="1:33">
      <c r="A415" t="s">
        <v>927</v>
      </c>
      <c r="B415" s="20">
        <v>45163</v>
      </c>
      <c r="C415" s="2">
        <f t="shared" si="90"/>
        <v>8</v>
      </c>
      <c r="D415" s="21">
        <f t="shared" si="102"/>
        <v>45163</v>
      </c>
      <c r="E415" s="19" t="str">
        <f t="shared" si="91"/>
        <v>Quarter 3</v>
      </c>
      <c r="F415" s="19">
        <v>45185</v>
      </c>
      <c r="G415" s="19">
        <f t="shared" si="92"/>
        <v>45185</v>
      </c>
      <c r="H415" s="22">
        <f t="shared" si="93"/>
        <v>22</v>
      </c>
      <c r="I415" t="str">
        <f t="shared" si="94"/>
        <v>Delayed </v>
      </c>
      <c r="J415" t="s">
        <v>16</v>
      </c>
      <c r="K415" t="s">
        <v>25</v>
      </c>
      <c r="L415" t="s">
        <v>67</v>
      </c>
      <c r="M415" t="s">
        <v>19</v>
      </c>
      <c r="N415" t="s">
        <v>40</v>
      </c>
      <c r="O415" t="s">
        <v>49</v>
      </c>
      <c r="P415" t="s">
        <v>42</v>
      </c>
      <c r="Q415" t="s">
        <v>928</v>
      </c>
      <c r="R415" s="3">
        <v>1196.83</v>
      </c>
      <c r="S415" s="3">
        <v>2513.51</v>
      </c>
      <c r="T415" s="3">
        <f t="shared" si="95"/>
        <v>2513.51</v>
      </c>
      <c r="U415" s="3">
        <f>(1+'10. Whatif Control pannel'!$B$6)*T415</f>
        <v>2815.1312</v>
      </c>
      <c r="V415" s="3" t="str">
        <f t="shared" si="96"/>
        <v>High</v>
      </c>
      <c r="W415" s="34">
        <v>0.083</v>
      </c>
      <c r="X415" s="24" t="str">
        <f t="shared" si="97"/>
        <v>Okay</v>
      </c>
      <c r="Y415" s="36">
        <f>IF(W415&lt;=0.25,W415,'10. Whatif Control pannel'!$B$2)</f>
        <v>0.083</v>
      </c>
      <c r="Z415" s="24">
        <v>7</v>
      </c>
      <c r="AA415" s="13">
        <f>(1+'10. Whatif Control pannel'!$B$10)*Z415</f>
        <v>8.4</v>
      </c>
      <c r="AB415" s="3">
        <f t="shared" si="98"/>
        <v>16134.22069</v>
      </c>
      <c r="AC415" s="3">
        <f t="shared" si="103"/>
        <v>21684.39260736</v>
      </c>
      <c r="AD415" s="3">
        <f t="shared" si="99"/>
        <v>8377.81</v>
      </c>
      <c r="AE415" s="3">
        <f t="shared" si="100"/>
        <v>7756.41069</v>
      </c>
      <c r="AF415" s="3">
        <f t="shared" si="104"/>
        <v>13306.58260736</v>
      </c>
      <c r="AG415">
        <f t="shared" si="101"/>
        <v>0.480742816094454</v>
      </c>
    </row>
    <row r="416" spans="1:33">
      <c r="A416" t="s">
        <v>929</v>
      </c>
      <c r="B416" s="20">
        <v>45449</v>
      </c>
      <c r="C416" s="2">
        <f t="shared" si="90"/>
        <v>6</v>
      </c>
      <c r="D416" s="21">
        <f t="shared" si="102"/>
        <v>45449</v>
      </c>
      <c r="E416" s="19" t="str">
        <f t="shared" si="91"/>
        <v>Quarter 2</v>
      </c>
      <c r="F416" s="19">
        <v>45467</v>
      </c>
      <c r="G416" s="19">
        <f t="shared" si="92"/>
        <v>45467</v>
      </c>
      <c r="H416" s="22">
        <f t="shared" si="93"/>
        <v>18</v>
      </c>
      <c r="I416" t="str">
        <f t="shared" si="94"/>
        <v>Delayed </v>
      </c>
      <c r="J416" t="s">
        <v>45</v>
      </c>
      <c r="K416" t="s">
        <v>60</v>
      </c>
      <c r="L416" t="s">
        <v>61</v>
      </c>
      <c r="M416" t="s">
        <v>62</v>
      </c>
      <c r="N416" t="s">
        <v>98</v>
      </c>
      <c r="O416" t="s">
        <v>92</v>
      </c>
      <c r="P416" t="s">
        <v>35</v>
      </c>
      <c r="Q416" t="s">
        <v>930</v>
      </c>
      <c r="R416" s="3">
        <v>1253.25</v>
      </c>
      <c r="S416" s="3">
        <v>3087.13</v>
      </c>
      <c r="T416" s="3">
        <f t="shared" si="95"/>
        <v>3087.13</v>
      </c>
      <c r="U416" s="3">
        <f>(1+'10. Whatif Control pannel'!$B$6)*T416</f>
        <v>3457.5856</v>
      </c>
      <c r="V416" s="3" t="str">
        <f t="shared" si="96"/>
        <v>High</v>
      </c>
      <c r="W416" s="34">
        <v>0.072</v>
      </c>
      <c r="X416" s="24" t="str">
        <f t="shared" si="97"/>
        <v>Okay</v>
      </c>
      <c r="Y416" s="36">
        <f>IF(W416&lt;=0.25,W416,'10. Whatif Control pannel'!$B$2)</f>
        <v>0.072</v>
      </c>
      <c r="Z416" s="24">
        <v>11</v>
      </c>
      <c r="AA416" s="13">
        <f>(1+'10. Whatif Control pannel'!$B$10)*Z416</f>
        <v>13.2</v>
      </c>
      <c r="AB416" s="3">
        <f t="shared" si="98"/>
        <v>31513.42304</v>
      </c>
      <c r="AC416" s="3">
        <f t="shared" si="103"/>
        <v>42354.04056576</v>
      </c>
      <c r="AD416" s="3">
        <f t="shared" si="99"/>
        <v>13785.75</v>
      </c>
      <c r="AE416" s="3">
        <f t="shared" si="100"/>
        <v>17727.67304</v>
      </c>
      <c r="AF416" s="3">
        <f t="shared" si="104"/>
        <v>28568.29056576</v>
      </c>
      <c r="AG416">
        <f t="shared" si="101"/>
        <v>0.562543555408064</v>
      </c>
    </row>
    <row r="417" spans="1:33">
      <c r="A417" t="s">
        <v>931</v>
      </c>
      <c r="B417" s="20">
        <v>45167</v>
      </c>
      <c r="C417" s="2">
        <f t="shared" si="90"/>
        <v>8</v>
      </c>
      <c r="D417" s="21">
        <f t="shared" si="102"/>
        <v>45167</v>
      </c>
      <c r="E417" s="19" t="str">
        <f t="shared" si="91"/>
        <v>Quarter 3</v>
      </c>
      <c r="F417" s="19">
        <v>45182</v>
      </c>
      <c r="G417" s="19">
        <f t="shared" si="92"/>
        <v>45182</v>
      </c>
      <c r="H417" s="22">
        <f t="shared" si="93"/>
        <v>15</v>
      </c>
      <c r="I417" t="str">
        <f t="shared" si="94"/>
        <v>Delayed </v>
      </c>
      <c r="J417" t="s">
        <v>52</v>
      </c>
      <c r="K417" t="s">
        <v>53</v>
      </c>
      <c r="L417" t="s">
        <v>179</v>
      </c>
      <c r="M417" t="s">
        <v>62</v>
      </c>
      <c r="N417" t="s">
        <v>40</v>
      </c>
      <c r="O417" t="s">
        <v>68</v>
      </c>
      <c r="P417" t="s">
        <v>30</v>
      </c>
      <c r="Q417" t="s">
        <v>932</v>
      </c>
      <c r="R417" s="3">
        <v>1287.64</v>
      </c>
      <c r="S417" s="3">
        <v>2717.15</v>
      </c>
      <c r="T417" s="3">
        <f t="shared" si="95"/>
        <v>2717.15</v>
      </c>
      <c r="U417" s="3">
        <f>(1+'10. Whatif Control pannel'!$B$6)*T417</f>
        <v>3043.208</v>
      </c>
      <c r="V417" s="3" t="str">
        <f t="shared" si="96"/>
        <v>High</v>
      </c>
      <c r="W417" s="34">
        <v>0.032</v>
      </c>
      <c r="X417" s="24" t="str">
        <f t="shared" si="97"/>
        <v>Okay</v>
      </c>
      <c r="Y417" s="36">
        <f>IF(W417&lt;=0.25,W417,'10. Whatif Control pannel'!$B$2)</f>
        <v>0.032</v>
      </c>
      <c r="Z417" s="24">
        <v>7</v>
      </c>
      <c r="AA417" s="13">
        <f>(1+'10. Whatif Control pannel'!$B$10)*Z417</f>
        <v>8.4</v>
      </c>
      <c r="AB417" s="3">
        <f t="shared" si="98"/>
        <v>18411.4084</v>
      </c>
      <c r="AC417" s="3">
        <f t="shared" si="103"/>
        <v>24744.9328896</v>
      </c>
      <c r="AD417" s="3">
        <f t="shared" si="99"/>
        <v>9013.48</v>
      </c>
      <c r="AE417" s="3">
        <f t="shared" si="100"/>
        <v>9397.9284</v>
      </c>
      <c r="AF417" s="3">
        <f t="shared" si="104"/>
        <v>15731.4528896</v>
      </c>
      <c r="AG417">
        <f t="shared" si="101"/>
        <v>0.510440494058021</v>
      </c>
    </row>
    <row r="418" spans="1:33">
      <c r="A418" t="s">
        <v>933</v>
      </c>
      <c r="B418" s="20">
        <v>45626</v>
      </c>
      <c r="C418" s="2">
        <f t="shared" si="90"/>
        <v>11</v>
      </c>
      <c r="D418" s="21">
        <f t="shared" si="102"/>
        <v>45626</v>
      </c>
      <c r="E418" s="19" t="str">
        <f t="shared" si="91"/>
        <v>Quarter 4</v>
      </c>
      <c r="F418" s="19">
        <v>45636</v>
      </c>
      <c r="G418" s="19">
        <f t="shared" si="92"/>
        <v>45636</v>
      </c>
      <c r="H418" s="22">
        <f t="shared" si="93"/>
        <v>10</v>
      </c>
      <c r="I418" t="str">
        <f t="shared" si="94"/>
        <v>Delayed </v>
      </c>
      <c r="J418" t="s">
        <v>45</v>
      </c>
      <c r="K418" t="s">
        <v>60</v>
      </c>
      <c r="L418" t="s">
        <v>281</v>
      </c>
      <c r="M418" t="s">
        <v>62</v>
      </c>
      <c r="N418" t="s">
        <v>20</v>
      </c>
      <c r="O418" t="s">
        <v>84</v>
      </c>
      <c r="P418" t="s">
        <v>81</v>
      </c>
      <c r="Q418" t="s">
        <v>934</v>
      </c>
      <c r="R418" s="3">
        <v>851.49</v>
      </c>
      <c r="S418" s="3">
        <v>901.79</v>
      </c>
      <c r="T418" s="3">
        <f t="shared" si="95"/>
        <v>901.79</v>
      </c>
      <c r="U418" s="3">
        <f>(1+'10. Whatif Control pannel'!$B$6)*T418</f>
        <v>1010.0048</v>
      </c>
      <c r="V418" s="3" t="str">
        <f t="shared" si="96"/>
        <v>Medium</v>
      </c>
      <c r="W418" s="34">
        <v>0.245</v>
      </c>
      <c r="X418" s="24" t="str">
        <f t="shared" si="97"/>
        <v>High Discount</v>
      </c>
      <c r="Y418" s="36">
        <f>IF(W418&lt;=0.25,W418,'10. Whatif Control pannel'!$B$2)</f>
        <v>0.245</v>
      </c>
      <c r="Z418" s="24">
        <v>16</v>
      </c>
      <c r="AA418" s="13">
        <f>(1+'10. Whatif Control pannel'!$B$10)*Z418</f>
        <v>19.2</v>
      </c>
      <c r="AB418" s="3">
        <f t="shared" si="98"/>
        <v>10893.6232</v>
      </c>
      <c r="AC418" s="3">
        <f t="shared" si="103"/>
        <v>14641.0295808</v>
      </c>
      <c r="AD418" s="3">
        <f t="shared" si="99"/>
        <v>13623.84</v>
      </c>
      <c r="AE418" s="3">
        <f t="shared" si="100"/>
        <v>-2730.2168</v>
      </c>
      <c r="AF418" s="3">
        <f t="shared" si="104"/>
        <v>1017.1895808</v>
      </c>
      <c r="AG418">
        <f t="shared" si="101"/>
        <v>-0.250625228161003</v>
      </c>
    </row>
    <row r="419" spans="1:33">
      <c r="A419" t="s">
        <v>935</v>
      </c>
      <c r="B419" s="20">
        <v>45813</v>
      </c>
      <c r="C419" s="2">
        <f t="shared" si="90"/>
        <v>6</v>
      </c>
      <c r="D419" s="21">
        <f t="shared" si="102"/>
        <v>45813</v>
      </c>
      <c r="E419" s="19" t="str">
        <f t="shared" si="91"/>
        <v>Quarter 2</v>
      </c>
      <c r="F419" s="19">
        <v>45822</v>
      </c>
      <c r="G419" s="19">
        <f t="shared" si="92"/>
        <v>45822</v>
      </c>
      <c r="H419" s="22">
        <f t="shared" si="93"/>
        <v>9</v>
      </c>
      <c r="I419" t="str">
        <f t="shared" si="94"/>
        <v>Delayed </v>
      </c>
      <c r="J419" t="s">
        <v>45</v>
      </c>
      <c r="K419" t="s">
        <v>60</v>
      </c>
      <c r="L419" t="s">
        <v>141</v>
      </c>
      <c r="M419" t="s">
        <v>39</v>
      </c>
      <c r="N419" t="s">
        <v>20</v>
      </c>
      <c r="O419" t="s">
        <v>75</v>
      </c>
      <c r="P419" t="s">
        <v>81</v>
      </c>
      <c r="Q419" t="s">
        <v>936</v>
      </c>
      <c r="R419" s="3">
        <v>618.69</v>
      </c>
      <c r="S419" s="3">
        <v>796.15</v>
      </c>
      <c r="T419" s="3">
        <f t="shared" si="95"/>
        <v>796.15</v>
      </c>
      <c r="U419" s="3">
        <f>(1+'10. Whatif Control pannel'!$B$6)*T419</f>
        <v>891.688</v>
      </c>
      <c r="V419" s="3" t="str">
        <f t="shared" si="96"/>
        <v>Low</v>
      </c>
      <c r="W419" s="34">
        <v>0.09</v>
      </c>
      <c r="X419" s="24" t="str">
        <f t="shared" si="97"/>
        <v>Okay</v>
      </c>
      <c r="Y419" s="36">
        <f>IF(W419&lt;=0.25,W419,'10. Whatif Control pannel'!$B$2)</f>
        <v>0.09</v>
      </c>
      <c r="Z419" s="24">
        <v>11</v>
      </c>
      <c r="AA419" s="13">
        <f>(1+'10. Whatif Control pannel'!$B$10)*Z419</f>
        <v>13.2</v>
      </c>
      <c r="AB419" s="3">
        <f t="shared" si="98"/>
        <v>7969.4615</v>
      </c>
      <c r="AC419" s="3">
        <f t="shared" si="103"/>
        <v>10710.956256</v>
      </c>
      <c r="AD419" s="3">
        <f t="shared" si="99"/>
        <v>6805.59</v>
      </c>
      <c r="AE419" s="3">
        <f t="shared" si="100"/>
        <v>1163.8715</v>
      </c>
      <c r="AF419" s="3">
        <f t="shared" si="104"/>
        <v>3905.366256</v>
      </c>
      <c r="AG419">
        <f t="shared" si="101"/>
        <v>0.146041423250492</v>
      </c>
    </row>
    <row r="420" spans="1:33">
      <c r="A420" t="s">
        <v>937</v>
      </c>
      <c r="B420" s="20">
        <v>45730</v>
      </c>
      <c r="C420" s="2">
        <f t="shared" si="90"/>
        <v>3</v>
      </c>
      <c r="D420" s="21">
        <f t="shared" si="102"/>
        <v>45730</v>
      </c>
      <c r="E420" s="19" t="str">
        <f t="shared" si="91"/>
        <v>Quarter 1</v>
      </c>
      <c r="F420" s="19">
        <v>45755</v>
      </c>
      <c r="G420" s="19">
        <f t="shared" si="92"/>
        <v>45755</v>
      </c>
      <c r="H420" s="22">
        <f t="shared" si="93"/>
        <v>25</v>
      </c>
      <c r="I420" t="str">
        <f t="shared" si="94"/>
        <v>Delayed </v>
      </c>
      <c r="J420" t="s">
        <v>45</v>
      </c>
      <c r="K420" t="s">
        <v>116</v>
      </c>
      <c r="L420" t="s">
        <v>1443</v>
      </c>
      <c r="M420" t="s">
        <v>19</v>
      </c>
      <c r="N420" t="s">
        <v>55</v>
      </c>
      <c r="O420" t="s">
        <v>145</v>
      </c>
      <c r="P420" t="s">
        <v>30</v>
      </c>
      <c r="Q420" t="s">
        <v>938</v>
      </c>
      <c r="R420" s="3">
        <v>80.59</v>
      </c>
      <c r="S420" s="3">
        <v>157.82</v>
      </c>
      <c r="T420" s="3">
        <f t="shared" si="95"/>
        <v>157.82</v>
      </c>
      <c r="U420" s="3">
        <f>(1+'10. Whatif Control pannel'!$B$6)*T420</f>
        <v>176.7584</v>
      </c>
      <c r="V420" s="3" t="str">
        <f t="shared" si="96"/>
        <v>Low</v>
      </c>
      <c r="W420" s="34">
        <v>0.217</v>
      </c>
      <c r="X420" s="24" t="str">
        <f t="shared" si="97"/>
        <v>High Discount</v>
      </c>
      <c r="Y420" s="36">
        <f>IF(W420&lt;=0.25,W420,'10. Whatif Control pannel'!$B$2)</f>
        <v>0.217</v>
      </c>
      <c r="Z420" s="24">
        <v>6</v>
      </c>
      <c r="AA420" s="13">
        <f>(1+'10. Whatif Control pannel'!$B$10)*Z420</f>
        <v>7.2</v>
      </c>
      <c r="AB420" s="3">
        <f t="shared" si="98"/>
        <v>741.43836</v>
      </c>
      <c r="AC420" s="3">
        <f t="shared" si="103"/>
        <v>996.49315584</v>
      </c>
      <c r="AD420" s="3">
        <f t="shared" si="99"/>
        <v>483.54</v>
      </c>
      <c r="AE420" s="3">
        <f t="shared" si="100"/>
        <v>257.89836</v>
      </c>
      <c r="AF420" s="3">
        <f t="shared" si="104"/>
        <v>512.95315584</v>
      </c>
      <c r="AG420">
        <f t="shared" si="101"/>
        <v>0.347835199678635</v>
      </c>
    </row>
    <row r="421" spans="1:33">
      <c r="A421" t="s">
        <v>939</v>
      </c>
      <c r="B421" s="20">
        <v>45307</v>
      </c>
      <c r="C421" s="2">
        <f t="shared" si="90"/>
        <v>1</v>
      </c>
      <c r="D421" s="21">
        <f t="shared" si="102"/>
        <v>45307</v>
      </c>
      <c r="E421" s="19" t="str">
        <f t="shared" si="91"/>
        <v>Quarter 1</v>
      </c>
      <c r="F421" s="19">
        <v>45333</v>
      </c>
      <c r="G421" s="19">
        <f t="shared" si="92"/>
        <v>45333</v>
      </c>
      <c r="H421" s="22">
        <f t="shared" si="93"/>
        <v>26</v>
      </c>
      <c r="I421" t="str">
        <f t="shared" si="94"/>
        <v>Delayed </v>
      </c>
      <c r="J421" t="s">
        <v>78</v>
      </c>
      <c r="K421" t="s">
        <v>79</v>
      </c>
      <c r="L421" t="s">
        <v>335</v>
      </c>
      <c r="M421" t="s">
        <v>39</v>
      </c>
      <c r="N421" t="s">
        <v>55</v>
      </c>
      <c r="O421" t="s">
        <v>63</v>
      </c>
      <c r="P421" t="s">
        <v>64</v>
      </c>
      <c r="Q421" t="s">
        <v>940</v>
      </c>
      <c r="R421" s="3">
        <v>504.93</v>
      </c>
      <c r="S421" s="3">
        <v>819.06</v>
      </c>
      <c r="T421" s="3">
        <f t="shared" si="95"/>
        <v>819.06</v>
      </c>
      <c r="U421" s="3">
        <f>(1+'10. Whatif Control pannel'!$B$6)*T421</f>
        <v>917.3472</v>
      </c>
      <c r="V421" s="3" t="str">
        <f t="shared" si="96"/>
        <v>Low</v>
      </c>
      <c r="W421" s="34">
        <v>0.226</v>
      </c>
      <c r="X421" s="24" t="str">
        <f t="shared" si="97"/>
        <v>High Discount</v>
      </c>
      <c r="Y421" s="36">
        <f>IF(W421&lt;=0.25,W421,'10. Whatif Control pannel'!$B$2)</f>
        <v>0.226</v>
      </c>
      <c r="Z421" s="24">
        <v>15</v>
      </c>
      <c r="AA421" s="13">
        <f>(1+'10. Whatif Control pannel'!$B$10)*Z421</f>
        <v>18</v>
      </c>
      <c r="AB421" s="3">
        <f t="shared" si="98"/>
        <v>9509.2866</v>
      </c>
      <c r="AC421" s="3">
        <f t="shared" si="103"/>
        <v>12780.4811904</v>
      </c>
      <c r="AD421" s="3">
        <f t="shared" si="99"/>
        <v>7573.95</v>
      </c>
      <c r="AE421" s="3">
        <f t="shared" si="100"/>
        <v>1935.3366</v>
      </c>
      <c r="AF421" s="3">
        <f t="shared" si="104"/>
        <v>5206.5311904</v>
      </c>
      <c r="AG421">
        <f t="shared" si="101"/>
        <v>0.203520693129598</v>
      </c>
    </row>
    <row r="422" spans="1:33">
      <c r="A422" t="s">
        <v>941</v>
      </c>
      <c r="B422" s="20">
        <v>45211</v>
      </c>
      <c r="C422" s="2">
        <f t="shared" si="90"/>
        <v>10</v>
      </c>
      <c r="D422" s="21">
        <f t="shared" si="102"/>
        <v>45211</v>
      </c>
      <c r="E422" s="19" t="str">
        <f t="shared" si="91"/>
        <v>Quarter 4</v>
      </c>
      <c r="F422" s="19">
        <v>45228</v>
      </c>
      <c r="G422" s="19">
        <f t="shared" si="92"/>
        <v>45228</v>
      </c>
      <c r="H422" s="22">
        <f t="shared" si="93"/>
        <v>17</v>
      </c>
      <c r="I422" t="str">
        <f t="shared" si="94"/>
        <v>Delayed </v>
      </c>
      <c r="J422" t="s">
        <v>45</v>
      </c>
      <c r="K422" t="s">
        <v>46</v>
      </c>
      <c r="L422" t="s">
        <v>231</v>
      </c>
      <c r="M422" t="s">
        <v>39</v>
      </c>
      <c r="N422" t="s">
        <v>98</v>
      </c>
      <c r="O422" t="s">
        <v>92</v>
      </c>
      <c r="P422" t="s">
        <v>42</v>
      </c>
      <c r="Q422" t="s">
        <v>942</v>
      </c>
      <c r="R422" s="3">
        <v>1102.19</v>
      </c>
      <c r="S422" s="3">
        <v>1711.16</v>
      </c>
      <c r="T422" s="3">
        <f t="shared" si="95"/>
        <v>1711.16</v>
      </c>
      <c r="U422" s="3">
        <f>(1+'10. Whatif Control pannel'!$B$6)*T422</f>
        <v>1916.4992</v>
      </c>
      <c r="V422" s="3" t="str">
        <f t="shared" si="96"/>
        <v>High</v>
      </c>
      <c r="W422" s="34">
        <v>0.151</v>
      </c>
      <c r="X422" s="24" t="str">
        <f t="shared" si="97"/>
        <v>Okay</v>
      </c>
      <c r="Y422" s="36">
        <f>IF(W422&lt;=0.25,W422,'10. Whatif Control pannel'!$B$2)</f>
        <v>0.151</v>
      </c>
      <c r="Z422" s="24">
        <v>10</v>
      </c>
      <c r="AA422" s="13">
        <f>(1+'10. Whatif Control pannel'!$B$10)*Z422</f>
        <v>12</v>
      </c>
      <c r="AB422" s="3">
        <f t="shared" si="98"/>
        <v>14527.7484</v>
      </c>
      <c r="AC422" s="3">
        <f t="shared" si="103"/>
        <v>19525.2938496</v>
      </c>
      <c r="AD422" s="3">
        <f t="shared" si="99"/>
        <v>11021.9</v>
      </c>
      <c r="AE422" s="3">
        <f t="shared" si="100"/>
        <v>3505.8484</v>
      </c>
      <c r="AF422" s="3">
        <f t="shared" si="104"/>
        <v>8503.3938496</v>
      </c>
      <c r="AG422">
        <f t="shared" si="101"/>
        <v>0.241320836751275</v>
      </c>
    </row>
    <row r="423" spans="1:33">
      <c r="A423" t="s">
        <v>943</v>
      </c>
      <c r="B423" s="20">
        <v>45713</v>
      </c>
      <c r="C423" s="2">
        <f t="shared" si="90"/>
        <v>2</v>
      </c>
      <c r="D423" s="21">
        <f t="shared" si="102"/>
        <v>45713</v>
      </c>
      <c r="E423" s="19" t="str">
        <f t="shared" si="91"/>
        <v>Quarter 1</v>
      </c>
      <c r="F423" s="19">
        <v>45733</v>
      </c>
      <c r="G423" s="19">
        <f t="shared" si="92"/>
        <v>45733</v>
      </c>
      <c r="H423" s="22">
        <f t="shared" si="93"/>
        <v>20</v>
      </c>
      <c r="I423" t="str">
        <f t="shared" si="94"/>
        <v>Delayed </v>
      </c>
      <c r="J423" t="s">
        <v>52</v>
      </c>
      <c r="K423" t="s">
        <v>122</v>
      </c>
      <c r="L423" t="s">
        <v>167</v>
      </c>
      <c r="M423" t="s">
        <v>39</v>
      </c>
      <c r="N423" t="s">
        <v>40</v>
      </c>
      <c r="O423" t="s">
        <v>92</v>
      </c>
      <c r="P423" t="s">
        <v>42</v>
      </c>
      <c r="Q423" t="s">
        <v>944</v>
      </c>
      <c r="R423" s="3">
        <v>1205.26</v>
      </c>
      <c r="S423" s="3">
        <v>1696.35</v>
      </c>
      <c r="T423" s="3">
        <f t="shared" si="95"/>
        <v>1696.35</v>
      </c>
      <c r="U423" s="3">
        <f>(1+'10. Whatif Control pannel'!$B$6)*T423</f>
        <v>1899.912</v>
      </c>
      <c r="V423" s="3" t="str">
        <f t="shared" si="96"/>
        <v>High</v>
      </c>
      <c r="W423" s="34">
        <v>0.019</v>
      </c>
      <c r="X423" s="24" t="str">
        <f t="shared" si="97"/>
        <v>Okay</v>
      </c>
      <c r="Y423" s="36">
        <f>IF(W423&lt;=0.25,W423,'10. Whatif Control pannel'!$B$2)</f>
        <v>0.019</v>
      </c>
      <c r="Z423" s="24">
        <v>6</v>
      </c>
      <c r="AA423" s="13">
        <f>(1+'10. Whatif Control pannel'!$B$10)*Z423</f>
        <v>7.2</v>
      </c>
      <c r="AB423" s="3">
        <f t="shared" si="98"/>
        <v>9984.7161</v>
      </c>
      <c r="AC423" s="3">
        <f t="shared" si="103"/>
        <v>13419.4584384</v>
      </c>
      <c r="AD423" s="3">
        <f t="shared" si="99"/>
        <v>7231.56</v>
      </c>
      <c r="AE423" s="3">
        <f t="shared" si="100"/>
        <v>2753.1561</v>
      </c>
      <c r="AF423" s="3">
        <f t="shared" si="104"/>
        <v>6187.8984384</v>
      </c>
      <c r="AG423">
        <f t="shared" si="101"/>
        <v>0.275737043740282</v>
      </c>
    </row>
    <row r="424" spans="1:33">
      <c r="A424" t="s">
        <v>945</v>
      </c>
      <c r="B424" s="20">
        <v>45841</v>
      </c>
      <c r="C424" s="2">
        <f t="shared" si="90"/>
        <v>7</v>
      </c>
      <c r="D424" s="21">
        <f t="shared" si="102"/>
        <v>45841</v>
      </c>
      <c r="E424" s="19" t="str">
        <f t="shared" si="91"/>
        <v>Quarter 3</v>
      </c>
      <c r="F424" s="19">
        <v>45844</v>
      </c>
      <c r="G424" s="19">
        <f t="shared" si="92"/>
        <v>45844</v>
      </c>
      <c r="H424" s="22">
        <f t="shared" si="93"/>
        <v>3</v>
      </c>
      <c r="I424" t="str">
        <f t="shared" si="94"/>
        <v>Ontime</v>
      </c>
      <c r="J424" t="s">
        <v>16</v>
      </c>
      <c r="K424" t="s">
        <v>25</v>
      </c>
      <c r="L424" t="s">
        <v>38</v>
      </c>
      <c r="M424" t="s">
        <v>48</v>
      </c>
      <c r="N424" t="s">
        <v>28</v>
      </c>
      <c r="O424" t="s">
        <v>1442</v>
      </c>
      <c r="P424" t="s">
        <v>57</v>
      </c>
      <c r="Q424" t="s">
        <v>946</v>
      </c>
      <c r="R424" s="3">
        <v>1313.3</v>
      </c>
      <c r="S424" s="3">
        <v>2884.34</v>
      </c>
      <c r="T424" s="3">
        <f t="shared" si="95"/>
        <v>2884.34</v>
      </c>
      <c r="U424" s="3">
        <f>(1+'10. Whatif Control pannel'!$B$6)*T424</f>
        <v>3230.4608</v>
      </c>
      <c r="V424" s="3" t="str">
        <f t="shared" si="96"/>
        <v>High</v>
      </c>
      <c r="W424" s="34">
        <v>0.157</v>
      </c>
      <c r="X424" s="24" t="str">
        <f t="shared" si="97"/>
        <v>Okay</v>
      </c>
      <c r="Y424" s="36">
        <f>IF(W424&lt;=0.25,W424,'10. Whatif Control pannel'!$B$2)</f>
        <v>0.157</v>
      </c>
      <c r="Z424" s="24">
        <v>42</v>
      </c>
      <c r="AA424" s="13">
        <f>(1+'10. Whatif Control pannel'!$B$10)*Z424</f>
        <v>50.4</v>
      </c>
      <c r="AB424" s="3">
        <f t="shared" si="98"/>
        <v>102122.94204</v>
      </c>
      <c r="AC424" s="3">
        <f t="shared" si="103"/>
        <v>137253.23410176</v>
      </c>
      <c r="AD424" s="3">
        <f t="shared" si="99"/>
        <v>55158.6</v>
      </c>
      <c r="AE424" s="3">
        <f t="shared" si="100"/>
        <v>46964.34204</v>
      </c>
      <c r="AF424" s="3">
        <f t="shared" si="104"/>
        <v>82094.63410176</v>
      </c>
      <c r="AG424">
        <f t="shared" si="101"/>
        <v>0.459880425513053</v>
      </c>
    </row>
    <row r="425" spans="1:33">
      <c r="A425" t="s">
        <v>947</v>
      </c>
      <c r="B425" s="20">
        <v>45915</v>
      </c>
      <c r="C425" s="2">
        <f t="shared" si="90"/>
        <v>9</v>
      </c>
      <c r="D425" s="21">
        <f t="shared" si="102"/>
        <v>45915</v>
      </c>
      <c r="E425" s="19" t="str">
        <f t="shared" si="91"/>
        <v>Quarter 3</v>
      </c>
      <c r="F425" s="19">
        <v>45925</v>
      </c>
      <c r="G425" s="19">
        <f t="shared" si="92"/>
        <v>45925</v>
      </c>
      <c r="H425" s="22">
        <f t="shared" si="93"/>
        <v>10</v>
      </c>
      <c r="I425" t="str">
        <f t="shared" si="94"/>
        <v>Delayed </v>
      </c>
      <c r="J425" t="s">
        <v>45</v>
      </c>
      <c r="K425" t="s">
        <v>60</v>
      </c>
      <c r="L425" t="s">
        <v>141</v>
      </c>
      <c r="M425" t="s">
        <v>48</v>
      </c>
      <c r="N425" t="s">
        <v>20</v>
      </c>
      <c r="O425" t="s">
        <v>75</v>
      </c>
      <c r="P425" t="s">
        <v>42</v>
      </c>
      <c r="Q425" t="s">
        <v>948</v>
      </c>
      <c r="R425" s="3">
        <v>1488.91</v>
      </c>
      <c r="S425" s="3">
        <v>1483.74</v>
      </c>
      <c r="T425" s="3">
        <f t="shared" si="95"/>
        <v>1483.74</v>
      </c>
      <c r="U425" s="3">
        <f>(1+'10. Whatif Control pannel'!$B$6)*T425</f>
        <v>1661.7888</v>
      </c>
      <c r="V425" s="3" t="str">
        <f t="shared" si="96"/>
        <v>Medium</v>
      </c>
      <c r="W425" s="34">
        <v>0.168</v>
      </c>
      <c r="X425" s="24" t="str">
        <f t="shared" si="97"/>
        <v>Okay</v>
      </c>
      <c r="Y425" s="36">
        <f>IF(W425&lt;=0.25,W425,'10. Whatif Control pannel'!$B$2)</f>
        <v>0.168</v>
      </c>
      <c r="Z425" s="24">
        <v>24</v>
      </c>
      <c r="AA425" s="13">
        <f>(1+'10. Whatif Control pannel'!$B$10)*Z425</f>
        <v>28.8</v>
      </c>
      <c r="AB425" s="3">
        <f t="shared" si="98"/>
        <v>29627.32032</v>
      </c>
      <c r="AC425" s="3">
        <f t="shared" si="103"/>
        <v>39819.11851008</v>
      </c>
      <c r="AD425" s="3">
        <f t="shared" si="99"/>
        <v>35733.84</v>
      </c>
      <c r="AE425" s="3">
        <f t="shared" si="100"/>
        <v>-6106.51968</v>
      </c>
      <c r="AF425" s="3">
        <f t="shared" si="104"/>
        <v>4085.27851008</v>
      </c>
      <c r="AG425">
        <f t="shared" si="101"/>
        <v>-0.206111103334505</v>
      </c>
    </row>
    <row r="426" spans="1:33">
      <c r="A426" t="s">
        <v>949</v>
      </c>
      <c r="B426" s="20">
        <v>45341</v>
      </c>
      <c r="C426" s="2">
        <f t="shared" si="90"/>
        <v>2</v>
      </c>
      <c r="D426" s="21">
        <f t="shared" si="102"/>
        <v>45341</v>
      </c>
      <c r="E426" s="19" t="str">
        <f t="shared" si="91"/>
        <v>Quarter 1</v>
      </c>
      <c r="F426" s="19">
        <v>45357</v>
      </c>
      <c r="G426" s="19">
        <f t="shared" si="92"/>
        <v>45357</v>
      </c>
      <c r="H426" s="22">
        <f t="shared" si="93"/>
        <v>16</v>
      </c>
      <c r="I426" t="str">
        <f t="shared" si="94"/>
        <v>Delayed </v>
      </c>
      <c r="J426" t="s">
        <v>45</v>
      </c>
      <c r="K426" t="s">
        <v>116</v>
      </c>
      <c r="L426" t="s">
        <v>338</v>
      </c>
      <c r="M426" t="s">
        <v>27</v>
      </c>
      <c r="N426" t="s">
        <v>40</v>
      </c>
      <c r="O426" t="s">
        <v>68</v>
      </c>
      <c r="P426" t="s">
        <v>30</v>
      </c>
      <c r="Q426" t="s">
        <v>950</v>
      </c>
      <c r="R426" s="3">
        <v>1477.84</v>
      </c>
      <c r="S426" s="3">
        <v>3197.47</v>
      </c>
      <c r="T426" s="3">
        <f t="shared" si="95"/>
        <v>3197.47</v>
      </c>
      <c r="U426" s="3">
        <f>(1+'10. Whatif Control pannel'!$B$6)*T426</f>
        <v>3581.1664</v>
      </c>
      <c r="V426" s="3" t="str">
        <f t="shared" si="96"/>
        <v>High</v>
      </c>
      <c r="W426" s="34">
        <v>0.243</v>
      </c>
      <c r="X426" s="24" t="str">
        <f t="shared" si="97"/>
        <v>High Discount</v>
      </c>
      <c r="Y426" s="36">
        <f>IF(W426&lt;=0.25,W426,'10. Whatif Control pannel'!$B$2)</f>
        <v>0.243</v>
      </c>
      <c r="Z426" s="24">
        <v>24</v>
      </c>
      <c r="AA426" s="13">
        <f>(1+'10. Whatif Control pannel'!$B$10)*Z426</f>
        <v>28.8</v>
      </c>
      <c r="AB426" s="3">
        <f t="shared" si="98"/>
        <v>58091.63496</v>
      </c>
      <c r="AC426" s="3">
        <f t="shared" si="103"/>
        <v>78075.15738624</v>
      </c>
      <c r="AD426" s="3">
        <f t="shared" si="99"/>
        <v>35468.16</v>
      </c>
      <c r="AE426" s="3">
        <f t="shared" si="100"/>
        <v>22623.47496</v>
      </c>
      <c r="AF426" s="3">
        <f t="shared" si="104"/>
        <v>42606.99738624</v>
      </c>
      <c r="AG426">
        <f t="shared" si="101"/>
        <v>0.389444624438231</v>
      </c>
    </row>
    <row r="427" spans="1:33">
      <c r="A427" t="s">
        <v>951</v>
      </c>
      <c r="B427" s="20">
        <v>45349</v>
      </c>
      <c r="C427" s="2">
        <f t="shared" si="90"/>
        <v>2</v>
      </c>
      <c r="D427" s="21">
        <f t="shared" si="102"/>
        <v>45349</v>
      </c>
      <c r="E427" s="19" t="str">
        <f t="shared" si="91"/>
        <v>Quarter 1</v>
      </c>
      <c r="F427" s="19">
        <v>45377</v>
      </c>
      <c r="G427" s="19">
        <f t="shared" si="92"/>
        <v>45377</v>
      </c>
      <c r="H427" s="22">
        <f t="shared" si="93"/>
        <v>28</v>
      </c>
      <c r="I427" t="str">
        <f t="shared" si="94"/>
        <v>Delayed </v>
      </c>
      <c r="J427" t="s">
        <v>45</v>
      </c>
      <c r="K427" t="s">
        <v>60</v>
      </c>
      <c r="L427" t="s">
        <v>220</v>
      </c>
      <c r="M427" t="s">
        <v>27</v>
      </c>
      <c r="N427" t="s">
        <v>40</v>
      </c>
      <c r="O427" t="s">
        <v>41</v>
      </c>
      <c r="P427" t="s">
        <v>57</v>
      </c>
      <c r="Q427" t="s">
        <v>952</v>
      </c>
      <c r="R427" s="3">
        <v>1035.19</v>
      </c>
      <c r="S427" s="3">
        <v>2322.7</v>
      </c>
      <c r="T427" s="3">
        <f t="shared" si="95"/>
        <v>2322.7</v>
      </c>
      <c r="U427" s="3">
        <f>(1+'10. Whatif Control pannel'!$B$6)*T427</f>
        <v>2601.424</v>
      </c>
      <c r="V427" s="3" t="str">
        <f t="shared" si="96"/>
        <v>High</v>
      </c>
      <c r="W427" s="34">
        <v>0.173</v>
      </c>
      <c r="X427" s="24" t="str">
        <f t="shared" si="97"/>
        <v>Okay</v>
      </c>
      <c r="Y427" s="36">
        <f>IF(W427&lt;=0.25,W427,'10. Whatif Control pannel'!$B$2)</f>
        <v>0.173</v>
      </c>
      <c r="Z427" s="24">
        <v>8</v>
      </c>
      <c r="AA427" s="13">
        <f>(1+'10. Whatif Control pannel'!$B$10)*Z427</f>
        <v>9.6</v>
      </c>
      <c r="AB427" s="3">
        <f t="shared" si="98"/>
        <v>15366.9832</v>
      </c>
      <c r="AC427" s="3">
        <f t="shared" si="103"/>
        <v>20653.2254208</v>
      </c>
      <c r="AD427" s="3">
        <f t="shared" si="99"/>
        <v>8281.52</v>
      </c>
      <c r="AE427" s="3">
        <f t="shared" si="100"/>
        <v>7085.4632</v>
      </c>
      <c r="AF427" s="3">
        <f t="shared" si="104"/>
        <v>12371.7054208</v>
      </c>
      <c r="AG427">
        <f t="shared" si="101"/>
        <v>0.461083552170474</v>
      </c>
    </row>
    <row r="428" spans="1:33">
      <c r="A428" t="s">
        <v>953</v>
      </c>
      <c r="B428" s="20">
        <v>45897</v>
      </c>
      <c r="C428" s="2">
        <f t="shared" si="90"/>
        <v>8</v>
      </c>
      <c r="D428" s="21">
        <f t="shared" si="102"/>
        <v>45897</v>
      </c>
      <c r="E428" s="19" t="str">
        <f t="shared" si="91"/>
        <v>Quarter 3</v>
      </c>
      <c r="F428" s="19">
        <v>45905</v>
      </c>
      <c r="G428" s="19">
        <f t="shared" si="92"/>
        <v>45905</v>
      </c>
      <c r="H428" s="22">
        <f t="shared" si="93"/>
        <v>8</v>
      </c>
      <c r="I428" t="str">
        <f t="shared" si="94"/>
        <v>Delayed </v>
      </c>
      <c r="J428" t="s">
        <v>16</v>
      </c>
      <c r="K428" t="s">
        <v>25</v>
      </c>
      <c r="L428" t="s">
        <v>26</v>
      </c>
      <c r="M428" t="s">
        <v>62</v>
      </c>
      <c r="N428" t="s">
        <v>40</v>
      </c>
      <c r="O428" t="s">
        <v>63</v>
      </c>
      <c r="P428" t="s">
        <v>57</v>
      </c>
      <c r="Q428" t="s">
        <v>954</v>
      </c>
      <c r="R428" s="3">
        <v>1271.1</v>
      </c>
      <c r="S428" s="3">
        <v>1932.42</v>
      </c>
      <c r="T428" s="3">
        <f t="shared" si="95"/>
        <v>1932.42</v>
      </c>
      <c r="U428" s="3">
        <f>(1+'10. Whatif Control pannel'!$B$6)*T428</f>
        <v>2164.3104</v>
      </c>
      <c r="V428" s="3" t="str">
        <f t="shared" si="96"/>
        <v>High</v>
      </c>
      <c r="W428" s="34">
        <v>0.25</v>
      </c>
      <c r="X428" s="24" t="str">
        <f t="shared" si="97"/>
        <v>High Discount</v>
      </c>
      <c r="Y428" s="36">
        <f>IF(W428&lt;=0.25,W428,'10. Whatif Control pannel'!$B$2)</f>
        <v>0.25</v>
      </c>
      <c r="Z428" s="24">
        <v>21</v>
      </c>
      <c r="AA428" s="13">
        <f>(1+'10. Whatif Control pannel'!$B$10)*Z428</f>
        <v>25.2</v>
      </c>
      <c r="AB428" s="3">
        <f t="shared" si="98"/>
        <v>30435.615</v>
      </c>
      <c r="AC428" s="3">
        <f t="shared" si="103"/>
        <v>40905.46656</v>
      </c>
      <c r="AD428" s="3">
        <f t="shared" si="99"/>
        <v>26693.1</v>
      </c>
      <c r="AE428" s="3">
        <f t="shared" si="100"/>
        <v>3742.515</v>
      </c>
      <c r="AF428" s="3">
        <f t="shared" si="104"/>
        <v>14212.36656</v>
      </c>
      <c r="AG428">
        <f t="shared" si="101"/>
        <v>0.122964986907608</v>
      </c>
    </row>
    <row r="429" spans="1:33">
      <c r="A429" t="s">
        <v>955</v>
      </c>
      <c r="B429" s="20">
        <v>45522</v>
      </c>
      <c r="C429" s="2">
        <f t="shared" si="90"/>
        <v>8</v>
      </c>
      <c r="D429" s="21">
        <f t="shared" si="102"/>
        <v>45522</v>
      </c>
      <c r="E429" s="19" t="str">
        <f t="shared" si="91"/>
        <v>Quarter 3</v>
      </c>
      <c r="F429" s="19">
        <v>45547</v>
      </c>
      <c r="G429" s="19">
        <f t="shared" si="92"/>
        <v>45547</v>
      </c>
      <c r="H429" s="22">
        <f t="shared" si="93"/>
        <v>25</v>
      </c>
      <c r="I429" t="str">
        <f t="shared" si="94"/>
        <v>Delayed </v>
      </c>
      <c r="J429" t="s">
        <v>45</v>
      </c>
      <c r="K429" t="s">
        <v>60</v>
      </c>
      <c r="L429" t="s">
        <v>220</v>
      </c>
      <c r="M429" t="s">
        <v>48</v>
      </c>
      <c r="N429" t="s">
        <v>40</v>
      </c>
      <c r="O429" t="s">
        <v>21</v>
      </c>
      <c r="P429" t="s">
        <v>42</v>
      </c>
      <c r="Q429" t="s">
        <v>956</v>
      </c>
      <c r="R429" s="3">
        <v>1154.03</v>
      </c>
      <c r="S429" s="3">
        <v>1590.36</v>
      </c>
      <c r="T429" s="3">
        <f t="shared" si="95"/>
        <v>1590.36</v>
      </c>
      <c r="U429" s="3">
        <f>(1+'10. Whatif Control pannel'!$B$6)*T429</f>
        <v>1781.2032</v>
      </c>
      <c r="V429" s="3" t="str">
        <f t="shared" si="96"/>
        <v>Medium</v>
      </c>
      <c r="W429" s="34">
        <v>0.314</v>
      </c>
      <c r="X429" s="24" t="str">
        <f t="shared" si="97"/>
        <v>High Discount</v>
      </c>
      <c r="Y429" s="36">
        <f>IF(W429&lt;=0.25,W429,'10. Whatif Control pannel'!$B$2)</f>
        <v>0.23</v>
      </c>
      <c r="Z429" s="24">
        <v>18</v>
      </c>
      <c r="AA429" s="13">
        <f>(1+'10. Whatif Control pannel'!$B$10)*Z429</f>
        <v>21.6</v>
      </c>
      <c r="AB429" s="3">
        <f t="shared" si="98"/>
        <v>19637.76528</v>
      </c>
      <c r="AC429" s="3">
        <f t="shared" si="103"/>
        <v>29624.9716224</v>
      </c>
      <c r="AD429" s="3">
        <f t="shared" si="99"/>
        <v>20772.54</v>
      </c>
      <c r="AE429" s="3">
        <f t="shared" si="100"/>
        <v>-1134.77472</v>
      </c>
      <c r="AF429" s="3">
        <f t="shared" si="104"/>
        <v>8852.4316224</v>
      </c>
      <c r="AG429">
        <f t="shared" si="101"/>
        <v>-0.0577853286165767</v>
      </c>
    </row>
    <row r="430" spans="1:33">
      <c r="A430" t="s">
        <v>957</v>
      </c>
      <c r="B430" s="20">
        <v>45347</v>
      </c>
      <c r="C430" s="2">
        <f t="shared" si="90"/>
        <v>2</v>
      </c>
      <c r="D430" s="21">
        <f t="shared" si="102"/>
        <v>45347</v>
      </c>
      <c r="E430" s="19" t="str">
        <f t="shared" si="91"/>
        <v>Quarter 1</v>
      </c>
      <c r="F430" s="19">
        <v>45360</v>
      </c>
      <c r="G430" s="19">
        <f t="shared" si="92"/>
        <v>45360</v>
      </c>
      <c r="H430" s="22">
        <f t="shared" si="93"/>
        <v>13</v>
      </c>
      <c r="I430" t="str">
        <f t="shared" si="94"/>
        <v>Delayed </v>
      </c>
      <c r="J430" t="s">
        <v>78</v>
      </c>
      <c r="K430" t="s">
        <v>90</v>
      </c>
      <c r="L430" t="s">
        <v>91</v>
      </c>
      <c r="M430" t="s">
        <v>62</v>
      </c>
      <c r="N430" t="s">
        <v>55</v>
      </c>
      <c r="O430" t="s">
        <v>63</v>
      </c>
      <c r="P430" t="s">
        <v>64</v>
      </c>
      <c r="Q430" t="s">
        <v>958</v>
      </c>
      <c r="R430" s="3">
        <v>322.44</v>
      </c>
      <c r="S430" s="3">
        <v>395.61</v>
      </c>
      <c r="T430" s="3">
        <f t="shared" si="95"/>
        <v>395.61</v>
      </c>
      <c r="U430" s="3">
        <f>(1+'10. Whatif Control pannel'!$B$6)*T430</f>
        <v>443.0832</v>
      </c>
      <c r="V430" s="3" t="str">
        <f t="shared" si="96"/>
        <v>Low</v>
      </c>
      <c r="W430" s="34">
        <v>0</v>
      </c>
      <c r="X430" s="24" t="str">
        <f t="shared" si="97"/>
        <v>Okay</v>
      </c>
      <c r="Y430" s="36">
        <f>IF(W430&lt;=0.25,W430,'10. Whatif Control pannel'!$B$2)</f>
        <v>0</v>
      </c>
      <c r="Z430" s="24">
        <v>34</v>
      </c>
      <c r="AA430" s="13">
        <f>(1+'10. Whatif Control pannel'!$B$10)*Z430</f>
        <v>40.8</v>
      </c>
      <c r="AB430" s="3">
        <f t="shared" si="98"/>
        <v>13450.74</v>
      </c>
      <c r="AC430" s="3">
        <f t="shared" si="103"/>
        <v>18077.79456</v>
      </c>
      <c r="AD430" s="3">
        <f t="shared" si="99"/>
        <v>10962.96</v>
      </c>
      <c r="AE430" s="3">
        <f t="shared" si="100"/>
        <v>2487.78</v>
      </c>
      <c r="AF430" s="3">
        <f t="shared" si="104"/>
        <v>7114.83456</v>
      </c>
      <c r="AG430">
        <f t="shared" si="101"/>
        <v>0.184954879805869</v>
      </c>
    </row>
    <row r="431" spans="1:33">
      <c r="A431" t="s">
        <v>959</v>
      </c>
      <c r="B431" s="20">
        <v>45784</v>
      </c>
      <c r="C431" s="2">
        <f t="shared" si="90"/>
        <v>5</v>
      </c>
      <c r="D431" s="21">
        <f t="shared" si="102"/>
        <v>45784</v>
      </c>
      <c r="E431" s="19" t="str">
        <f t="shared" si="91"/>
        <v>Quarter 2</v>
      </c>
      <c r="F431" s="19">
        <v>45790</v>
      </c>
      <c r="G431" s="19">
        <f t="shared" si="92"/>
        <v>45790</v>
      </c>
      <c r="H431" s="22">
        <f t="shared" si="93"/>
        <v>6</v>
      </c>
      <c r="I431" t="str">
        <f t="shared" si="94"/>
        <v>Ontime</v>
      </c>
      <c r="J431" t="s">
        <v>45</v>
      </c>
      <c r="K431" t="s">
        <v>60</v>
      </c>
      <c r="L431" t="s">
        <v>61</v>
      </c>
      <c r="M431" t="s">
        <v>105</v>
      </c>
      <c r="N431" t="s">
        <v>98</v>
      </c>
      <c r="O431" t="s">
        <v>29</v>
      </c>
      <c r="P431" t="s">
        <v>42</v>
      </c>
      <c r="Q431" t="s">
        <v>960</v>
      </c>
      <c r="R431" s="3">
        <v>935.98</v>
      </c>
      <c r="S431" s="3">
        <v>2077.69</v>
      </c>
      <c r="T431" s="3">
        <f t="shared" si="95"/>
        <v>2077.69</v>
      </c>
      <c r="U431" s="3">
        <f>(1+'10. Whatif Control pannel'!$B$6)*T431</f>
        <v>2327.0128</v>
      </c>
      <c r="V431" s="3" t="str">
        <f t="shared" si="96"/>
        <v>High</v>
      </c>
      <c r="W431" s="34">
        <v>0.175</v>
      </c>
      <c r="X431" s="24" t="str">
        <f t="shared" si="97"/>
        <v>Okay</v>
      </c>
      <c r="Y431" s="36">
        <f>IF(W431&lt;=0.25,W431,'10. Whatif Control pannel'!$B$2)</f>
        <v>0.175</v>
      </c>
      <c r="Z431" s="24">
        <v>24</v>
      </c>
      <c r="AA431" s="13">
        <f>(1+'10. Whatif Control pannel'!$B$10)*Z431</f>
        <v>28.8</v>
      </c>
      <c r="AB431" s="3">
        <f t="shared" si="98"/>
        <v>41138.262</v>
      </c>
      <c r="AC431" s="3">
        <f t="shared" si="103"/>
        <v>55289.824128</v>
      </c>
      <c r="AD431" s="3">
        <f t="shared" si="99"/>
        <v>22463.52</v>
      </c>
      <c r="AE431" s="3">
        <f t="shared" si="100"/>
        <v>18674.742</v>
      </c>
      <c r="AF431" s="3">
        <f t="shared" si="104"/>
        <v>32826.304128</v>
      </c>
      <c r="AG431">
        <f t="shared" si="101"/>
        <v>0.453950679783215</v>
      </c>
    </row>
    <row r="432" spans="1:33">
      <c r="A432" t="s">
        <v>961</v>
      </c>
      <c r="B432" s="20">
        <v>45597</v>
      </c>
      <c r="C432" s="2">
        <f t="shared" si="90"/>
        <v>11</v>
      </c>
      <c r="D432" s="21">
        <f t="shared" si="102"/>
        <v>45597</v>
      </c>
      <c r="E432" s="19" t="str">
        <f t="shared" si="91"/>
        <v>Quarter 4</v>
      </c>
      <c r="F432" s="19">
        <v>45608</v>
      </c>
      <c r="G432" s="19">
        <f t="shared" si="92"/>
        <v>45608</v>
      </c>
      <c r="H432" s="22">
        <f t="shared" si="93"/>
        <v>11</v>
      </c>
      <c r="I432" t="str">
        <f t="shared" si="94"/>
        <v>Delayed </v>
      </c>
      <c r="J432" t="s">
        <v>78</v>
      </c>
      <c r="K432" t="s">
        <v>79</v>
      </c>
      <c r="L432" t="s">
        <v>335</v>
      </c>
      <c r="M432" t="s">
        <v>48</v>
      </c>
      <c r="N432" t="s">
        <v>28</v>
      </c>
      <c r="O432" t="s">
        <v>56</v>
      </c>
      <c r="P432" t="s">
        <v>30</v>
      </c>
      <c r="Q432" t="s">
        <v>962</v>
      </c>
      <c r="R432" s="3">
        <v>599.84</v>
      </c>
      <c r="S432" s="3">
        <v>1330.85</v>
      </c>
      <c r="T432" s="3">
        <f t="shared" si="95"/>
        <v>1330.85</v>
      </c>
      <c r="U432" s="3">
        <f>(1+'10. Whatif Control pannel'!$B$6)*T432</f>
        <v>1490.552</v>
      </c>
      <c r="V432" s="3" t="str">
        <f t="shared" si="96"/>
        <v>Medium</v>
      </c>
      <c r="W432" s="34">
        <v>0.115</v>
      </c>
      <c r="X432" s="24" t="str">
        <f t="shared" si="97"/>
        <v>Okay</v>
      </c>
      <c r="Y432" s="36">
        <f>IF(W432&lt;=0.25,W432,'10. Whatif Control pannel'!$B$2)</f>
        <v>0.115</v>
      </c>
      <c r="Z432" s="24">
        <v>11</v>
      </c>
      <c r="AA432" s="13">
        <f>(1+'10. Whatif Control pannel'!$B$10)*Z432</f>
        <v>13.2</v>
      </c>
      <c r="AB432" s="3">
        <f t="shared" si="98"/>
        <v>12955.82475</v>
      </c>
      <c r="AC432" s="3">
        <f t="shared" si="103"/>
        <v>17412.628464</v>
      </c>
      <c r="AD432" s="3">
        <f t="shared" si="99"/>
        <v>6598.24</v>
      </c>
      <c r="AE432" s="3">
        <f t="shared" si="100"/>
        <v>6357.58475</v>
      </c>
      <c r="AF432" s="3">
        <f t="shared" si="104"/>
        <v>10814.388464</v>
      </c>
      <c r="AG432">
        <f t="shared" si="101"/>
        <v>0.490712468922521</v>
      </c>
    </row>
    <row r="433" spans="1:33">
      <c r="A433" t="s">
        <v>963</v>
      </c>
      <c r="B433" s="20">
        <v>45654</v>
      </c>
      <c r="C433" s="2">
        <f t="shared" si="90"/>
        <v>12</v>
      </c>
      <c r="D433" s="21">
        <f t="shared" si="102"/>
        <v>45654</v>
      </c>
      <c r="E433" s="19" t="str">
        <f t="shared" si="91"/>
        <v>Quarter 4</v>
      </c>
      <c r="F433" s="19">
        <v>45665</v>
      </c>
      <c r="G433" s="19">
        <f t="shared" si="92"/>
        <v>45665</v>
      </c>
      <c r="H433" s="22">
        <f t="shared" si="93"/>
        <v>11</v>
      </c>
      <c r="I433" t="str">
        <f t="shared" si="94"/>
        <v>Delayed </v>
      </c>
      <c r="J433" t="s">
        <v>45</v>
      </c>
      <c r="K433" t="s">
        <v>116</v>
      </c>
      <c r="L433" t="s">
        <v>117</v>
      </c>
      <c r="M433" t="s">
        <v>105</v>
      </c>
      <c r="N433" t="s">
        <v>28</v>
      </c>
      <c r="O433" t="s">
        <v>95</v>
      </c>
      <c r="P433" t="s">
        <v>57</v>
      </c>
      <c r="Q433" t="s">
        <v>964</v>
      </c>
      <c r="R433" s="3">
        <v>1201.31</v>
      </c>
      <c r="S433" s="3">
        <v>2764.65</v>
      </c>
      <c r="T433" s="3">
        <f t="shared" si="95"/>
        <v>2764.65</v>
      </c>
      <c r="U433" s="3">
        <f>(1+'10. Whatif Control pannel'!$B$6)*T433</f>
        <v>3096.408</v>
      </c>
      <c r="V433" s="3" t="str">
        <f t="shared" si="96"/>
        <v>High</v>
      </c>
      <c r="W433" s="34">
        <v>0</v>
      </c>
      <c r="X433" s="24" t="str">
        <f t="shared" si="97"/>
        <v>Okay</v>
      </c>
      <c r="Y433" s="36">
        <f>IF(W433&lt;=0.25,W433,'10. Whatif Control pannel'!$B$2)</f>
        <v>0</v>
      </c>
      <c r="Z433" s="24">
        <v>21</v>
      </c>
      <c r="AA433" s="13">
        <f>(1+'10. Whatif Control pannel'!$B$10)*Z433</f>
        <v>25.2</v>
      </c>
      <c r="AB433" s="3">
        <f t="shared" si="98"/>
        <v>58057.65</v>
      </c>
      <c r="AC433" s="3">
        <f t="shared" si="103"/>
        <v>78029.4816</v>
      </c>
      <c r="AD433" s="3">
        <f t="shared" si="99"/>
        <v>25227.51</v>
      </c>
      <c r="AE433" s="3">
        <f t="shared" si="100"/>
        <v>32830.14</v>
      </c>
      <c r="AF433" s="3">
        <f t="shared" si="104"/>
        <v>52801.9716</v>
      </c>
      <c r="AG433">
        <f t="shared" si="101"/>
        <v>0.565474834065795</v>
      </c>
    </row>
    <row r="434" spans="1:33">
      <c r="A434" t="s">
        <v>965</v>
      </c>
      <c r="B434" s="20">
        <v>45220</v>
      </c>
      <c r="C434" s="2">
        <f t="shared" si="90"/>
        <v>10</v>
      </c>
      <c r="D434" s="21">
        <f t="shared" si="102"/>
        <v>45220</v>
      </c>
      <c r="E434" s="19" t="str">
        <f t="shared" si="91"/>
        <v>Quarter 4</v>
      </c>
      <c r="F434" s="19">
        <v>45220</v>
      </c>
      <c r="G434" s="19">
        <f t="shared" si="92"/>
        <v>45220</v>
      </c>
      <c r="H434" s="22">
        <f t="shared" si="93"/>
        <v>0</v>
      </c>
      <c r="I434" t="str">
        <f t="shared" si="94"/>
        <v>Ontime</v>
      </c>
      <c r="J434" t="s">
        <v>78</v>
      </c>
      <c r="K434" t="s">
        <v>108</v>
      </c>
      <c r="L434" t="s">
        <v>228</v>
      </c>
      <c r="M434" t="s">
        <v>105</v>
      </c>
      <c r="N434" t="s">
        <v>55</v>
      </c>
      <c r="O434" t="s">
        <v>29</v>
      </c>
      <c r="P434" t="s">
        <v>64</v>
      </c>
      <c r="Q434" t="s">
        <v>966</v>
      </c>
      <c r="R434" s="3">
        <v>384.19</v>
      </c>
      <c r="S434" s="3">
        <v>278.35</v>
      </c>
      <c r="T434" s="3">
        <f t="shared" si="95"/>
        <v>278.35</v>
      </c>
      <c r="U434" s="3">
        <f>(1+'10. Whatif Control pannel'!$B$6)*T434</f>
        <v>311.752</v>
      </c>
      <c r="V434" s="3" t="str">
        <f t="shared" si="96"/>
        <v>Low</v>
      </c>
      <c r="W434" s="34">
        <v>0.056</v>
      </c>
      <c r="X434" s="24" t="str">
        <f t="shared" si="97"/>
        <v>Okay</v>
      </c>
      <c r="Y434" s="36">
        <f>IF(W434&lt;=0.25,W434,'10. Whatif Control pannel'!$B$2)</f>
        <v>0.056</v>
      </c>
      <c r="Z434" s="24">
        <v>10</v>
      </c>
      <c r="AA434" s="13">
        <f>(1+'10. Whatif Control pannel'!$B$10)*Z434</f>
        <v>12</v>
      </c>
      <c r="AB434" s="3">
        <f t="shared" si="98"/>
        <v>2627.624</v>
      </c>
      <c r="AC434" s="3">
        <f t="shared" si="103"/>
        <v>3531.526656</v>
      </c>
      <c r="AD434" s="3">
        <f t="shared" si="99"/>
        <v>3841.9</v>
      </c>
      <c r="AE434" s="3">
        <f t="shared" si="100"/>
        <v>-1214.276</v>
      </c>
      <c r="AF434" s="3">
        <f t="shared" si="104"/>
        <v>-310.373344</v>
      </c>
      <c r="AG434">
        <f t="shared" si="101"/>
        <v>-0.462119389988827</v>
      </c>
    </row>
    <row r="435" spans="1:33">
      <c r="A435" t="s">
        <v>967</v>
      </c>
      <c r="B435" s="20">
        <v>45636</v>
      </c>
      <c r="C435" s="2">
        <f t="shared" si="90"/>
        <v>12</v>
      </c>
      <c r="D435" s="21">
        <f t="shared" si="102"/>
        <v>45636</v>
      </c>
      <c r="E435" s="19" t="str">
        <f t="shared" si="91"/>
        <v>Quarter 4</v>
      </c>
      <c r="F435" s="19">
        <v>45645</v>
      </c>
      <c r="G435" s="19">
        <f t="shared" si="92"/>
        <v>45645</v>
      </c>
      <c r="H435" s="22">
        <f t="shared" si="93"/>
        <v>9</v>
      </c>
      <c r="I435" t="str">
        <f t="shared" si="94"/>
        <v>Delayed </v>
      </c>
      <c r="J435" t="s">
        <v>16</v>
      </c>
      <c r="K435" t="s">
        <v>25</v>
      </c>
      <c r="L435" t="s">
        <v>38</v>
      </c>
      <c r="M435" t="s">
        <v>19</v>
      </c>
      <c r="N435" t="s">
        <v>20</v>
      </c>
      <c r="O435" t="s">
        <v>68</v>
      </c>
      <c r="P435" t="s">
        <v>64</v>
      </c>
      <c r="Q435" t="s">
        <v>968</v>
      </c>
      <c r="R435" s="3">
        <v>488.68</v>
      </c>
      <c r="S435" s="3">
        <v>984.36</v>
      </c>
      <c r="T435" s="3">
        <f t="shared" si="95"/>
        <v>984.36</v>
      </c>
      <c r="U435" s="3">
        <f>(1+'10. Whatif Control pannel'!$B$6)*T435</f>
        <v>1102.4832</v>
      </c>
      <c r="V435" s="3" t="str">
        <f t="shared" si="96"/>
        <v>Medium</v>
      </c>
      <c r="W435" s="34">
        <v>0.059</v>
      </c>
      <c r="X435" s="24" t="str">
        <f t="shared" si="97"/>
        <v>Okay</v>
      </c>
      <c r="Y435" s="36">
        <f>IF(W435&lt;=0.25,W435,'10. Whatif Control pannel'!$B$2)</f>
        <v>0.059</v>
      </c>
      <c r="Z435" s="24">
        <v>14</v>
      </c>
      <c r="AA435" s="13">
        <f>(1+'10. Whatif Control pannel'!$B$10)*Z435</f>
        <v>16.8</v>
      </c>
      <c r="AB435" s="3">
        <f t="shared" si="98"/>
        <v>12967.95864</v>
      </c>
      <c r="AC435" s="3">
        <f t="shared" si="103"/>
        <v>17428.93641216</v>
      </c>
      <c r="AD435" s="3">
        <f t="shared" si="99"/>
        <v>6841.52</v>
      </c>
      <c r="AE435" s="3">
        <f t="shared" si="100"/>
        <v>6126.43864</v>
      </c>
      <c r="AF435" s="3">
        <f t="shared" si="104"/>
        <v>10587.41641216</v>
      </c>
      <c r="AG435">
        <f t="shared" si="101"/>
        <v>0.472428915766499</v>
      </c>
    </row>
    <row r="436" spans="1:33">
      <c r="A436" t="s">
        <v>969</v>
      </c>
      <c r="B436" s="20">
        <v>45542</v>
      </c>
      <c r="C436" s="2">
        <f t="shared" si="90"/>
        <v>9</v>
      </c>
      <c r="D436" s="21">
        <f t="shared" si="102"/>
        <v>45542</v>
      </c>
      <c r="E436" s="19" t="str">
        <f t="shared" si="91"/>
        <v>Quarter 3</v>
      </c>
      <c r="F436" s="19">
        <v>45553</v>
      </c>
      <c r="G436" s="19">
        <f t="shared" si="92"/>
        <v>45553</v>
      </c>
      <c r="H436" s="22">
        <f t="shared" si="93"/>
        <v>11</v>
      </c>
      <c r="I436" t="str">
        <f t="shared" si="94"/>
        <v>Delayed </v>
      </c>
      <c r="J436" t="s">
        <v>45</v>
      </c>
      <c r="K436" t="s">
        <v>116</v>
      </c>
      <c r="L436" t="s">
        <v>338</v>
      </c>
      <c r="M436" t="s">
        <v>48</v>
      </c>
      <c r="N436" t="s">
        <v>55</v>
      </c>
      <c r="O436" t="s">
        <v>68</v>
      </c>
      <c r="P436" t="s">
        <v>35</v>
      </c>
      <c r="Q436" t="s">
        <v>970</v>
      </c>
      <c r="R436" s="3">
        <v>181.74</v>
      </c>
      <c r="S436" s="3">
        <v>190.84</v>
      </c>
      <c r="T436" s="3">
        <f t="shared" si="95"/>
        <v>190.84</v>
      </c>
      <c r="U436" s="3">
        <f>(1+'10. Whatif Control pannel'!$B$6)*T436</f>
        <v>213.7408</v>
      </c>
      <c r="V436" s="3" t="str">
        <f t="shared" si="96"/>
        <v>Low</v>
      </c>
      <c r="W436" s="34">
        <v>0.214</v>
      </c>
      <c r="X436" s="24" t="str">
        <f t="shared" si="97"/>
        <v>High Discount</v>
      </c>
      <c r="Y436" s="36">
        <f>IF(W436&lt;=0.25,W436,'10. Whatif Control pannel'!$B$2)</f>
        <v>0.214</v>
      </c>
      <c r="Z436" s="24">
        <v>13</v>
      </c>
      <c r="AA436" s="13">
        <f>(1+'10. Whatif Control pannel'!$B$10)*Z436</f>
        <v>15.6</v>
      </c>
      <c r="AB436" s="3">
        <f t="shared" si="98"/>
        <v>1950.00312</v>
      </c>
      <c r="AC436" s="3">
        <f t="shared" si="103"/>
        <v>2620.80419328</v>
      </c>
      <c r="AD436" s="3">
        <f t="shared" si="99"/>
        <v>2362.62</v>
      </c>
      <c r="AE436" s="3">
        <f t="shared" si="100"/>
        <v>-412.61688</v>
      </c>
      <c r="AF436" s="3">
        <f t="shared" si="104"/>
        <v>258.184193280001</v>
      </c>
      <c r="AG436">
        <f t="shared" si="101"/>
        <v>-0.211598061443102</v>
      </c>
    </row>
    <row r="437" spans="1:33">
      <c r="A437" t="s">
        <v>971</v>
      </c>
      <c r="B437" s="20">
        <v>45217</v>
      </c>
      <c r="C437" s="2">
        <f t="shared" si="90"/>
        <v>10</v>
      </c>
      <c r="D437" s="21">
        <f t="shared" si="102"/>
        <v>45217</v>
      </c>
      <c r="E437" s="19" t="str">
        <f t="shared" si="91"/>
        <v>Quarter 4</v>
      </c>
      <c r="F437" s="19">
        <v>45219</v>
      </c>
      <c r="G437" s="19">
        <f t="shared" si="92"/>
        <v>45219</v>
      </c>
      <c r="H437" s="22">
        <f t="shared" si="93"/>
        <v>2</v>
      </c>
      <c r="I437" t="str">
        <f t="shared" si="94"/>
        <v>Ontime</v>
      </c>
      <c r="J437" t="s">
        <v>16</v>
      </c>
      <c r="K437" t="s">
        <v>17</v>
      </c>
      <c r="L437" t="s">
        <v>18</v>
      </c>
      <c r="M437" t="s">
        <v>48</v>
      </c>
      <c r="N437" t="s">
        <v>20</v>
      </c>
      <c r="O437" t="s">
        <v>29</v>
      </c>
      <c r="P437" t="s">
        <v>42</v>
      </c>
      <c r="Q437" t="s">
        <v>972</v>
      </c>
      <c r="R437" s="3">
        <v>774.12</v>
      </c>
      <c r="S437" s="3">
        <v>908.3</v>
      </c>
      <c r="T437" s="3">
        <f t="shared" si="95"/>
        <v>908.3</v>
      </c>
      <c r="U437" s="3">
        <f>(1+'10. Whatif Control pannel'!$B$6)*T437</f>
        <v>1017.296</v>
      </c>
      <c r="V437" s="3" t="str">
        <f t="shared" si="96"/>
        <v>Medium</v>
      </c>
      <c r="W437" s="34">
        <v>0</v>
      </c>
      <c r="X437" s="24" t="str">
        <f t="shared" si="97"/>
        <v>Okay</v>
      </c>
      <c r="Y437" s="36">
        <f>IF(W437&lt;=0.25,W437,'10. Whatif Control pannel'!$B$2)</f>
        <v>0</v>
      </c>
      <c r="Z437" s="24">
        <v>30</v>
      </c>
      <c r="AA437" s="13">
        <f>(1+'10. Whatif Control pannel'!$B$10)*Z437</f>
        <v>36</v>
      </c>
      <c r="AB437" s="3">
        <f t="shared" si="98"/>
        <v>27249</v>
      </c>
      <c r="AC437" s="3">
        <f t="shared" si="103"/>
        <v>36622.656</v>
      </c>
      <c r="AD437" s="3">
        <f t="shared" si="99"/>
        <v>23223.6</v>
      </c>
      <c r="AE437" s="3">
        <f t="shared" si="100"/>
        <v>4025.4</v>
      </c>
      <c r="AF437" s="3">
        <f t="shared" si="104"/>
        <v>13399.056</v>
      </c>
      <c r="AG437">
        <f t="shared" si="101"/>
        <v>0.147726522074205</v>
      </c>
    </row>
    <row r="438" spans="1:33">
      <c r="A438" t="s">
        <v>973</v>
      </c>
      <c r="B438" s="20">
        <v>45650</v>
      </c>
      <c r="C438" s="2">
        <f t="shared" si="90"/>
        <v>12</v>
      </c>
      <c r="D438" s="21">
        <f t="shared" si="102"/>
        <v>45650</v>
      </c>
      <c r="E438" s="19" t="str">
        <f t="shared" si="91"/>
        <v>Quarter 4</v>
      </c>
      <c r="F438" s="19">
        <v>45670</v>
      </c>
      <c r="G438" s="19">
        <f t="shared" si="92"/>
        <v>45670</v>
      </c>
      <c r="H438" s="22">
        <f t="shared" si="93"/>
        <v>20</v>
      </c>
      <c r="I438" t="str">
        <f t="shared" si="94"/>
        <v>Delayed </v>
      </c>
      <c r="J438" t="s">
        <v>45</v>
      </c>
      <c r="K438" t="s">
        <v>60</v>
      </c>
      <c r="L438" t="s">
        <v>61</v>
      </c>
      <c r="M438" t="s">
        <v>19</v>
      </c>
      <c r="N438" t="s">
        <v>40</v>
      </c>
      <c r="O438" t="s">
        <v>145</v>
      </c>
      <c r="P438" t="s">
        <v>35</v>
      </c>
      <c r="Q438" t="s">
        <v>974</v>
      </c>
      <c r="R438" s="3">
        <v>126.15</v>
      </c>
      <c r="S438" s="3">
        <v>284.23</v>
      </c>
      <c r="T438" s="3">
        <f t="shared" si="95"/>
        <v>284.23</v>
      </c>
      <c r="U438" s="3">
        <f>(1+'10. Whatif Control pannel'!$B$6)*T438</f>
        <v>318.3376</v>
      </c>
      <c r="V438" s="3" t="str">
        <f t="shared" si="96"/>
        <v>Low</v>
      </c>
      <c r="W438" s="34">
        <v>0.113</v>
      </c>
      <c r="X438" s="24" t="str">
        <f t="shared" si="97"/>
        <v>Okay</v>
      </c>
      <c r="Y438" s="36">
        <f>IF(W438&lt;=0.25,W438,'10. Whatif Control pannel'!$B$2)</f>
        <v>0.113</v>
      </c>
      <c r="Z438" s="24">
        <v>22</v>
      </c>
      <c r="AA438" s="13">
        <f>(1+'10. Whatif Control pannel'!$B$10)*Z438</f>
        <v>26.4</v>
      </c>
      <c r="AB438" s="3">
        <f t="shared" si="98"/>
        <v>5546.46422</v>
      </c>
      <c r="AC438" s="3">
        <f t="shared" si="103"/>
        <v>7454.44791168</v>
      </c>
      <c r="AD438" s="3">
        <f t="shared" si="99"/>
        <v>2775.3</v>
      </c>
      <c r="AE438" s="3">
        <f t="shared" si="100"/>
        <v>2771.16422</v>
      </c>
      <c r="AF438" s="3">
        <f t="shared" si="104"/>
        <v>4679.14791168</v>
      </c>
      <c r="AG438">
        <f t="shared" si="101"/>
        <v>0.499627169685411</v>
      </c>
    </row>
    <row r="439" spans="1:33">
      <c r="A439" t="s">
        <v>975</v>
      </c>
      <c r="B439" s="20">
        <v>45037</v>
      </c>
      <c r="C439" s="2">
        <f t="shared" si="90"/>
        <v>4</v>
      </c>
      <c r="D439" s="21">
        <f t="shared" si="102"/>
        <v>45037</v>
      </c>
      <c r="E439" s="19" t="str">
        <f t="shared" si="91"/>
        <v>Quarter 2</v>
      </c>
      <c r="F439" s="19">
        <v>45035</v>
      </c>
      <c r="G439" s="19">
        <f t="shared" si="92"/>
        <v>45044</v>
      </c>
      <c r="H439" s="22">
        <f t="shared" si="93"/>
        <v>7</v>
      </c>
      <c r="I439" t="str">
        <f t="shared" si="94"/>
        <v>Ontime</v>
      </c>
      <c r="J439" t="s">
        <v>45</v>
      </c>
      <c r="K439" t="s">
        <v>46</v>
      </c>
      <c r="L439" t="s">
        <v>231</v>
      </c>
      <c r="M439" t="s">
        <v>62</v>
      </c>
      <c r="N439" t="s">
        <v>98</v>
      </c>
      <c r="O439" t="s">
        <v>110</v>
      </c>
      <c r="P439" t="s">
        <v>22</v>
      </c>
      <c r="Q439" t="s">
        <v>976</v>
      </c>
      <c r="R439" s="3">
        <v>607.04</v>
      </c>
      <c r="S439" s="3">
        <v>1229.34</v>
      </c>
      <c r="T439" s="3">
        <f t="shared" si="95"/>
        <v>1229.34</v>
      </c>
      <c r="U439" s="3">
        <f>(1+'10. Whatif Control pannel'!$B$6)*T439</f>
        <v>1376.8608</v>
      </c>
      <c r="V439" s="3" t="str">
        <f t="shared" si="96"/>
        <v>Medium</v>
      </c>
      <c r="W439" s="34">
        <v>0.147</v>
      </c>
      <c r="X439" s="24" t="str">
        <f t="shared" si="97"/>
        <v>Okay</v>
      </c>
      <c r="Y439" s="36">
        <f>IF(W439&lt;=0.25,W439,'10. Whatif Control pannel'!$B$2)</f>
        <v>0.147</v>
      </c>
      <c r="Z439" s="24">
        <v>7</v>
      </c>
      <c r="AA439" s="13">
        <f>(1+'10. Whatif Control pannel'!$B$10)*Z439</f>
        <v>8.4</v>
      </c>
      <c r="AB439" s="3">
        <f t="shared" si="98"/>
        <v>7340.38914</v>
      </c>
      <c r="AC439" s="3">
        <f t="shared" si="103"/>
        <v>9865.48300416</v>
      </c>
      <c r="AD439" s="3">
        <f t="shared" si="99"/>
        <v>4249.28</v>
      </c>
      <c r="AE439" s="3">
        <f t="shared" si="100"/>
        <v>3091.10914</v>
      </c>
      <c r="AF439" s="3">
        <f t="shared" si="104"/>
        <v>5616.20300416</v>
      </c>
      <c r="AG439">
        <f t="shared" si="101"/>
        <v>0.421109709723101</v>
      </c>
    </row>
    <row r="440" spans="1:33">
      <c r="A440" t="s">
        <v>977</v>
      </c>
      <c r="B440" s="20">
        <v>45290</v>
      </c>
      <c r="C440" s="2">
        <f t="shared" si="90"/>
        <v>12</v>
      </c>
      <c r="D440" s="21">
        <f t="shared" si="102"/>
        <v>45290</v>
      </c>
      <c r="E440" s="19" t="str">
        <f t="shared" si="91"/>
        <v>Quarter 4</v>
      </c>
      <c r="F440" s="19">
        <v>45299</v>
      </c>
      <c r="G440" s="19">
        <f t="shared" si="92"/>
        <v>45299</v>
      </c>
      <c r="H440" s="22">
        <f t="shared" si="93"/>
        <v>9</v>
      </c>
      <c r="I440" t="str">
        <f t="shared" si="94"/>
        <v>Delayed </v>
      </c>
      <c r="J440" t="s">
        <v>78</v>
      </c>
      <c r="K440" t="s">
        <v>90</v>
      </c>
      <c r="L440" t="s">
        <v>91</v>
      </c>
      <c r="M440" t="s">
        <v>48</v>
      </c>
      <c r="N440" t="s">
        <v>40</v>
      </c>
      <c r="O440" t="s">
        <v>49</v>
      </c>
      <c r="P440" t="s">
        <v>81</v>
      </c>
      <c r="Q440" t="s">
        <v>978</v>
      </c>
      <c r="R440" s="3">
        <v>861.1</v>
      </c>
      <c r="S440" s="3">
        <v>1224.72</v>
      </c>
      <c r="T440" s="3">
        <f t="shared" si="95"/>
        <v>1224.72</v>
      </c>
      <c r="U440" s="3">
        <f>(1+'10. Whatif Control pannel'!$B$6)*T440</f>
        <v>1371.6864</v>
      </c>
      <c r="V440" s="3" t="str">
        <f t="shared" si="96"/>
        <v>Medium</v>
      </c>
      <c r="W440" s="34">
        <v>0.174</v>
      </c>
      <c r="X440" s="24" t="str">
        <f t="shared" si="97"/>
        <v>Okay</v>
      </c>
      <c r="Y440" s="36">
        <f>IF(W440&lt;=0.25,W440,'10. Whatif Control pannel'!$B$2)</f>
        <v>0.174</v>
      </c>
      <c r="Z440" s="24">
        <v>24</v>
      </c>
      <c r="AA440" s="13">
        <f>(1+'10. Whatif Control pannel'!$B$10)*Z440</f>
        <v>28.8</v>
      </c>
      <c r="AB440" s="3">
        <f t="shared" si="98"/>
        <v>24278.84928</v>
      </c>
      <c r="AC440" s="3">
        <f t="shared" si="103"/>
        <v>32630.77343232</v>
      </c>
      <c r="AD440" s="3">
        <f t="shared" si="99"/>
        <v>20666.4</v>
      </c>
      <c r="AE440" s="3">
        <f t="shared" si="100"/>
        <v>3612.44928</v>
      </c>
      <c r="AF440" s="3">
        <f t="shared" si="104"/>
        <v>11964.37343232</v>
      </c>
      <c r="AG440">
        <f t="shared" si="101"/>
        <v>0.148789970988279</v>
      </c>
    </row>
    <row r="441" spans="1:33">
      <c r="A441" t="s">
        <v>979</v>
      </c>
      <c r="B441" s="20">
        <v>44978</v>
      </c>
      <c r="C441" s="2">
        <f t="shared" si="90"/>
        <v>2</v>
      </c>
      <c r="D441" s="21">
        <f t="shared" si="102"/>
        <v>44978</v>
      </c>
      <c r="E441" s="19" t="str">
        <f t="shared" si="91"/>
        <v>Quarter 1</v>
      </c>
      <c r="F441" s="19">
        <v>44997</v>
      </c>
      <c r="G441" s="19">
        <f t="shared" si="92"/>
        <v>44997</v>
      </c>
      <c r="H441" s="22">
        <f t="shared" si="93"/>
        <v>19</v>
      </c>
      <c r="I441" t="str">
        <f t="shared" si="94"/>
        <v>Delayed </v>
      </c>
      <c r="J441" t="s">
        <v>16</v>
      </c>
      <c r="K441" t="s">
        <v>17</v>
      </c>
      <c r="L441" t="s">
        <v>135</v>
      </c>
      <c r="M441" t="s">
        <v>19</v>
      </c>
      <c r="N441" t="s">
        <v>28</v>
      </c>
      <c r="O441" t="s">
        <v>84</v>
      </c>
      <c r="P441" t="s">
        <v>35</v>
      </c>
      <c r="Q441" t="s">
        <v>980</v>
      </c>
      <c r="R441" s="3">
        <v>352.65</v>
      </c>
      <c r="S441" s="3">
        <v>485.86</v>
      </c>
      <c r="T441" s="3">
        <f t="shared" si="95"/>
        <v>485.86</v>
      </c>
      <c r="U441" s="3">
        <f>(1+'10. Whatif Control pannel'!$B$6)*T441</f>
        <v>544.1632</v>
      </c>
      <c r="V441" s="3" t="str">
        <f t="shared" si="96"/>
        <v>Low</v>
      </c>
      <c r="W441" s="34">
        <v>0.041</v>
      </c>
      <c r="X441" s="24" t="str">
        <f t="shared" si="97"/>
        <v>Okay</v>
      </c>
      <c r="Y441" s="36">
        <f>IF(W441&lt;=0.25,W441,'10. Whatif Control pannel'!$B$2)</f>
        <v>0.041</v>
      </c>
      <c r="Z441" s="24">
        <v>6</v>
      </c>
      <c r="AA441" s="13">
        <f>(1+'10. Whatif Control pannel'!$B$10)*Z441</f>
        <v>7.2</v>
      </c>
      <c r="AB441" s="3">
        <f t="shared" si="98"/>
        <v>2795.63844</v>
      </c>
      <c r="AC441" s="3">
        <f t="shared" si="103"/>
        <v>3757.33806336</v>
      </c>
      <c r="AD441" s="3">
        <f t="shared" si="99"/>
        <v>2115.9</v>
      </c>
      <c r="AE441" s="3">
        <f t="shared" si="100"/>
        <v>679.73844</v>
      </c>
      <c r="AF441" s="3">
        <f t="shared" si="104"/>
        <v>1641.43806336</v>
      </c>
      <c r="AG441">
        <f t="shared" si="101"/>
        <v>0.243142471599439</v>
      </c>
    </row>
    <row r="442" spans="1:33">
      <c r="A442" t="s">
        <v>981</v>
      </c>
      <c r="B442" s="20">
        <v>45063</v>
      </c>
      <c r="C442" s="2">
        <f t="shared" si="90"/>
        <v>5</v>
      </c>
      <c r="D442" s="21">
        <f t="shared" si="102"/>
        <v>45063</v>
      </c>
      <c r="E442" s="19" t="str">
        <f t="shared" si="91"/>
        <v>Quarter 2</v>
      </c>
      <c r="F442" s="19">
        <v>45080</v>
      </c>
      <c r="G442" s="19">
        <f t="shared" si="92"/>
        <v>45080</v>
      </c>
      <c r="H442" s="22">
        <f t="shared" si="93"/>
        <v>17</v>
      </c>
      <c r="I442" t="str">
        <f t="shared" si="94"/>
        <v>Delayed </v>
      </c>
      <c r="J442" t="s">
        <v>45</v>
      </c>
      <c r="K442" t="s">
        <v>116</v>
      </c>
      <c r="L442" t="s">
        <v>338</v>
      </c>
      <c r="M442" t="s">
        <v>39</v>
      </c>
      <c r="N442" t="s">
        <v>55</v>
      </c>
      <c r="O442" t="s">
        <v>110</v>
      </c>
      <c r="P442" t="s">
        <v>30</v>
      </c>
      <c r="Q442" t="s">
        <v>982</v>
      </c>
      <c r="R442" s="3">
        <v>979.59</v>
      </c>
      <c r="S442" s="3">
        <v>2210.94</v>
      </c>
      <c r="T442" s="3">
        <f t="shared" si="95"/>
        <v>2210.94</v>
      </c>
      <c r="U442" s="3">
        <f>(1+'10. Whatif Control pannel'!$B$6)*T442</f>
        <v>2476.2528</v>
      </c>
      <c r="V442" s="3" t="str">
        <f t="shared" si="96"/>
        <v>High</v>
      </c>
      <c r="W442" s="34">
        <v>0.15</v>
      </c>
      <c r="X442" s="24" t="str">
        <f t="shared" si="97"/>
        <v>Okay</v>
      </c>
      <c r="Y442" s="36">
        <f>IF(W442&lt;=0.25,W442,'10. Whatif Control pannel'!$B$2)</f>
        <v>0.15</v>
      </c>
      <c r="Z442" s="24">
        <v>11</v>
      </c>
      <c r="AA442" s="13">
        <f>(1+'10. Whatif Control pannel'!$B$10)*Z442</f>
        <v>13.2</v>
      </c>
      <c r="AB442" s="3">
        <f t="shared" si="98"/>
        <v>20672.289</v>
      </c>
      <c r="AC442" s="3">
        <f t="shared" si="103"/>
        <v>27783.556416</v>
      </c>
      <c r="AD442" s="3">
        <f t="shared" si="99"/>
        <v>10775.49</v>
      </c>
      <c r="AE442" s="3">
        <f t="shared" si="100"/>
        <v>9896.799</v>
      </c>
      <c r="AF442" s="3">
        <f t="shared" si="104"/>
        <v>17008.066416</v>
      </c>
      <c r="AG442">
        <f t="shared" si="101"/>
        <v>0.478747128583584</v>
      </c>
    </row>
    <row r="443" spans="1:33">
      <c r="A443" t="s">
        <v>983</v>
      </c>
      <c r="B443" s="20">
        <v>45374</v>
      </c>
      <c r="C443" s="2">
        <f t="shared" si="90"/>
        <v>3</v>
      </c>
      <c r="D443" s="21">
        <f t="shared" si="102"/>
        <v>45374</v>
      </c>
      <c r="E443" s="19" t="str">
        <f t="shared" si="91"/>
        <v>Quarter 1</v>
      </c>
      <c r="F443" s="19">
        <v>45377</v>
      </c>
      <c r="G443" s="19">
        <f t="shared" si="92"/>
        <v>45377</v>
      </c>
      <c r="H443" s="22">
        <f t="shared" si="93"/>
        <v>3</v>
      </c>
      <c r="I443" t="str">
        <f t="shared" si="94"/>
        <v>Ontime</v>
      </c>
      <c r="J443" t="s">
        <v>45</v>
      </c>
      <c r="K443" t="s">
        <v>60</v>
      </c>
      <c r="L443" t="s">
        <v>61</v>
      </c>
      <c r="M443" t="s">
        <v>27</v>
      </c>
      <c r="N443" t="s">
        <v>98</v>
      </c>
      <c r="O443" t="s">
        <v>41</v>
      </c>
      <c r="P443" t="s">
        <v>42</v>
      </c>
      <c r="Q443" t="s">
        <v>984</v>
      </c>
      <c r="R443" s="3">
        <v>382.21</v>
      </c>
      <c r="S443" s="3">
        <v>571.89</v>
      </c>
      <c r="T443" s="3">
        <f t="shared" si="95"/>
        <v>571.89</v>
      </c>
      <c r="U443" s="3">
        <f>(1+'10. Whatif Control pannel'!$B$6)*T443</f>
        <v>640.5168</v>
      </c>
      <c r="V443" s="3" t="str">
        <f t="shared" si="96"/>
        <v>Low</v>
      </c>
      <c r="W443" s="34">
        <v>0.148</v>
      </c>
      <c r="X443" s="24" t="str">
        <f t="shared" si="97"/>
        <v>Okay</v>
      </c>
      <c r="Y443" s="36">
        <f>IF(W443&lt;=0.25,W443,'10. Whatif Control pannel'!$B$2)</f>
        <v>0.148</v>
      </c>
      <c r="Z443" s="24">
        <v>26</v>
      </c>
      <c r="AA443" s="13">
        <f>(1+'10. Whatif Control pannel'!$B$10)*Z443</f>
        <v>31.2</v>
      </c>
      <c r="AB443" s="3">
        <f t="shared" si="98"/>
        <v>12668.50728</v>
      </c>
      <c r="AC443" s="3">
        <f t="shared" si="103"/>
        <v>17026.47378432</v>
      </c>
      <c r="AD443" s="3">
        <f t="shared" si="99"/>
        <v>9937.46</v>
      </c>
      <c r="AE443" s="3">
        <f t="shared" si="100"/>
        <v>2731.04728</v>
      </c>
      <c r="AF443" s="3">
        <f t="shared" si="104"/>
        <v>7089.01378432</v>
      </c>
      <c r="AG443">
        <f t="shared" si="101"/>
        <v>0.215577669857881</v>
      </c>
    </row>
    <row r="444" spans="1:33">
      <c r="A444" t="s">
        <v>985</v>
      </c>
      <c r="B444" s="20">
        <v>45189</v>
      </c>
      <c r="C444" s="2">
        <f t="shared" si="90"/>
        <v>9</v>
      </c>
      <c r="D444" s="21">
        <f t="shared" si="102"/>
        <v>45189</v>
      </c>
      <c r="E444" s="19" t="str">
        <f t="shared" si="91"/>
        <v>Quarter 3</v>
      </c>
      <c r="F444" s="19">
        <v>45197</v>
      </c>
      <c r="G444" s="19">
        <f t="shared" si="92"/>
        <v>45197</v>
      </c>
      <c r="H444" s="22">
        <f t="shared" si="93"/>
        <v>8</v>
      </c>
      <c r="I444" t="str">
        <f t="shared" si="94"/>
        <v>Delayed </v>
      </c>
      <c r="J444" t="s">
        <v>45</v>
      </c>
      <c r="K444" t="s">
        <v>60</v>
      </c>
      <c r="L444" t="s">
        <v>1443</v>
      </c>
      <c r="M444" t="s">
        <v>19</v>
      </c>
      <c r="N444" t="s">
        <v>1441</v>
      </c>
      <c r="O444" t="s">
        <v>56</v>
      </c>
      <c r="P444" t="s">
        <v>81</v>
      </c>
      <c r="Q444" t="s">
        <v>986</v>
      </c>
      <c r="R444" s="3">
        <v>1362.06</v>
      </c>
      <c r="S444" s="3">
        <v>3398.37</v>
      </c>
      <c r="T444" s="3">
        <f t="shared" si="95"/>
        <v>3398.37</v>
      </c>
      <c r="U444" s="3">
        <f>(1+'10. Whatif Control pannel'!$B$6)*T444</f>
        <v>3806.1744</v>
      </c>
      <c r="V444" s="3" t="str">
        <f t="shared" si="96"/>
        <v>High</v>
      </c>
      <c r="W444" s="34">
        <v>0.157</v>
      </c>
      <c r="X444" s="24" t="str">
        <f t="shared" si="97"/>
        <v>Okay</v>
      </c>
      <c r="Y444" s="36">
        <f>IF(W444&lt;=0.25,W444,'10. Whatif Control pannel'!$B$2)</f>
        <v>0.157</v>
      </c>
      <c r="Z444" s="24">
        <v>11</v>
      </c>
      <c r="AA444" s="13">
        <f>(1+'10. Whatif Control pannel'!$B$10)*Z444</f>
        <v>13.2</v>
      </c>
      <c r="AB444" s="3">
        <f t="shared" si="98"/>
        <v>31513.08501</v>
      </c>
      <c r="AC444" s="3">
        <f t="shared" si="103"/>
        <v>42353.58625344</v>
      </c>
      <c r="AD444" s="3">
        <f t="shared" si="99"/>
        <v>14982.66</v>
      </c>
      <c r="AE444" s="3">
        <f t="shared" si="100"/>
        <v>16530.42501</v>
      </c>
      <c r="AF444" s="3">
        <f t="shared" si="104"/>
        <v>27370.92625344</v>
      </c>
      <c r="AG444">
        <f t="shared" si="101"/>
        <v>0.524557497457149</v>
      </c>
    </row>
    <row r="445" spans="1:33">
      <c r="A445" t="s">
        <v>987</v>
      </c>
      <c r="B445" s="20">
        <v>45526</v>
      </c>
      <c r="C445" s="2">
        <f t="shared" si="90"/>
        <v>8</v>
      </c>
      <c r="D445" s="21">
        <f t="shared" si="102"/>
        <v>45526</v>
      </c>
      <c r="E445" s="19" t="str">
        <f t="shared" si="91"/>
        <v>Quarter 3</v>
      </c>
      <c r="F445" s="19">
        <v>45539</v>
      </c>
      <c r="G445" s="19">
        <f t="shared" si="92"/>
        <v>45539</v>
      </c>
      <c r="H445" s="22">
        <f t="shared" si="93"/>
        <v>13</v>
      </c>
      <c r="I445" t="str">
        <f t="shared" si="94"/>
        <v>Delayed </v>
      </c>
      <c r="J445" t="s">
        <v>78</v>
      </c>
      <c r="K445" t="s">
        <v>79</v>
      </c>
      <c r="L445" t="s">
        <v>335</v>
      </c>
      <c r="M445" t="s">
        <v>39</v>
      </c>
      <c r="N445" t="s">
        <v>20</v>
      </c>
      <c r="O445" t="s">
        <v>49</v>
      </c>
      <c r="P445" t="s">
        <v>30</v>
      </c>
      <c r="Q445" t="s">
        <v>988</v>
      </c>
      <c r="R445" s="3">
        <v>90.04</v>
      </c>
      <c r="S445" s="3">
        <v>194.62</v>
      </c>
      <c r="T445" s="3">
        <f t="shared" si="95"/>
        <v>194.62</v>
      </c>
      <c r="U445" s="3">
        <f>(1+'10. Whatif Control pannel'!$B$6)*T445</f>
        <v>217.9744</v>
      </c>
      <c r="V445" s="3" t="str">
        <f t="shared" si="96"/>
        <v>Low</v>
      </c>
      <c r="W445" s="34">
        <v>0.043</v>
      </c>
      <c r="X445" s="24" t="str">
        <f t="shared" si="97"/>
        <v>Okay</v>
      </c>
      <c r="Y445" s="36">
        <f>IF(W445&lt;=0.25,W445,'10. Whatif Control pannel'!$B$2)</f>
        <v>0.043</v>
      </c>
      <c r="Z445" s="24">
        <v>32</v>
      </c>
      <c r="AA445" s="13">
        <f>(1+'10. Whatif Control pannel'!$B$10)*Z445</f>
        <v>38.4</v>
      </c>
      <c r="AB445" s="3">
        <f t="shared" si="98"/>
        <v>5960.04288</v>
      </c>
      <c r="AC445" s="3">
        <f t="shared" si="103"/>
        <v>8010.29763072</v>
      </c>
      <c r="AD445" s="3">
        <f t="shared" si="99"/>
        <v>2881.28</v>
      </c>
      <c r="AE445" s="3">
        <f t="shared" si="100"/>
        <v>3078.76288</v>
      </c>
      <c r="AF445" s="3">
        <f t="shared" si="104"/>
        <v>5129.01763072</v>
      </c>
      <c r="AG445">
        <f t="shared" si="101"/>
        <v>0.516567236509547</v>
      </c>
    </row>
    <row r="446" spans="1:33">
      <c r="A446" t="s">
        <v>989</v>
      </c>
      <c r="B446" s="20">
        <v>45560</v>
      </c>
      <c r="C446" s="2">
        <f t="shared" si="90"/>
        <v>9</v>
      </c>
      <c r="D446" s="21">
        <f t="shared" si="102"/>
        <v>45560</v>
      </c>
      <c r="E446" s="19" t="str">
        <f t="shared" si="91"/>
        <v>Quarter 3</v>
      </c>
      <c r="F446" s="19">
        <v>45568</v>
      </c>
      <c r="G446" s="19">
        <f t="shared" si="92"/>
        <v>45568</v>
      </c>
      <c r="H446" s="22">
        <f t="shared" si="93"/>
        <v>8</v>
      </c>
      <c r="I446" t="str">
        <f t="shared" si="94"/>
        <v>Delayed </v>
      </c>
      <c r="J446" t="s">
        <v>52</v>
      </c>
      <c r="K446" t="s">
        <v>53</v>
      </c>
      <c r="L446" t="s">
        <v>54</v>
      </c>
      <c r="M446" t="s">
        <v>48</v>
      </c>
      <c r="N446" t="s">
        <v>28</v>
      </c>
      <c r="O446" t="s">
        <v>63</v>
      </c>
      <c r="P446" t="s">
        <v>30</v>
      </c>
      <c r="Q446" t="s">
        <v>990</v>
      </c>
      <c r="R446" s="3">
        <v>558.19</v>
      </c>
      <c r="S446" s="3">
        <v>1031.64</v>
      </c>
      <c r="T446" s="3">
        <f t="shared" si="95"/>
        <v>1031.64</v>
      </c>
      <c r="U446" s="3">
        <f>(1+'10. Whatif Control pannel'!$B$6)*T446</f>
        <v>1155.4368</v>
      </c>
      <c r="V446" s="3" t="str">
        <f t="shared" si="96"/>
        <v>Medium</v>
      </c>
      <c r="W446" s="34">
        <v>0</v>
      </c>
      <c r="X446" s="24" t="str">
        <f t="shared" si="97"/>
        <v>Okay</v>
      </c>
      <c r="Y446" s="36">
        <f>IF(W446&lt;=0.25,W446,'10. Whatif Control pannel'!$B$2)</f>
        <v>0</v>
      </c>
      <c r="Z446" s="24">
        <v>21</v>
      </c>
      <c r="AA446" s="13">
        <f>(1+'10. Whatif Control pannel'!$B$10)*Z446</f>
        <v>25.2</v>
      </c>
      <c r="AB446" s="3">
        <f t="shared" si="98"/>
        <v>21664.44</v>
      </c>
      <c r="AC446" s="3">
        <f t="shared" si="103"/>
        <v>29117.00736</v>
      </c>
      <c r="AD446" s="3">
        <f t="shared" si="99"/>
        <v>11721.99</v>
      </c>
      <c r="AE446" s="3">
        <f t="shared" si="100"/>
        <v>9942.45</v>
      </c>
      <c r="AF446" s="3">
        <f t="shared" si="104"/>
        <v>17395.01736</v>
      </c>
      <c r="AG446">
        <f t="shared" si="101"/>
        <v>0.458929471521073</v>
      </c>
    </row>
    <row r="447" spans="1:33">
      <c r="A447" t="s">
        <v>991</v>
      </c>
      <c r="B447" s="20">
        <v>45090</v>
      </c>
      <c r="C447" s="2">
        <f t="shared" si="90"/>
        <v>6</v>
      </c>
      <c r="D447" s="21">
        <f t="shared" si="102"/>
        <v>45090</v>
      </c>
      <c r="E447" s="19" t="str">
        <f t="shared" si="91"/>
        <v>Quarter 2</v>
      </c>
      <c r="F447" s="19">
        <v>45101</v>
      </c>
      <c r="G447" s="19">
        <f t="shared" si="92"/>
        <v>45101</v>
      </c>
      <c r="H447" s="22">
        <f t="shared" si="93"/>
        <v>11</v>
      </c>
      <c r="I447" t="str">
        <f t="shared" si="94"/>
        <v>Delayed </v>
      </c>
      <c r="J447" t="s">
        <v>52</v>
      </c>
      <c r="K447" t="s">
        <v>53</v>
      </c>
      <c r="L447" t="s">
        <v>54</v>
      </c>
      <c r="M447" t="s">
        <v>19</v>
      </c>
      <c r="N447" t="s">
        <v>28</v>
      </c>
      <c r="O447" t="s">
        <v>21</v>
      </c>
      <c r="P447" t="s">
        <v>30</v>
      </c>
      <c r="Q447" t="s">
        <v>992</v>
      </c>
      <c r="R447" s="3">
        <v>247.07</v>
      </c>
      <c r="S447" s="3">
        <v>495.19</v>
      </c>
      <c r="T447" s="3">
        <f t="shared" si="95"/>
        <v>495.19</v>
      </c>
      <c r="U447" s="3">
        <f>(1+'10. Whatif Control pannel'!$B$6)*T447</f>
        <v>554.6128</v>
      </c>
      <c r="V447" s="3" t="str">
        <f t="shared" si="96"/>
        <v>Low</v>
      </c>
      <c r="W447" s="34">
        <v>0.028</v>
      </c>
      <c r="X447" s="24" t="str">
        <f t="shared" si="97"/>
        <v>Okay</v>
      </c>
      <c r="Y447" s="36">
        <f>IF(W447&lt;=0.25,W447,'10. Whatif Control pannel'!$B$2)</f>
        <v>0.028</v>
      </c>
      <c r="Z447" s="24">
        <v>4</v>
      </c>
      <c r="AA447" s="13">
        <f>(1+'10. Whatif Control pannel'!$B$10)*Z447</f>
        <v>4.8</v>
      </c>
      <c r="AB447" s="3">
        <f t="shared" si="98"/>
        <v>1925.29872</v>
      </c>
      <c r="AC447" s="3">
        <f t="shared" si="103"/>
        <v>2587.60147968</v>
      </c>
      <c r="AD447" s="3">
        <f t="shared" si="99"/>
        <v>988.28</v>
      </c>
      <c r="AE447" s="3">
        <f t="shared" si="100"/>
        <v>937.01872</v>
      </c>
      <c r="AF447" s="3">
        <f t="shared" si="104"/>
        <v>1599.32147968</v>
      </c>
      <c r="AG447">
        <f t="shared" si="101"/>
        <v>0.486687447649682</v>
      </c>
    </row>
    <row r="448" spans="1:33">
      <c r="A448" t="s">
        <v>993</v>
      </c>
      <c r="B448" s="20">
        <v>45284</v>
      </c>
      <c r="C448" s="2">
        <f t="shared" si="90"/>
        <v>12</v>
      </c>
      <c r="D448" s="21">
        <f t="shared" si="102"/>
        <v>45284</v>
      </c>
      <c r="E448" s="19" t="str">
        <f t="shared" si="91"/>
        <v>Quarter 4</v>
      </c>
      <c r="F448" s="19">
        <v>45304</v>
      </c>
      <c r="G448" s="19">
        <f t="shared" si="92"/>
        <v>45304</v>
      </c>
      <c r="H448" s="22">
        <f t="shared" si="93"/>
        <v>20</v>
      </c>
      <c r="I448" t="str">
        <f t="shared" si="94"/>
        <v>Delayed </v>
      </c>
      <c r="J448" t="s">
        <v>45</v>
      </c>
      <c r="K448" t="s">
        <v>46</v>
      </c>
      <c r="L448" t="s">
        <v>231</v>
      </c>
      <c r="M448" t="s">
        <v>27</v>
      </c>
      <c r="N448" t="s">
        <v>98</v>
      </c>
      <c r="O448" t="s">
        <v>56</v>
      </c>
      <c r="P448" t="s">
        <v>57</v>
      </c>
      <c r="Q448" t="s">
        <v>994</v>
      </c>
      <c r="R448" s="3">
        <v>625.37</v>
      </c>
      <c r="S448" s="3">
        <v>1319.04</v>
      </c>
      <c r="T448" s="3">
        <f t="shared" si="95"/>
        <v>1319.04</v>
      </c>
      <c r="U448" s="3">
        <f>(1+'10. Whatif Control pannel'!$B$6)*T448</f>
        <v>1477.3248</v>
      </c>
      <c r="V448" s="3" t="str">
        <f t="shared" si="96"/>
        <v>Medium</v>
      </c>
      <c r="W448" s="34">
        <v>0.074</v>
      </c>
      <c r="X448" s="24" t="str">
        <f t="shared" si="97"/>
        <v>Okay</v>
      </c>
      <c r="Y448" s="36">
        <f>IF(W448&lt;=0.25,W448,'10. Whatif Control pannel'!$B$2)</f>
        <v>0.074</v>
      </c>
      <c r="Z448" s="24">
        <v>8</v>
      </c>
      <c r="AA448" s="13">
        <f>(1+'10. Whatif Control pannel'!$B$10)*Z448</f>
        <v>9.6</v>
      </c>
      <c r="AB448" s="3">
        <f t="shared" si="98"/>
        <v>9771.44832</v>
      </c>
      <c r="AC448" s="3">
        <f t="shared" si="103"/>
        <v>13132.82654208</v>
      </c>
      <c r="AD448" s="3">
        <f t="shared" si="99"/>
        <v>5002.96</v>
      </c>
      <c r="AE448" s="3">
        <f t="shared" si="100"/>
        <v>4768.48832</v>
      </c>
      <c r="AF448" s="3">
        <f t="shared" si="104"/>
        <v>8129.86654208</v>
      </c>
      <c r="AG448">
        <f t="shared" si="101"/>
        <v>0.488002204365135</v>
      </c>
    </row>
    <row r="449" spans="1:33">
      <c r="A449" t="s">
        <v>995</v>
      </c>
      <c r="B449" s="20">
        <v>45746</v>
      </c>
      <c r="C449" s="2">
        <f t="shared" si="90"/>
        <v>3</v>
      </c>
      <c r="D449" s="21">
        <f t="shared" si="102"/>
        <v>45746</v>
      </c>
      <c r="E449" s="19" t="str">
        <f t="shared" si="91"/>
        <v>Quarter 1</v>
      </c>
      <c r="F449" s="19">
        <v>45776</v>
      </c>
      <c r="G449" s="19">
        <f t="shared" si="92"/>
        <v>45776</v>
      </c>
      <c r="H449" s="22">
        <f t="shared" si="93"/>
        <v>30</v>
      </c>
      <c r="I449" t="str">
        <f t="shared" si="94"/>
        <v>Delayed </v>
      </c>
      <c r="J449" t="s">
        <v>16</v>
      </c>
      <c r="K449" t="s">
        <v>148</v>
      </c>
      <c r="L449" t="s">
        <v>172</v>
      </c>
      <c r="M449" t="s">
        <v>48</v>
      </c>
      <c r="N449" t="s">
        <v>40</v>
      </c>
      <c r="O449" t="s">
        <v>29</v>
      </c>
      <c r="P449" t="s">
        <v>64</v>
      </c>
      <c r="Q449" t="s">
        <v>996</v>
      </c>
      <c r="R449" s="3">
        <v>194.6</v>
      </c>
      <c r="S449" s="3">
        <v>314.87</v>
      </c>
      <c r="T449" s="3">
        <f t="shared" si="95"/>
        <v>314.87</v>
      </c>
      <c r="U449" s="3">
        <f>(1+'10. Whatif Control pannel'!$B$6)*T449</f>
        <v>352.6544</v>
      </c>
      <c r="V449" s="3" t="str">
        <f t="shared" si="96"/>
        <v>Low</v>
      </c>
      <c r="W449" s="34">
        <v>0.293</v>
      </c>
      <c r="X449" s="24" t="str">
        <f t="shared" si="97"/>
        <v>High Discount</v>
      </c>
      <c r="Y449" s="36">
        <f>IF(W449&lt;=0.25,W449,'10. Whatif Control pannel'!$B$2)</f>
        <v>0.23</v>
      </c>
      <c r="Z449" s="24">
        <v>25</v>
      </c>
      <c r="AA449" s="13">
        <f>(1+'10. Whatif Control pannel'!$B$10)*Z449</f>
        <v>30</v>
      </c>
      <c r="AB449" s="3">
        <f t="shared" si="98"/>
        <v>5565.32725</v>
      </c>
      <c r="AC449" s="3">
        <f t="shared" si="103"/>
        <v>8146.31664</v>
      </c>
      <c r="AD449" s="3">
        <f t="shared" si="99"/>
        <v>4865</v>
      </c>
      <c r="AE449" s="3">
        <f t="shared" si="100"/>
        <v>700.32725</v>
      </c>
      <c r="AF449" s="3">
        <f t="shared" si="104"/>
        <v>3281.31664</v>
      </c>
      <c r="AG449">
        <f t="shared" si="101"/>
        <v>0.125837568671276</v>
      </c>
    </row>
    <row r="450" spans="1:33">
      <c r="A450" t="s">
        <v>997</v>
      </c>
      <c r="B450" s="20">
        <v>45446</v>
      </c>
      <c r="C450" s="2">
        <f t="shared" ref="C450:C513" si="105">MONTH(B450)</f>
        <v>6</v>
      </c>
      <c r="D450" s="21">
        <f t="shared" si="102"/>
        <v>45446</v>
      </c>
      <c r="E450" s="19" t="str">
        <f t="shared" ref="E450:E513" si="106">IF(AND(MONTH(B450)&gt;=1,MONTH(B450)&lt;=3),"Quarter 1",IF(AND(MONTH(B450)&gt;=4,MONTH(B450)&lt;=6),"Quarter 2",IF(AND(MONTH(B450)&gt;=7,MONTH(B450)&lt;=9),"Quarter 3",IF(AND(MONTH(B450)&gt;=10,MONTH(B450)&lt;=12),"Quarter 4"))))</f>
        <v>Quarter 2</v>
      </c>
      <c r="F450" s="19">
        <v>45467</v>
      </c>
      <c r="G450" s="19">
        <f t="shared" ref="G450:G513" si="107">IF(B450&gt;F450,B450+7,F450)</f>
        <v>45467</v>
      </c>
      <c r="H450" s="22">
        <f t="shared" ref="H450:H513" si="108">G450-B450</f>
        <v>21</v>
      </c>
      <c r="I450" t="str">
        <f t="shared" ref="I450:I513" si="109">IF(H450&lt;=7,"Ontime","Delayed ")</f>
        <v>Delayed </v>
      </c>
      <c r="J450" t="s">
        <v>52</v>
      </c>
      <c r="K450" t="s">
        <v>53</v>
      </c>
      <c r="L450" t="s">
        <v>54</v>
      </c>
      <c r="M450" t="s">
        <v>62</v>
      </c>
      <c r="N450" t="s">
        <v>98</v>
      </c>
      <c r="O450" t="s">
        <v>41</v>
      </c>
      <c r="P450" t="s">
        <v>64</v>
      </c>
      <c r="Q450" t="s">
        <v>998</v>
      </c>
      <c r="R450" s="3">
        <v>1205.5</v>
      </c>
      <c r="S450" s="3">
        <v>2210.17</v>
      </c>
      <c r="T450" s="3">
        <f t="shared" ref="T450:T513" si="110">IF(S450&lt;=0,R450,S450)</f>
        <v>2210.17</v>
      </c>
      <c r="U450" s="3">
        <f>(1+'10. Whatif Control pannel'!$B$6)*T450</f>
        <v>2475.3904</v>
      </c>
      <c r="V450" s="3" t="str">
        <f t="shared" ref="V450:V513" si="111">IF(T450&lt;=_xlfn.PERCENTILE.INC(T450:T1081,33%),"Low",IF(T450&lt;=_xlfn.PERCENTILE.INC(T450:T1081,67%),"Medium","High"))</f>
        <v>High</v>
      </c>
      <c r="W450" s="34">
        <v>0.104</v>
      </c>
      <c r="X450" s="24" t="str">
        <f t="shared" ref="X450:X513" si="112">IF(W450&gt;0.2,"High Discount","Okay")</f>
        <v>Okay</v>
      </c>
      <c r="Y450" s="36">
        <f>IF(W450&lt;=0.25,W450,'10. Whatif Control pannel'!$B$2)</f>
        <v>0.104</v>
      </c>
      <c r="Z450" s="24">
        <v>23</v>
      </c>
      <c r="AA450" s="13">
        <f>(1+'10. Whatif Control pannel'!$B$10)*Z450</f>
        <v>27.6</v>
      </c>
      <c r="AB450" s="3">
        <f t="shared" ref="AB450:AB513" si="113">T450*Z450*(1-W450)</f>
        <v>45547.18336</v>
      </c>
      <c r="AC450" s="3">
        <f t="shared" si="103"/>
        <v>61215.41443584</v>
      </c>
      <c r="AD450" s="3">
        <f t="shared" ref="AD450:AD513" si="114">R450*Z450</f>
        <v>27726.5</v>
      </c>
      <c r="AE450" s="3">
        <f t="shared" ref="AE450:AE513" si="115">AB450-AD450</f>
        <v>17820.68336</v>
      </c>
      <c r="AF450" s="3">
        <f t="shared" si="104"/>
        <v>33488.91443584</v>
      </c>
      <c r="AG450">
        <f t="shared" ref="AG450:AG513" si="116">IF(AB450=0,0,AE450/AB450)</f>
        <v>0.391257637583147</v>
      </c>
    </row>
    <row r="451" spans="1:33">
      <c r="A451" t="s">
        <v>999</v>
      </c>
      <c r="B451" s="20">
        <v>45454</v>
      </c>
      <c r="C451" s="2">
        <f t="shared" si="105"/>
        <v>6</v>
      </c>
      <c r="D451" s="21">
        <f t="shared" ref="D451:D514" si="117">B451</f>
        <v>45454</v>
      </c>
      <c r="E451" s="19" t="str">
        <f t="shared" si="106"/>
        <v>Quarter 2</v>
      </c>
      <c r="F451" s="19">
        <v>45482</v>
      </c>
      <c r="G451" s="19">
        <f t="shared" si="107"/>
        <v>45482</v>
      </c>
      <c r="H451" s="22">
        <f t="shared" si="108"/>
        <v>28</v>
      </c>
      <c r="I451" t="str">
        <f t="shared" si="109"/>
        <v>Delayed </v>
      </c>
      <c r="J451" t="s">
        <v>16</v>
      </c>
      <c r="K451" t="s">
        <v>25</v>
      </c>
      <c r="L451" t="s">
        <v>26</v>
      </c>
      <c r="M451" t="s">
        <v>19</v>
      </c>
      <c r="N451" t="s">
        <v>40</v>
      </c>
      <c r="O451" t="s">
        <v>34</v>
      </c>
      <c r="P451" t="s">
        <v>42</v>
      </c>
      <c r="Q451" t="s">
        <v>1000</v>
      </c>
      <c r="R451" s="3">
        <v>895.54</v>
      </c>
      <c r="S451" s="3">
        <v>1045</v>
      </c>
      <c r="T451" s="3">
        <f t="shared" si="110"/>
        <v>1045</v>
      </c>
      <c r="U451" s="3">
        <f>(1+'10. Whatif Control pannel'!$B$6)*T451</f>
        <v>1170.4</v>
      </c>
      <c r="V451" s="3" t="str">
        <f t="shared" si="111"/>
        <v>Medium</v>
      </c>
      <c r="W451" s="34">
        <v>0.216</v>
      </c>
      <c r="X451" s="24" t="str">
        <f t="shared" si="112"/>
        <v>High Discount</v>
      </c>
      <c r="Y451" s="36">
        <f>IF(W451&lt;=0.25,W451,'10. Whatif Control pannel'!$B$2)</f>
        <v>0.216</v>
      </c>
      <c r="Z451" s="24">
        <v>15</v>
      </c>
      <c r="AA451" s="13">
        <f>(1+'10. Whatif Control pannel'!$B$10)*Z451</f>
        <v>18</v>
      </c>
      <c r="AB451" s="3">
        <f t="shared" si="113"/>
        <v>12289.2</v>
      </c>
      <c r="AC451" s="3">
        <f t="shared" ref="AC451:AC514" si="118">U451*AA451*(1-Y451)</f>
        <v>16516.6848</v>
      </c>
      <c r="AD451" s="3">
        <f t="shared" si="114"/>
        <v>13433.1</v>
      </c>
      <c r="AE451" s="3">
        <f t="shared" si="115"/>
        <v>-1143.9</v>
      </c>
      <c r="AF451" s="3">
        <f t="shared" ref="AF451:AF514" si="119">AC451-AD451</f>
        <v>3083.5848</v>
      </c>
      <c r="AG451">
        <f t="shared" si="116"/>
        <v>-0.0930817302997752</v>
      </c>
    </row>
    <row r="452" spans="1:33">
      <c r="A452" t="s">
        <v>1001</v>
      </c>
      <c r="B452" s="20">
        <v>45129</v>
      </c>
      <c r="C452" s="2">
        <f t="shared" si="105"/>
        <v>7</v>
      </c>
      <c r="D452" s="21">
        <f t="shared" si="117"/>
        <v>45129</v>
      </c>
      <c r="E452" s="19" t="str">
        <f t="shared" si="106"/>
        <v>Quarter 3</v>
      </c>
      <c r="F452" s="19">
        <v>45128</v>
      </c>
      <c r="G452" s="19">
        <f t="shared" si="107"/>
        <v>45136</v>
      </c>
      <c r="H452" s="22">
        <f t="shared" si="108"/>
        <v>7</v>
      </c>
      <c r="I452" t="str">
        <f t="shared" si="109"/>
        <v>Ontime</v>
      </c>
      <c r="J452" t="s">
        <v>45</v>
      </c>
      <c r="K452" t="s">
        <v>60</v>
      </c>
      <c r="L452" t="s">
        <v>141</v>
      </c>
      <c r="M452" t="s">
        <v>62</v>
      </c>
      <c r="N452" t="s">
        <v>55</v>
      </c>
      <c r="O452" t="s">
        <v>63</v>
      </c>
      <c r="P452" t="s">
        <v>30</v>
      </c>
      <c r="Q452" t="s">
        <v>1002</v>
      </c>
      <c r="R452" s="3">
        <v>946.99</v>
      </c>
      <c r="S452" s="3">
        <v>2132.19</v>
      </c>
      <c r="T452" s="3">
        <f t="shared" si="110"/>
        <v>2132.19</v>
      </c>
      <c r="U452" s="3">
        <f>(1+'10. Whatif Control pannel'!$B$6)*T452</f>
        <v>2388.0528</v>
      </c>
      <c r="V452" s="3" t="str">
        <f t="shared" si="111"/>
        <v>High</v>
      </c>
      <c r="W452" s="34">
        <v>0.165</v>
      </c>
      <c r="X452" s="24" t="str">
        <f t="shared" si="112"/>
        <v>Okay</v>
      </c>
      <c r="Y452" s="36">
        <f>IF(W452&lt;=0.25,W452,'10. Whatif Control pannel'!$B$2)</f>
        <v>0.165</v>
      </c>
      <c r="Z452" s="24">
        <v>7</v>
      </c>
      <c r="AA452" s="13">
        <f>(1+'10. Whatif Control pannel'!$B$10)*Z452</f>
        <v>8.4</v>
      </c>
      <c r="AB452" s="3">
        <f t="shared" si="113"/>
        <v>12462.65055</v>
      </c>
      <c r="AC452" s="3">
        <f t="shared" si="118"/>
        <v>16749.8023392</v>
      </c>
      <c r="AD452" s="3">
        <f t="shared" si="114"/>
        <v>6628.93</v>
      </c>
      <c r="AE452" s="3">
        <f t="shared" si="115"/>
        <v>5833.72055</v>
      </c>
      <c r="AF452" s="3">
        <f t="shared" si="119"/>
        <v>10120.8723392</v>
      </c>
      <c r="AG452">
        <f t="shared" si="116"/>
        <v>0.468096295133622</v>
      </c>
    </row>
    <row r="453" spans="1:33">
      <c r="A453" t="s">
        <v>1003</v>
      </c>
      <c r="B453" s="20">
        <v>44945</v>
      </c>
      <c r="C453" s="2">
        <f t="shared" si="105"/>
        <v>1</v>
      </c>
      <c r="D453" s="21">
        <f t="shared" si="117"/>
        <v>44945</v>
      </c>
      <c r="E453" s="19" t="str">
        <f t="shared" si="106"/>
        <v>Quarter 1</v>
      </c>
      <c r="F453" s="19">
        <v>44960</v>
      </c>
      <c r="G453" s="19">
        <f t="shared" si="107"/>
        <v>44960</v>
      </c>
      <c r="H453" s="22">
        <f t="shared" si="108"/>
        <v>15</v>
      </c>
      <c r="I453" t="str">
        <f t="shared" si="109"/>
        <v>Delayed </v>
      </c>
      <c r="J453" t="s">
        <v>78</v>
      </c>
      <c r="K453" t="s">
        <v>108</v>
      </c>
      <c r="L453" t="s">
        <v>152</v>
      </c>
      <c r="M453" t="s">
        <v>105</v>
      </c>
      <c r="N453" t="s">
        <v>55</v>
      </c>
      <c r="O453" t="s">
        <v>41</v>
      </c>
      <c r="P453" t="s">
        <v>81</v>
      </c>
      <c r="Q453" t="s">
        <v>1004</v>
      </c>
      <c r="R453" s="3">
        <v>873.06</v>
      </c>
      <c r="S453" s="3">
        <v>2101.55</v>
      </c>
      <c r="T453" s="3">
        <f t="shared" si="110"/>
        <v>2101.55</v>
      </c>
      <c r="U453" s="3">
        <f>(1+'10. Whatif Control pannel'!$B$6)*T453</f>
        <v>2353.736</v>
      </c>
      <c r="V453" s="3" t="str">
        <f t="shared" si="111"/>
        <v>High</v>
      </c>
      <c r="W453" s="34">
        <v>0.066</v>
      </c>
      <c r="X453" s="24" t="str">
        <f t="shared" si="112"/>
        <v>Okay</v>
      </c>
      <c r="Y453" s="36">
        <f>IF(W453&lt;=0.25,W453,'10. Whatif Control pannel'!$B$2)</f>
        <v>0.066</v>
      </c>
      <c r="Z453" s="24">
        <v>10</v>
      </c>
      <c r="AA453" s="13">
        <f>(1+'10. Whatif Control pannel'!$B$10)*Z453</f>
        <v>12</v>
      </c>
      <c r="AB453" s="3">
        <f t="shared" si="113"/>
        <v>19628.477</v>
      </c>
      <c r="AC453" s="3">
        <f t="shared" si="118"/>
        <v>26380.673088</v>
      </c>
      <c r="AD453" s="3">
        <f t="shared" si="114"/>
        <v>8730.6</v>
      </c>
      <c r="AE453" s="3">
        <f t="shared" si="115"/>
        <v>10897.877</v>
      </c>
      <c r="AF453" s="3">
        <f t="shared" si="119"/>
        <v>17650.073088</v>
      </c>
      <c r="AG453">
        <f t="shared" si="116"/>
        <v>0.555207467191673</v>
      </c>
    </row>
    <row r="454" spans="1:33">
      <c r="A454" t="s">
        <v>1005</v>
      </c>
      <c r="B454" s="20">
        <v>45413</v>
      </c>
      <c r="C454" s="2">
        <f t="shared" si="105"/>
        <v>5</v>
      </c>
      <c r="D454" s="21">
        <f t="shared" si="117"/>
        <v>45413</v>
      </c>
      <c r="E454" s="19" t="str">
        <f t="shared" si="106"/>
        <v>Quarter 2</v>
      </c>
      <c r="F454" s="19">
        <v>45428</v>
      </c>
      <c r="G454" s="19">
        <f t="shared" si="107"/>
        <v>45428</v>
      </c>
      <c r="H454" s="22">
        <f t="shared" si="108"/>
        <v>15</v>
      </c>
      <c r="I454" t="str">
        <f t="shared" si="109"/>
        <v>Delayed </v>
      </c>
      <c r="J454" t="s">
        <v>45</v>
      </c>
      <c r="K454" t="s">
        <v>60</v>
      </c>
      <c r="L454" t="s">
        <v>61</v>
      </c>
      <c r="M454" t="s">
        <v>62</v>
      </c>
      <c r="N454" t="s">
        <v>20</v>
      </c>
      <c r="O454" t="s">
        <v>49</v>
      </c>
      <c r="P454" t="s">
        <v>22</v>
      </c>
      <c r="Q454" t="s">
        <v>1006</v>
      </c>
      <c r="R454" s="3">
        <v>901.19</v>
      </c>
      <c r="S454" s="3">
        <v>2125.44</v>
      </c>
      <c r="T454" s="3">
        <f t="shared" si="110"/>
        <v>2125.44</v>
      </c>
      <c r="U454" s="3">
        <f>(1+'10. Whatif Control pannel'!$B$6)*T454</f>
        <v>2380.4928</v>
      </c>
      <c r="V454" s="3" t="str">
        <f t="shared" si="111"/>
        <v>High</v>
      </c>
      <c r="W454" s="34">
        <v>0.071</v>
      </c>
      <c r="X454" s="24" t="str">
        <f t="shared" si="112"/>
        <v>Okay</v>
      </c>
      <c r="Y454" s="36">
        <f>IF(W454&lt;=0.25,W454,'10. Whatif Control pannel'!$B$2)</f>
        <v>0.071</v>
      </c>
      <c r="Z454" s="24">
        <v>12</v>
      </c>
      <c r="AA454" s="13">
        <f>(1+'10. Whatif Control pannel'!$B$10)*Z454</f>
        <v>14.4</v>
      </c>
      <c r="AB454" s="3">
        <f t="shared" si="113"/>
        <v>23694.40512</v>
      </c>
      <c r="AC454" s="3">
        <f t="shared" si="118"/>
        <v>31845.28048128</v>
      </c>
      <c r="AD454" s="3">
        <f t="shared" si="114"/>
        <v>10814.28</v>
      </c>
      <c r="AE454" s="3">
        <f t="shared" si="115"/>
        <v>12880.12512</v>
      </c>
      <c r="AF454" s="3">
        <f t="shared" si="119"/>
        <v>21031.00048128</v>
      </c>
      <c r="AG454">
        <f t="shared" si="116"/>
        <v>0.543593521541004</v>
      </c>
    </row>
    <row r="455" spans="1:33">
      <c r="A455" t="s">
        <v>1007</v>
      </c>
      <c r="B455" s="20">
        <v>45817</v>
      </c>
      <c r="C455" s="2">
        <f t="shared" si="105"/>
        <v>6</v>
      </c>
      <c r="D455" s="21">
        <f t="shared" si="117"/>
        <v>45817</v>
      </c>
      <c r="E455" s="19" t="str">
        <f t="shared" si="106"/>
        <v>Quarter 2</v>
      </c>
      <c r="F455" s="19">
        <v>45832</v>
      </c>
      <c r="G455" s="19">
        <f t="shared" si="107"/>
        <v>45832</v>
      </c>
      <c r="H455" s="22">
        <f t="shared" si="108"/>
        <v>15</v>
      </c>
      <c r="I455" t="str">
        <f t="shared" si="109"/>
        <v>Delayed </v>
      </c>
      <c r="J455" t="s">
        <v>45</v>
      </c>
      <c r="K455" t="s">
        <v>46</v>
      </c>
      <c r="L455" t="s">
        <v>231</v>
      </c>
      <c r="M455" t="s">
        <v>19</v>
      </c>
      <c r="N455" t="s">
        <v>98</v>
      </c>
      <c r="O455" t="s">
        <v>56</v>
      </c>
      <c r="P455" t="s">
        <v>42</v>
      </c>
      <c r="Q455" t="s">
        <v>1008</v>
      </c>
      <c r="R455" s="3">
        <v>400.39</v>
      </c>
      <c r="S455" s="3">
        <v>712.75</v>
      </c>
      <c r="T455" s="3">
        <f t="shared" si="110"/>
        <v>712.75</v>
      </c>
      <c r="U455" s="3">
        <f>(1+'10. Whatif Control pannel'!$B$6)*T455</f>
        <v>798.28</v>
      </c>
      <c r="V455" s="3" t="str">
        <f t="shared" si="111"/>
        <v>Low</v>
      </c>
      <c r="W455" s="34">
        <v>0.115</v>
      </c>
      <c r="X455" s="24" t="str">
        <f t="shared" si="112"/>
        <v>Okay</v>
      </c>
      <c r="Y455" s="36">
        <f>IF(W455&lt;=0.25,W455,'10. Whatif Control pannel'!$B$2)</f>
        <v>0.115</v>
      </c>
      <c r="Z455" s="24">
        <v>19</v>
      </c>
      <c r="AA455" s="13">
        <f>(1+'10. Whatif Control pannel'!$B$10)*Z455</f>
        <v>22.8</v>
      </c>
      <c r="AB455" s="3">
        <f t="shared" si="113"/>
        <v>11984.89125</v>
      </c>
      <c r="AC455" s="3">
        <f t="shared" si="118"/>
        <v>16107.69384</v>
      </c>
      <c r="AD455" s="3">
        <f t="shared" si="114"/>
        <v>7607.41</v>
      </c>
      <c r="AE455" s="3">
        <f t="shared" si="115"/>
        <v>4377.48125</v>
      </c>
      <c r="AF455" s="3">
        <f t="shared" si="119"/>
        <v>8500.28384</v>
      </c>
      <c r="AG455">
        <f t="shared" si="116"/>
        <v>0.365249976715475</v>
      </c>
    </row>
    <row r="456" spans="1:33">
      <c r="A456" t="s">
        <v>1009</v>
      </c>
      <c r="B456" s="20">
        <v>45070</v>
      </c>
      <c r="C456" s="2">
        <f t="shared" si="105"/>
        <v>5</v>
      </c>
      <c r="D456" s="21">
        <f t="shared" si="117"/>
        <v>45070</v>
      </c>
      <c r="E456" s="19" t="str">
        <f t="shared" si="106"/>
        <v>Quarter 2</v>
      </c>
      <c r="F456" s="19">
        <v>45098</v>
      </c>
      <c r="G456" s="19">
        <f t="shared" si="107"/>
        <v>45098</v>
      </c>
      <c r="H456" s="22">
        <f t="shared" si="108"/>
        <v>28</v>
      </c>
      <c r="I456" t="str">
        <f t="shared" si="109"/>
        <v>Delayed </v>
      </c>
      <c r="J456" t="s">
        <v>52</v>
      </c>
      <c r="K456" t="s">
        <v>122</v>
      </c>
      <c r="L456" t="s">
        <v>326</v>
      </c>
      <c r="M456" t="s">
        <v>62</v>
      </c>
      <c r="N456" t="s">
        <v>40</v>
      </c>
      <c r="O456" t="s">
        <v>41</v>
      </c>
      <c r="P456" t="s">
        <v>64</v>
      </c>
      <c r="Q456" t="s">
        <v>1010</v>
      </c>
      <c r="R456" s="3">
        <v>813.97</v>
      </c>
      <c r="S456" s="3">
        <v>1568.83</v>
      </c>
      <c r="T456" s="3">
        <f t="shared" si="110"/>
        <v>1568.83</v>
      </c>
      <c r="U456" s="3">
        <f>(1+'10. Whatif Control pannel'!$B$6)*T456</f>
        <v>1757.0896</v>
      </c>
      <c r="V456" s="3" t="str">
        <f t="shared" si="111"/>
        <v>Medium</v>
      </c>
      <c r="W456" s="34">
        <v>0.017</v>
      </c>
      <c r="X456" s="24" t="str">
        <f t="shared" si="112"/>
        <v>Okay</v>
      </c>
      <c r="Y456" s="36">
        <f>IF(W456&lt;=0.25,W456,'10. Whatif Control pannel'!$B$2)</f>
        <v>0.017</v>
      </c>
      <c r="Z456" s="24">
        <v>15</v>
      </c>
      <c r="AA456" s="13">
        <f>(1+'10. Whatif Control pannel'!$B$10)*Z456</f>
        <v>18</v>
      </c>
      <c r="AB456" s="3">
        <f t="shared" si="113"/>
        <v>23132.39835</v>
      </c>
      <c r="AC456" s="3">
        <f t="shared" si="118"/>
        <v>31089.9433824</v>
      </c>
      <c r="AD456" s="3">
        <f t="shared" si="114"/>
        <v>12209.55</v>
      </c>
      <c r="AE456" s="3">
        <f t="shared" si="115"/>
        <v>10922.84835</v>
      </c>
      <c r="AF456" s="3">
        <f t="shared" si="119"/>
        <v>18880.3933824</v>
      </c>
      <c r="AG456">
        <f t="shared" si="116"/>
        <v>0.472188321536491</v>
      </c>
    </row>
    <row r="457" spans="1:33">
      <c r="A457" t="s">
        <v>1011</v>
      </c>
      <c r="B457" s="20">
        <v>45653</v>
      </c>
      <c r="C457" s="2">
        <f t="shared" si="105"/>
        <v>12</v>
      </c>
      <c r="D457" s="21">
        <f t="shared" si="117"/>
        <v>45653</v>
      </c>
      <c r="E457" s="19" t="str">
        <f t="shared" si="106"/>
        <v>Quarter 4</v>
      </c>
      <c r="F457" s="19">
        <v>45655</v>
      </c>
      <c r="G457" s="19">
        <f t="shared" si="107"/>
        <v>45655</v>
      </c>
      <c r="H457" s="22">
        <f t="shared" si="108"/>
        <v>2</v>
      </c>
      <c r="I457" t="str">
        <f t="shared" si="109"/>
        <v>Ontime</v>
      </c>
      <c r="J457" t="s">
        <v>52</v>
      </c>
      <c r="K457" t="s">
        <v>53</v>
      </c>
      <c r="L457" t="s">
        <v>179</v>
      </c>
      <c r="M457" t="s">
        <v>105</v>
      </c>
      <c r="N457" t="s">
        <v>40</v>
      </c>
      <c r="O457" t="s">
        <v>21</v>
      </c>
      <c r="P457" t="s">
        <v>81</v>
      </c>
      <c r="Q457" t="s">
        <v>1012</v>
      </c>
      <c r="R457" s="3">
        <v>1146.72</v>
      </c>
      <c r="S457" s="3">
        <v>2074.34</v>
      </c>
      <c r="T457" s="3">
        <f t="shared" si="110"/>
        <v>2074.34</v>
      </c>
      <c r="U457" s="3">
        <f>(1+'10. Whatif Control pannel'!$B$6)*T457</f>
        <v>2323.2608</v>
      </c>
      <c r="V457" s="3" t="str">
        <f t="shared" si="111"/>
        <v>High</v>
      </c>
      <c r="W457" s="34">
        <v>0.111</v>
      </c>
      <c r="X457" s="24" t="str">
        <f t="shared" si="112"/>
        <v>Okay</v>
      </c>
      <c r="Y457" s="36">
        <f>IF(W457&lt;=0.25,W457,'10. Whatif Control pannel'!$B$2)</f>
        <v>0.111</v>
      </c>
      <c r="Z457" s="24">
        <v>8</v>
      </c>
      <c r="AA457" s="13">
        <f>(1+'10. Whatif Control pannel'!$B$10)*Z457</f>
        <v>9.6</v>
      </c>
      <c r="AB457" s="3">
        <f t="shared" si="113"/>
        <v>14752.70608</v>
      </c>
      <c r="AC457" s="3">
        <f t="shared" si="118"/>
        <v>19827.63697152</v>
      </c>
      <c r="AD457" s="3">
        <f t="shared" si="114"/>
        <v>9173.76</v>
      </c>
      <c r="AE457" s="3">
        <f t="shared" si="115"/>
        <v>5578.94608</v>
      </c>
      <c r="AF457" s="3">
        <f t="shared" si="119"/>
        <v>10653.87697152</v>
      </c>
      <c r="AG457">
        <f t="shared" si="116"/>
        <v>0.378164253374727</v>
      </c>
    </row>
    <row r="458" spans="1:33">
      <c r="A458" t="s">
        <v>1013</v>
      </c>
      <c r="B458" s="20">
        <v>45265</v>
      </c>
      <c r="C458" s="2">
        <f t="shared" si="105"/>
        <v>12</v>
      </c>
      <c r="D458" s="21">
        <f t="shared" si="117"/>
        <v>45265</v>
      </c>
      <c r="E458" s="19" t="str">
        <f t="shared" si="106"/>
        <v>Quarter 4</v>
      </c>
      <c r="F458" s="19">
        <v>45272</v>
      </c>
      <c r="G458" s="19">
        <f t="shared" si="107"/>
        <v>45272</v>
      </c>
      <c r="H458" s="22">
        <f t="shared" si="108"/>
        <v>7</v>
      </c>
      <c r="I458" t="str">
        <f t="shared" si="109"/>
        <v>Ontime</v>
      </c>
      <c r="J458" t="s">
        <v>52</v>
      </c>
      <c r="K458" t="s">
        <v>73</v>
      </c>
      <c r="L458" t="s">
        <v>87</v>
      </c>
      <c r="M458" t="s">
        <v>19</v>
      </c>
      <c r="N458" t="s">
        <v>98</v>
      </c>
      <c r="O458" t="s">
        <v>84</v>
      </c>
      <c r="P458" t="s">
        <v>42</v>
      </c>
      <c r="Q458" t="s">
        <v>1014</v>
      </c>
      <c r="R458" s="3">
        <v>307.43</v>
      </c>
      <c r="S458" s="3">
        <v>495.19</v>
      </c>
      <c r="T458" s="3">
        <f t="shared" si="110"/>
        <v>495.19</v>
      </c>
      <c r="U458" s="3">
        <f>(1+'10. Whatif Control pannel'!$B$6)*T458</f>
        <v>554.6128</v>
      </c>
      <c r="V458" s="3" t="str">
        <f t="shared" si="111"/>
        <v>Low</v>
      </c>
      <c r="W458" s="34">
        <v>0</v>
      </c>
      <c r="X458" s="24" t="str">
        <f t="shared" si="112"/>
        <v>Okay</v>
      </c>
      <c r="Y458" s="36">
        <f>IF(W458&lt;=0.25,W458,'10. Whatif Control pannel'!$B$2)</f>
        <v>0</v>
      </c>
      <c r="Z458" s="24">
        <v>42</v>
      </c>
      <c r="AA458" s="13">
        <f>(1+'10. Whatif Control pannel'!$B$10)*Z458</f>
        <v>50.4</v>
      </c>
      <c r="AB458" s="3">
        <f t="shared" si="113"/>
        <v>20797.98</v>
      </c>
      <c r="AC458" s="3">
        <f t="shared" si="118"/>
        <v>27952.48512</v>
      </c>
      <c r="AD458" s="3">
        <f t="shared" si="114"/>
        <v>12912.06</v>
      </c>
      <c r="AE458" s="3">
        <f t="shared" si="115"/>
        <v>7885.92</v>
      </c>
      <c r="AF458" s="3">
        <f t="shared" si="119"/>
        <v>15040.42512</v>
      </c>
      <c r="AG458">
        <f t="shared" si="116"/>
        <v>0.379167592237323</v>
      </c>
    </row>
    <row r="459" spans="1:33">
      <c r="A459" t="s">
        <v>1015</v>
      </c>
      <c r="B459" s="20">
        <v>45048</v>
      </c>
      <c r="C459" s="2">
        <f t="shared" si="105"/>
        <v>5</v>
      </c>
      <c r="D459" s="21">
        <f t="shared" si="117"/>
        <v>45048</v>
      </c>
      <c r="E459" s="19" t="str">
        <f t="shared" si="106"/>
        <v>Quarter 2</v>
      </c>
      <c r="F459" s="19">
        <v>45065</v>
      </c>
      <c r="G459" s="19">
        <f t="shared" si="107"/>
        <v>45065</v>
      </c>
      <c r="H459" s="22">
        <f t="shared" si="108"/>
        <v>17</v>
      </c>
      <c r="I459" t="str">
        <f t="shared" si="109"/>
        <v>Delayed </v>
      </c>
      <c r="J459" t="s">
        <v>45</v>
      </c>
      <c r="K459" t="s">
        <v>116</v>
      </c>
      <c r="L459" t="s">
        <v>162</v>
      </c>
      <c r="M459" t="s">
        <v>39</v>
      </c>
      <c r="N459" t="s">
        <v>98</v>
      </c>
      <c r="O459" t="s">
        <v>29</v>
      </c>
      <c r="P459" t="s">
        <v>64</v>
      </c>
      <c r="Q459" t="s">
        <v>1016</v>
      </c>
      <c r="R459" s="3">
        <v>714.28</v>
      </c>
      <c r="S459" s="3">
        <v>757.59</v>
      </c>
      <c r="T459" s="3">
        <f t="shared" si="110"/>
        <v>757.59</v>
      </c>
      <c r="U459" s="3">
        <f>(1+'10. Whatif Control pannel'!$B$6)*T459</f>
        <v>848.5008</v>
      </c>
      <c r="V459" s="3" t="str">
        <f t="shared" si="111"/>
        <v>Low</v>
      </c>
      <c r="W459" s="34">
        <v>0.136</v>
      </c>
      <c r="X459" s="24" t="str">
        <f t="shared" si="112"/>
        <v>Okay</v>
      </c>
      <c r="Y459" s="36">
        <f>IF(W459&lt;=0.25,W459,'10. Whatif Control pannel'!$B$2)</f>
        <v>0.136</v>
      </c>
      <c r="Z459" s="24">
        <v>12</v>
      </c>
      <c r="AA459" s="13">
        <f>(1+'10. Whatif Control pannel'!$B$10)*Z459</f>
        <v>14.4</v>
      </c>
      <c r="AB459" s="3">
        <f t="shared" si="113"/>
        <v>7854.69312</v>
      </c>
      <c r="AC459" s="3">
        <f t="shared" si="118"/>
        <v>10556.70755328</v>
      </c>
      <c r="AD459" s="3">
        <f t="shared" si="114"/>
        <v>8571.36</v>
      </c>
      <c r="AE459" s="3">
        <f t="shared" si="115"/>
        <v>-716.666880000001</v>
      </c>
      <c r="AF459" s="3">
        <f t="shared" si="119"/>
        <v>1985.34755328</v>
      </c>
      <c r="AG459">
        <f t="shared" si="116"/>
        <v>-0.0912405957879104</v>
      </c>
    </row>
    <row r="460" spans="1:33">
      <c r="A460" t="s">
        <v>1017</v>
      </c>
      <c r="B460" s="20">
        <v>45260</v>
      </c>
      <c r="C460" s="2">
        <f t="shared" si="105"/>
        <v>11</v>
      </c>
      <c r="D460" s="21">
        <f t="shared" si="117"/>
        <v>45260</v>
      </c>
      <c r="E460" s="19" t="str">
        <f t="shared" si="106"/>
        <v>Quarter 4</v>
      </c>
      <c r="F460" s="19">
        <v>45270</v>
      </c>
      <c r="G460" s="19">
        <f t="shared" si="107"/>
        <v>45270</v>
      </c>
      <c r="H460" s="22">
        <f t="shared" si="108"/>
        <v>10</v>
      </c>
      <c r="I460" t="str">
        <f t="shared" si="109"/>
        <v>Delayed </v>
      </c>
      <c r="J460" t="s">
        <v>78</v>
      </c>
      <c r="K460" t="s">
        <v>79</v>
      </c>
      <c r="L460" t="s">
        <v>159</v>
      </c>
      <c r="M460" t="s">
        <v>62</v>
      </c>
      <c r="N460" t="s">
        <v>98</v>
      </c>
      <c r="O460" t="s">
        <v>84</v>
      </c>
      <c r="P460" t="s">
        <v>57</v>
      </c>
      <c r="Q460" t="s">
        <v>1018</v>
      </c>
      <c r="R460" s="3">
        <v>174.74</v>
      </c>
      <c r="S460" s="3">
        <v>415.96</v>
      </c>
      <c r="T460" s="3">
        <f t="shared" si="110"/>
        <v>415.96</v>
      </c>
      <c r="U460" s="3">
        <f>(1+'10. Whatif Control pannel'!$B$6)*T460</f>
        <v>465.8752</v>
      </c>
      <c r="V460" s="3" t="str">
        <f t="shared" si="111"/>
        <v>Low</v>
      </c>
      <c r="W460" s="34">
        <v>0.125</v>
      </c>
      <c r="X460" s="24" t="str">
        <f t="shared" si="112"/>
        <v>Okay</v>
      </c>
      <c r="Y460" s="36">
        <f>IF(W460&lt;=0.25,W460,'10. Whatif Control pannel'!$B$2)</f>
        <v>0.125</v>
      </c>
      <c r="Z460" s="24">
        <v>21</v>
      </c>
      <c r="AA460" s="13">
        <f>(1+'10. Whatif Control pannel'!$B$10)*Z460</f>
        <v>25.2</v>
      </c>
      <c r="AB460" s="3">
        <f t="shared" si="113"/>
        <v>7643.265</v>
      </c>
      <c r="AC460" s="3">
        <f t="shared" si="118"/>
        <v>10272.54816</v>
      </c>
      <c r="AD460" s="3">
        <f t="shared" si="114"/>
        <v>3669.54</v>
      </c>
      <c r="AE460" s="3">
        <f t="shared" si="115"/>
        <v>3973.725</v>
      </c>
      <c r="AF460" s="3">
        <f t="shared" si="119"/>
        <v>6603.00816</v>
      </c>
      <c r="AG460">
        <f t="shared" si="116"/>
        <v>0.519898891376918</v>
      </c>
    </row>
    <row r="461" spans="1:33">
      <c r="A461" t="s">
        <v>1019</v>
      </c>
      <c r="B461" s="20">
        <v>45417</v>
      </c>
      <c r="C461" s="2">
        <f t="shared" si="105"/>
        <v>5</v>
      </c>
      <c r="D461" s="21">
        <f t="shared" si="117"/>
        <v>45417</v>
      </c>
      <c r="E461" s="19" t="str">
        <f t="shared" si="106"/>
        <v>Quarter 2</v>
      </c>
      <c r="F461" s="19">
        <v>45430</v>
      </c>
      <c r="G461" s="19">
        <f t="shared" si="107"/>
        <v>45430</v>
      </c>
      <c r="H461" s="22">
        <f t="shared" si="108"/>
        <v>13</v>
      </c>
      <c r="I461" t="str">
        <f t="shared" si="109"/>
        <v>Delayed </v>
      </c>
      <c r="J461" t="s">
        <v>78</v>
      </c>
      <c r="K461" t="s">
        <v>90</v>
      </c>
      <c r="L461" t="s">
        <v>91</v>
      </c>
      <c r="M461" t="s">
        <v>19</v>
      </c>
      <c r="N461" t="s">
        <v>40</v>
      </c>
      <c r="O461" t="s">
        <v>75</v>
      </c>
      <c r="P461" t="s">
        <v>22</v>
      </c>
      <c r="Q461" t="s">
        <v>1020</v>
      </c>
      <c r="R461" s="3">
        <v>1264.04</v>
      </c>
      <c r="S461" s="3">
        <v>1870.89</v>
      </c>
      <c r="T461" s="3">
        <f t="shared" si="110"/>
        <v>1870.89</v>
      </c>
      <c r="U461" s="3">
        <f>(1+'10. Whatif Control pannel'!$B$6)*T461</f>
        <v>2095.3968</v>
      </c>
      <c r="V461" s="3" t="str">
        <f t="shared" si="111"/>
        <v>High</v>
      </c>
      <c r="W461" s="34">
        <v>0</v>
      </c>
      <c r="X461" s="24" t="str">
        <f t="shared" si="112"/>
        <v>Okay</v>
      </c>
      <c r="Y461" s="36">
        <f>IF(W461&lt;=0.25,W461,'10. Whatif Control pannel'!$B$2)</f>
        <v>0</v>
      </c>
      <c r="Z461" s="24">
        <v>13</v>
      </c>
      <c r="AA461" s="13">
        <f>(1+'10. Whatif Control pannel'!$B$10)*Z461</f>
        <v>15.6</v>
      </c>
      <c r="AB461" s="3">
        <f t="shared" si="113"/>
        <v>24321.57</v>
      </c>
      <c r="AC461" s="3">
        <f t="shared" si="118"/>
        <v>32688.19008</v>
      </c>
      <c r="AD461" s="3">
        <f t="shared" si="114"/>
        <v>16432.52</v>
      </c>
      <c r="AE461" s="3">
        <f t="shared" si="115"/>
        <v>7889.05</v>
      </c>
      <c r="AF461" s="3">
        <f t="shared" si="119"/>
        <v>16255.67008</v>
      </c>
      <c r="AG461">
        <f t="shared" si="116"/>
        <v>0.32436433996654</v>
      </c>
    </row>
    <row r="462" spans="1:33">
      <c r="A462" t="s">
        <v>1021</v>
      </c>
      <c r="B462" s="20">
        <v>45116</v>
      </c>
      <c r="C462" s="2">
        <f t="shared" si="105"/>
        <v>7</v>
      </c>
      <c r="D462" s="21">
        <f t="shared" si="117"/>
        <v>45116</v>
      </c>
      <c r="E462" s="19" t="str">
        <f t="shared" si="106"/>
        <v>Quarter 3</v>
      </c>
      <c r="F462" s="19">
        <v>45126</v>
      </c>
      <c r="G462" s="19">
        <f t="shared" si="107"/>
        <v>45126</v>
      </c>
      <c r="H462" s="22">
        <f t="shared" si="108"/>
        <v>10</v>
      </c>
      <c r="I462" t="str">
        <f t="shared" si="109"/>
        <v>Delayed </v>
      </c>
      <c r="J462" t="s">
        <v>45</v>
      </c>
      <c r="K462" t="s">
        <v>46</v>
      </c>
      <c r="L462" t="s">
        <v>214</v>
      </c>
      <c r="M462" t="s">
        <v>105</v>
      </c>
      <c r="N462" t="s">
        <v>55</v>
      </c>
      <c r="O462" t="s">
        <v>126</v>
      </c>
      <c r="P462" t="s">
        <v>22</v>
      </c>
      <c r="Q462" t="s">
        <v>1022</v>
      </c>
      <c r="R462" s="3">
        <v>141.26</v>
      </c>
      <c r="S462" s="3">
        <v>206.88</v>
      </c>
      <c r="T462" s="3">
        <f t="shared" si="110"/>
        <v>206.88</v>
      </c>
      <c r="U462" s="3">
        <f>(1+'10. Whatif Control pannel'!$B$6)*T462</f>
        <v>231.7056</v>
      </c>
      <c r="V462" s="3" t="str">
        <f t="shared" si="111"/>
        <v>Low</v>
      </c>
      <c r="W462" s="34">
        <v>0.107</v>
      </c>
      <c r="X462" s="24" t="str">
        <f t="shared" si="112"/>
        <v>Okay</v>
      </c>
      <c r="Y462" s="36">
        <f>IF(W462&lt;=0.25,W462,'10. Whatif Control pannel'!$B$2)</f>
        <v>0.107</v>
      </c>
      <c r="Z462" s="24">
        <v>9</v>
      </c>
      <c r="AA462" s="13">
        <f>(1+'10. Whatif Control pannel'!$B$10)*Z462</f>
        <v>10.8</v>
      </c>
      <c r="AB462" s="3">
        <f t="shared" si="113"/>
        <v>1662.69456</v>
      </c>
      <c r="AC462" s="3">
        <f t="shared" si="118"/>
        <v>2234.66148864</v>
      </c>
      <c r="AD462" s="3">
        <f t="shared" si="114"/>
        <v>1271.34</v>
      </c>
      <c r="AE462" s="3">
        <f t="shared" si="115"/>
        <v>391.35456</v>
      </c>
      <c r="AF462" s="3">
        <f t="shared" si="119"/>
        <v>963.32148864</v>
      </c>
      <c r="AG462">
        <f t="shared" si="116"/>
        <v>0.235373693650625</v>
      </c>
    </row>
    <row r="463" spans="1:33">
      <c r="A463" t="s">
        <v>1023</v>
      </c>
      <c r="B463" s="20">
        <v>45063</v>
      </c>
      <c r="C463" s="2">
        <f t="shared" si="105"/>
        <v>5</v>
      </c>
      <c r="D463" s="21">
        <f t="shared" si="117"/>
        <v>45063</v>
      </c>
      <c r="E463" s="19" t="str">
        <f t="shared" si="106"/>
        <v>Quarter 2</v>
      </c>
      <c r="F463" s="19">
        <v>45092</v>
      </c>
      <c r="G463" s="19">
        <f t="shared" si="107"/>
        <v>45092</v>
      </c>
      <c r="H463" s="22">
        <f t="shared" si="108"/>
        <v>29</v>
      </c>
      <c r="I463" t="str">
        <f t="shared" si="109"/>
        <v>Delayed </v>
      </c>
      <c r="J463" t="s">
        <v>16</v>
      </c>
      <c r="K463" t="s">
        <v>148</v>
      </c>
      <c r="L463" t="s">
        <v>172</v>
      </c>
      <c r="M463" t="s">
        <v>105</v>
      </c>
      <c r="N463" t="s">
        <v>20</v>
      </c>
      <c r="O463" t="s">
        <v>95</v>
      </c>
      <c r="P463" t="s">
        <v>81</v>
      </c>
      <c r="Q463" t="s">
        <v>1024</v>
      </c>
      <c r="R463" s="3">
        <v>40.89</v>
      </c>
      <c r="S463" s="3">
        <v>62.82</v>
      </c>
      <c r="T463" s="3">
        <f t="shared" si="110"/>
        <v>62.82</v>
      </c>
      <c r="U463" s="3">
        <f>(1+'10. Whatif Control pannel'!$B$6)*T463</f>
        <v>70.3584</v>
      </c>
      <c r="V463" s="3" t="str">
        <f t="shared" si="111"/>
        <v>Low</v>
      </c>
      <c r="W463" s="34">
        <v>0.129</v>
      </c>
      <c r="X463" s="24" t="str">
        <f t="shared" si="112"/>
        <v>Okay</v>
      </c>
      <c r="Y463" s="36">
        <f>IF(W463&lt;=0.25,W463,'10. Whatif Control pannel'!$B$2)</f>
        <v>0.129</v>
      </c>
      <c r="Z463" s="24">
        <v>17</v>
      </c>
      <c r="AA463" s="13">
        <f>(1+'10. Whatif Control pannel'!$B$10)*Z463</f>
        <v>20.4</v>
      </c>
      <c r="AB463" s="3">
        <f t="shared" si="113"/>
        <v>930.17574</v>
      </c>
      <c r="AC463" s="3">
        <f t="shared" si="118"/>
        <v>1250.15619456</v>
      </c>
      <c r="AD463" s="3">
        <f t="shared" si="114"/>
        <v>695.13</v>
      </c>
      <c r="AE463" s="3">
        <f t="shared" si="115"/>
        <v>235.04574</v>
      </c>
      <c r="AF463" s="3">
        <f t="shared" si="119"/>
        <v>555.02619456</v>
      </c>
      <c r="AG463">
        <f t="shared" si="116"/>
        <v>0.252689604654708</v>
      </c>
    </row>
    <row r="464" spans="1:33">
      <c r="A464" t="s">
        <v>1025</v>
      </c>
      <c r="B464" s="20">
        <v>45358</v>
      </c>
      <c r="C464" s="2">
        <f t="shared" si="105"/>
        <v>3</v>
      </c>
      <c r="D464" s="21">
        <f t="shared" si="117"/>
        <v>45358</v>
      </c>
      <c r="E464" s="19" t="str">
        <f t="shared" si="106"/>
        <v>Quarter 1</v>
      </c>
      <c r="F464" s="19">
        <v>45385</v>
      </c>
      <c r="G464" s="19">
        <f t="shared" si="107"/>
        <v>45385</v>
      </c>
      <c r="H464" s="22">
        <f t="shared" si="108"/>
        <v>27</v>
      </c>
      <c r="I464" t="str">
        <f t="shared" si="109"/>
        <v>Delayed </v>
      </c>
      <c r="J464" t="s">
        <v>78</v>
      </c>
      <c r="K464" t="s">
        <v>79</v>
      </c>
      <c r="L464" t="s">
        <v>335</v>
      </c>
      <c r="M464" t="s">
        <v>19</v>
      </c>
      <c r="N464" t="s">
        <v>98</v>
      </c>
      <c r="O464" t="s">
        <v>110</v>
      </c>
      <c r="P464" t="s">
        <v>30</v>
      </c>
      <c r="Q464" t="s">
        <v>1026</v>
      </c>
      <c r="R464" s="3">
        <v>738.16</v>
      </c>
      <c r="S464" s="3">
        <v>956.49</v>
      </c>
      <c r="T464" s="3">
        <f t="shared" si="110"/>
        <v>956.49</v>
      </c>
      <c r="U464" s="3">
        <f>(1+'10. Whatif Control pannel'!$B$6)*T464</f>
        <v>1071.2688</v>
      </c>
      <c r="V464" s="3" t="str">
        <f t="shared" si="111"/>
        <v>Medium</v>
      </c>
      <c r="W464" s="34">
        <v>0.152</v>
      </c>
      <c r="X464" s="24" t="str">
        <f t="shared" si="112"/>
        <v>Okay</v>
      </c>
      <c r="Y464" s="36">
        <f>IF(W464&lt;=0.25,W464,'10. Whatif Control pannel'!$B$2)</f>
        <v>0.152</v>
      </c>
      <c r="Z464" s="24">
        <v>5</v>
      </c>
      <c r="AA464" s="13">
        <f>(1+'10. Whatif Control pannel'!$B$10)*Z464</f>
        <v>6</v>
      </c>
      <c r="AB464" s="3">
        <f t="shared" si="113"/>
        <v>4055.5176</v>
      </c>
      <c r="AC464" s="3">
        <f t="shared" si="118"/>
        <v>5450.6156544</v>
      </c>
      <c r="AD464" s="3">
        <f t="shared" si="114"/>
        <v>3690.8</v>
      </c>
      <c r="AE464" s="3">
        <f t="shared" si="115"/>
        <v>364.7176</v>
      </c>
      <c r="AF464" s="3">
        <f t="shared" si="119"/>
        <v>1759.8156544</v>
      </c>
      <c r="AG464">
        <f t="shared" si="116"/>
        <v>0.0899312087808471</v>
      </c>
    </row>
    <row r="465" spans="1:33">
      <c r="A465" t="s">
        <v>1027</v>
      </c>
      <c r="B465" s="20">
        <v>45757</v>
      </c>
      <c r="C465" s="2">
        <f t="shared" si="105"/>
        <v>4</v>
      </c>
      <c r="D465" s="21">
        <f t="shared" si="117"/>
        <v>45757</v>
      </c>
      <c r="E465" s="19" t="str">
        <f t="shared" si="106"/>
        <v>Quarter 2</v>
      </c>
      <c r="F465" s="19">
        <v>45766</v>
      </c>
      <c r="G465" s="19">
        <f t="shared" si="107"/>
        <v>45766</v>
      </c>
      <c r="H465" s="22">
        <f t="shared" si="108"/>
        <v>9</v>
      </c>
      <c r="I465" t="str">
        <f t="shared" si="109"/>
        <v>Delayed </v>
      </c>
      <c r="J465" t="s">
        <v>16</v>
      </c>
      <c r="K465" t="s">
        <v>148</v>
      </c>
      <c r="L465" t="s">
        <v>172</v>
      </c>
      <c r="M465" t="s">
        <v>105</v>
      </c>
      <c r="N465" t="s">
        <v>1441</v>
      </c>
      <c r="O465" t="s">
        <v>41</v>
      </c>
      <c r="P465" t="s">
        <v>35</v>
      </c>
      <c r="Q465" t="s">
        <v>1028</v>
      </c>
      <c r="R465" s="3">
        <v>113.74</v>
      </c>
      <c r="S465" s="3">
        <v>165.7</v>
      </c>
      <c r="T465" s="3">
        <f t="shared" si="110"/>
        <v>165.7</v>
      </c>
      <c r="U465" s="3">
        <f>(1+'10. Whatif Control pannel'!$B$6)*T465</f>
        <v>185.584</v>
      </c>
      <c r="V465" s="3" t="str">
        <f t="shared" si="111"/>
        <v>Low</v>
      </c>
      <c r="W465" s="34">
        <v>0.124</v>
      </c>
      <c r="X465" s="24" t="str">
        <f t="shared" si="112"/>
        <v>Okay</v>
      </c>
      <c r="Y465" s="36">
        <f>IF(W465&lt;=0.25,W465,'10. Whatif Control pannel'!$B$2)</f>
        <v>0.124</v>
      </c>
      <c r="Z465" s="24">
        <v>13</v>
      </c>
      <c r="AA465" s="13">
        <f>(1+'10. Whatif Control pannel'!$B$10)*Z465</f>
        <v>15.6</v>
      </c>
      <c r="AB465" s="3">
        <f t="shared" si="113"/>
        <v>1886.9916</v>
      </c>
      <c r="AC465" s="3">
        <f t="shared" si="118"/>
        <v>2536.1167104</v>
      </c>
      <c r="AD465" s="3">
        <f t="shared" si="114"/>
        <v>1478.62</v>
      </c>
      <c r="AE465" s="3">
        <f t="shared" si="115"/>
        <v>408.3716</v>
      </c>
      <c r="AF465" s="3">
        <f t="shared" si="119"/>
        <v>1057.4967104</v>
      </c>
      <c r="AG465">
        <f t="shared" si="116"/>
        <v>0.216414105923948</v>
      </c>
    </row>
    <row r="466" spans="1:33">
      <c r="A466" t="s">
        <v>1029</v>
      </c>
      <c r="B466" s="20">
        <v>45865</v>
      </c>
      <c r="C466" s="2">
        <f t="shared" si="105"/>
        <v>7</v>
      </c>
      <c r="D466" s="21">
        <f t="shared" si="117"/>
        <v>45865</v>
      </c>
      <c r="E466" s="19" t="str">
        <f t="shared" si="106"/>
        <v>Quarter 3</v>
      </c>
      <c r="F466" s="19">
        <v>45884</v>
      </c>
      <c r="G466" s="19">
        <f t="shared" si="107"/>
        <v>45884</v>
      </c>
      <c r="H466" s="22">
        <f t="shared" si="108"/>
        <v>19</v>
      </c>
      <c r="I466" t="str">
        <f t="shared" si="109"/>
        <v>Delayed </v>
      </c>
      <c r="J466" t="s">
        <v>45</v>
      </c>
      <c r="K466" t="s">
        <v>46</v>
      </c>
      <c r="L466" t="s">
        <v>214</v>
      </c>
      <c r="M466" t="s">
        <v>62</v>
      </c>
      <c r="N466" t="s">
        <v>40</v>
      </c>
      <c r="O466" t="s">
        <v>29</v>
      </c>
      <c r="P466" t="s">
        <v>22</v>
      </c>
      <c r="Q466" t="s">
        <v>1030</v>
      </c>
      <c r="R466" s="3">
        <v>275.43</v>
      </c>
      <c r="S466" s="3">
        <v>608.36</v>
      </c>
      <c r="T466" s="3">
        <f t="shared" si="110"/>
        <v>608.36</v>
      </c>
      <c r="U466" s="3">
        <f>(1+'10. Whatif Control pannel'!$B$6)*T466</f>
        <v>681.3632</v>
      </c>
      <c r="V466" s="3" t="str">
        <f t="shared" si="111"/>
        <v>Low</v>
      </c>
      <c r="W466" s="34">
        <v>0.257</v>
      </c>
      <c r="X466" s="24" t="str">
        <f t="shared" si="112"/>
        <v>High Discount</v>
      </c>
      <c r="Y466" s="36">
        <f>IF(W466&lt;=0.25,W466,'10. Whatif Control pannel'!$B$2)</f>
        <v>0.23</v>
      </c>
      <c r="Z466" s="24">
        <v>4</v>
      </c>
      <c r="AA466" s="13">
        <f>(1+'10. Whatif Control pannel'!$B$10)*Z466</f>
        <v>4.8</v>
      </c>
      <c r="AB466" s="3">
        <f t="shared" si="113"/>
        <v>1808.04592</v>
      </c>
      <c r="AC466" s="3">
        <f t="shared" si="118"/>
        <v>2518.3183872</v>
      </c>
      <c r="AD466" s="3">
        <f t="shared" si="114"/>
        <v>1101.72</v>
      </c>
      <c r="AE466" s="3">
        <f t="shared" si="115"/>
        <v>706.32592</v>
      </c>
      <c r="AF466" s="3">
        <f t="shared" si="119"/>
        <v>1416.5983872</v>
      </c>
      <c r="AG466">
        <f t="shared" si="116"/>
        <v>0.390657069152314</v>
      </c>
    </row>
    <row r="467" spans="1:33">
      <c r="A467" t="s">
        <v>1031</v>
      </c>
      <c r="B467" s="20">
        <v>45618</v>
      </c>
      <c r="C467" s="2">
        <f t="shared" si="105"/>
        <v>11</v>
      </c>
      <c r="D467" s="21">
        <f t="shared" si="117"/>
        <v>45618</v>
      </c>
      <c r="E467" s="19" t="str">
        <f t="shared" si="106"/>
        <v>Quarter 4</v>
      </c>
      <c r="F467" s="19">
        <v>45641</v>
      </c>
      <c r="G467" s="19">
        <f t="shared" si="107"/>
        <v>45641</v>
      </c>
      <c r="H467" s="22">
        <f t="shared" si="108"/>
        <v>23</v>
      </c>
      <c r="I467" t="str">
        <f t="shared" si="109"/>
        <v>Delayed </v>
      </c>
      <c r="J467" t="s">
        <v>16</v>
      </c>
      <c r="K467" t="s">
        <v>17</v>
      </c>
      <c r="L467" t="s">
        <v>113</v>
      </c>
      <c r="M467" t="s">
        <v>39</v>
      </c>
      <c r="N467" t="s">
        <v>55</v>
      </c>
      <c r="O467" t="s">
        <v>21</v>
      </c>
      <c r="P467" t="s">
        <v>22</v>
      </c>
      <c r="Q467" t="s">
        <v>1032</v>
      </c>
      <c r="R467" s="3">
        <v>1335.76</v>
      </c>
      <c r="S467" s="3">
        <v>2665.91</v>
      </c>
      <c r="T467" s="3">
        <f t="shared" si="110"/>
        <v>2665.91</v>
      </c>
      <c r="U467" s="3">
        <f>(1+'10. Whatif Control pannel'!$B$6)*T467</f>
        <v>2985.8192</v>
      </c>
      <c r="V467" s="3" t="str">
        <f t="shared" si="111"/>
        <v>High</v>
      </c>
      <c r="W467" s="34">
        <v>0.211</v>
      </c>
      <c r="X467" s="24" t="str">
        <f t="shared" si="112"/>
        <v>High Discount</v>
      </c>
      <c r="Y467" s="36">
        <f>IF(W467&lt;=0.25,W467,'10. Whatif Control pannel'!$B$2)</f>
        <v>0.211</v>
      </c>
      <c r="Z467" s="24">
        <v>40</v>
      </c>
      <c r="AA467" s="13">
        <f>(1+'10. Whatif Control pannel'!$B$10)*Z467</f>
        <v>48</v>
      </c>
      <c r="AB467" s="3">
        <f t="shared" si="113"/>
        <v>84136.1196</v>
      </c>
      <c r="AC467" s="3">
        <f t="shared" si="118"/>
        <v>113078.9447424</v>
      </c>
      <c r="AD467" s="3">
        <f t="shared" si="114"/>
        <v>53430.4</v>
      </c>
      <c r="AE467" s="3">
        <f t="shared" si="115"/>
        <v>30705.7196</v>
      </c>
      <c r="AF467" s="3">
        <f t="shared" si="119"/>
        <v>59648.5447424</v>
      </c>
      <c r="AG467">
        <f t="shared" si="116"/>
        <v>0.364952885229093</v>
      </c>
    </row>
    <row r="468" spans="1:33">
      <c r="A468" t="s">
        <v>1033</v>
      </c>
      <c r="B468" s="20">
        <v>45466</v>
      </c>
      <c r="C468" s="2">
        <f t="shared" si="105"/>
        <v>6</v>
      </c>
      <c r="D468" s="21">
        <f t="shared" si="117"/>
        <v>45466</v>
      </c>
      <c r="E468" s="19" t="str">
        <f t="shared" si="106"/>
        <v>Quarter 2</v>
      </c>
      <c r="F468" s="19">
        <v>45471</v>
      </c>
      <c r="G468" s="19">
        <f t="shared" si="107"/>
        <v>45471</v>
      </c>
      <c r="H468" s="22">
        <f t="shared" si="108"/>
        <v>5</v>
      </c>
      <c r="I468" t="str">
        <f t="shared" si="109"/>
        <v>Ontime</v>
      </c>
      <c r="J468" t="s">
        <v>16</v>
      </c>
      <c r="K468" t="s">
        <v>25</v>
      </c>
      <c r="L468" t="s">
        <v>26</v>
      </c>
      <c r="M468" t="s">
        <v>39</v>
      </c>
      <c r="N468" t="s">
        <v>98</v>
      </c>
      <c r="O468" t="s">
        <v>110</v>
      </c>
      <c r="P468" t="s">
        <v>81</v>
      </c>
      <c r="Q468" t="s">
        <v>1034</v>
      </c>
      <c r="R468" s="3">
        <v>242.31</v>
      </c>
      <c r="S468" s="3">
        <v>587.95</v>
      </c>
      <c r="T468" s="3">
        <f t="shared" si="110"/>
        <v>587.95</v>
      </c>
      <c r="U468" s="3">
        <f>(1+'10. Whatif Control pannel'!$B$6)*T468</f>
        <v>658.504</v>
      </c>
      <c r="V468" s="3" t="str">
        <f t="shared" si="111"/>
        <v>Low</v>
      </c>
      <c r="W468" s="34">
        <v>0.229</v>
      </c>
      <c r="X468" s="24" t="str">
        <f t="shared" si="112"/>
        <v>High Discount</v>
      </c>
      <c r="Y468" s="36">
        <f>IF(W468&lt;=0.25,W468,'10. Whatif Control pannel'!$B$2)</f>
        <v>0.229</v>
      </c>
      <c r="Z468" s="24">
        <v>6</v>
      </c>
      <c r="AA468" s="13">
        <f>(1+'10. Whatif Control pannel'!$B$10)*Z468</f>
        <v>7.2</v>
      </c>
      <c r="AB468" s="3">
        <f t="shared" si="113"/>
        <v>2719.8567</v>
      </c>
      <c r="AC468" s="3">
        <f t="shared" si="118"/>
        <v>3655.4874048</v>
      </c>
      <c r="AD468" s="3">
        <f t="shared" si="114"/>
        <v>1453.86</v>
      </c>
      <c r="AE468" s="3">
        <f t="shared" si="115"/>
        <v>1265.9967</v>
      </c>
      <c r="AF468" s="3">
        <f t="shared" si="119"/>
        <v>2201.6274048</v>
      </c>
      <c r="AG468">
        <f t="shared" si="116"/>
        <v>0.465464485684117</v>
      </c>
    </row>
    <row r="469" spans="1:33">
      <c r="A469" t="s">
        <v>1035</v>
      </c>
      <c r="B469" s="20">
        <v>45278</v>
      </c>
      <c r="C469" s="2">
        <f t="shared" si="105"/>
        <v>12</v>
      </c>
      <c r="D469" s="21">
        <f t="shared" si="117"/>
        <v>45278</v>
      </c>
      <c r="E469" s="19" t="str">
        <f t="shared" si="106"/>
        <v>Quarter 4</v>
      </c>
      <c r="F469" s="19">
        <v>45305</v>
      </c>
      <c r="G469" s="19">
        <f t="shared" si="107"/>
        <v>45305</v>
      </c>
      <c r="H469" s="22">
        <f t="shared" si="108"/>
        <v>27</v>
      </c>
      <c r="I469" t="str">
        <f t="shared" si="109"/>
        <v>Delayed </v>
      </c>
      <c r="J469" t="s">
        <v>45</v>
      </c>
      <c r="K469" t="s">
        <v>60</v>
      </c>
      <c r="L469" t="s">
        <v>220</v>
      </c>
      <c r="M469" t="s">
        <v>48</v>
      </c>
      <c r="N469" t="s">
        <v>55</v>
      </c>
      <c r="O469" t="s">
        <v>145</v>
      </c>
      <c r="P469" t="s">
        <v>35</v>
      </c>
      <c r="Q469" t="s">
        <v>1036</v>
      </c>
      <c r="R469" s="3">
        <v>1408.3</v>
      </c>
      <c r="S469" s="3">
        <v>2193.13</v>
      </c>
      <c r="T469" s="3">
        <f t="shared" si="110"/>
        <v>2193.13</v>
      </c>
      <c r="U469" s="3">
        <f>(1+'10. Whatif Control pannel'!$B$6)*T469</f>
        <v>2456.3056</v>
      </c>
      <c r="V469" s="3" t="str">
        <f t="shared" si="111"/>
        <v>High</v>
      </c>
      <c r="W469" s="34">
        <v>0.071</v>
      </c>
      <c r="X469" s="24" t="str">
        <f t="shared" si="112"/>
        <v>Okay</v>
      </c>
      <c r="Y469" s="36">
        <f>IF(W469&lt;=0.25,W469,'10. Whatif Control pannel'!$B$2)</f>
        <v>0.071</v>
      </c>
      <c r="Z469" s="24">
        <v>7</v>
      </c>
      <c r="AA469" s="13">
        <f>(1+'10. Whatif Control pannel'!$B$10)*Z469</f>
        <v>8.4</v>
      </c>
      <c r="AB469" s="3">
        <f t="shared" si="113"/>
        <v>14261.92439</v>
      </c>
      <c r="AC469" s="3">
        <f t="shared" si="118"/>
        <v>19168.02638016</v>
      </c>
      <c r="AD469" s="3">
        <f t="shared" si="114"/>
        <v>9858.1</v>
      </c>
      <c r="AE469" s="3">
        <f t="shared" si="115"/>
        <v>4403.82439</v>
      </c>
      <c r="AF469" s="3">
        <f t="shared" si="119"/>
        <v>9309.92638016</v>
      </c>
      <c r="AG469">
        <f t="shared" si="116"/>
        <v>0.308781919576563</v>
      </c>
    </row>
    <row r="470" spans="1:33">
      <c r="A470" t="s">
        <v>1037</v>
      </c>
      <c r="B470" s="20">
        <v>45809</v>
      </c>
      <c r="C470" s="2">
        <f t="shared" si="105"/>
        <v>6</v>
      </c>
      <c r="D470" s="21">
        <f t="shared" si="117"/>
        <v>45809</v>
      </c>
      <c r="E470" s="19" t="str">
        <f t="shared" si="106"/>
        <v>Quarter 2</v>
      </c>
      <c r="F470" s="19">
        <v>45813</v>
      </c>
      <c r="G470" s="19">
        <f t="shared" si="107"/>
        <v>45813</v>
      </c>
      <c r="H470" s="22">
        <f t="shared" si="108"/>
        <v>4</v>
      </c>
      <c r="I470" t="str">
        <f t="shared" si="109"/>
        <v>Ontime</v>
      </c>
      <c r="J470" t="s">
        <v>78</v>
      </c>
      <c r="K470" t="s">
        <v>79</v>
      </c>
      <c r="L470" t="s">
        <v>159</v>
      </c>
      <c r="M470" t="s">
        <v>105</v>
      </c>
      <c r="N470" t="s">
        <v>98</v>
      </c>
      <c r="O470" t="s">
        <v>110</v>
      </c>
      <c r="P470" t="s">
        <v>22</v>
      </c>
      <c r="Q470" t="s">
        <v>1038</v>
      </c>
      <c r="R470" s="3">
        <v>1171.42</v>
      </c>
      <c r="S470" s="3">
        <v>2187.8</v>
      </c>
      <c r="T470" s="3">
        <f t="shared" si="110"/>
        <v>2187.8</v>
      </c>
      <c r="U470" s="3">
        <f>(1+'10. Whatif Control pannel'!$B$6)*T470</f>
        <v>2450.336</v>
      </c>
      <c r="V470" s="3" t="str">
        <f t="shared" si="111"/>
        <v>High</v>
      </c>
      <c r="W470" s="34">
        <v>0.23</v>
      </c>
      <c r="X470" s="24" t="str">
        <f t="shared" si="112"/>
        <v>High Discount</v>
      </c>
      <c r="Y470" s="36">
        <f>IF(W470&lt;=0.25,W470,'10. Whatif Control pannel'!$B$2)</f>
        <v>0.23</v>
      </c>
      <c r="Z470" s="24">
        <v>15</v>
      </c>
      <c r="AA470" s="13">
        <f>(1+'10. Whatif Control pannel'!$B$10)*Z470</f>
        <v>18</v>
      </c>
      <c r="AB470" s="3">
        <f t="shared" si="113"/>
        <v>25269.09</v>
      </c>
      <c r="AC470" s="3">
        <f t="shared" si="118"/>
        <v>33961.65696</v>
      </c>
      <c r="AD470" s="3">
        <f t="shared" si="114"/>
        <v>17571.3</v>
      </c>
      <c r="AE470" s="3">
        <f t="shared" si="115"/>
        <v>7697.79</v>
      </c>
      <c r="AF470" s="3">
        <f t="shared" si="119"/>
        <v>16390.35696</v>
      </c>
      <c r="AG470">
        <f t="shared" si="116"/>
        <v>0.304632655944476</v>
      </c>
    </row>
    <row r="471" spans="1:33">
      <c r="A471" t="s">
        <v>1039</v>
      </c>
      <c r="B471" s="20">
        <v>45739</v>
      </c>
      <c r="C471" s="2">
        <f t="shared" si="105"/>
        <v>3</v>
      </c>
      <c r="D471" s="21">
        <f t="shared" si="117"/>
        <v>45739</v>
      </c>
      <c r="E471" s="19" t="str">
        <f t="shared" si="106"/>
        <v>Quarter 1</v>
      </c>
      <c r="F471" s="19">
        <v>45749</v>
      </c>
      <c r="G471" s="19">
        <f t="shared" si="107"/>
        <v>45749</v>
      </c>
      <c r="H471" s="22">
        <f t="shared" si="108"/>
        <v>10</v>
      </c>
      <c r="I471" t="str">
        <f t="shared" si="109"/>
        <v>Delayed </v>
      </c>
      <c r="J471" t="s">
        <v>78</v>
      </c>
      <c r="K471" t="s">
        <v>79</v>
      </c>
      <c r="L471" t="s">
        <v>80</v>
      </c>
      <c r="M471" t="s">
        <v>105</v>
      </c>
      <c r="N471" t="s">
        <v>28</v>
      </c>
      <c r="O471" t="s">
        <v>63</v>
      </c>
      <c r="P471" t="s">
        <v>30</v>
      </c>
      <c r="Q471" t="s">
        <v>1040</v>
      </c>
      <c r="R471" s="3">
        <v>663.61</v>
      </c>
      <c r="S471" s="3">
        <v>1002.11</v>
      </c>
      <c r="T471" s="3">
        <f t="shared" si="110"/>
        <v>1002.11</v>
      </c>
      <c r="U471" s="3">
        <f>(1+'10. Whatif Control pannel'!$B$6)*T471</f>
        <v>1122.3632</v>
      </c>
      <c r="V471" s="3" t="str">
        <f t="shared" si="111"/>
        <v>Medium</v>
      </c>
      <c r="W471" s="34">
        <v>0.046</v>
      </c>
      <c r="X471" s="24" t="str">
        <f t="shared" si="112"/>
        <v>Okay</v>
      </c>
      <c r="Y471" s="36">
        <f>IF(W471&lt;=0.25,W471,'10. Whatif Control pannel'!$B$2)</f>
        <v>0.046</v>
      </c>
      <c r="Z471" s="24">
        <v>17</v>
      </c>
      <c r="AA471" s="13">
        <f>(1+'10. Whatif Control pannel'!$B$10)*Z471</f>
        <v>20.4</v>
      </c>
      <c r="AB471" s="3">
        <f t="shared" si="113"/>
        <v>16252.21998</v>
      </c>
      <c r="AC471" s="3">
        <f t="shared" si="118"/>
        <v>21842.98365312</v>
      </c>
      <c r="AD471" s="3">
        <f t="shared" si="114"/>
        <v>11281.37</v>
      </c>
      <c r="AE471" s="3">
        <f t="shared" si="115"/>
        <v>4970.84998</v>
      </c>
      <c r="AF471" s="3">
        <f t="shared" si="119"/>
        <v>10561.61365312</v>
      </c>
      <c r="AG471">
        <f t="shared" si="116"/>
        <v>0.305856675956708</v>
      </c>
    </row>
    <row r="472" spans="1:33">
      <c r="A472" t="s">
        <v>1041</v>
      </c>
      <c r="B472" s="20">
        <v>45060</v>
      </c>
      <c r="C472" s="2">
        <f t="shared" si="105"/>
        <v>5</v>
      </c>
      <c r="D472" s="21">
        <f t="shared" si="117"/>
        <v>45060</v>
      </c>
      <c r="E472" s="19" t="str">
        <f t="shared" si="106"/>
        <v>Quarter 2</v>
      </c>
      <c r="F472" s="19">
        <v>45068</v>
      </c>
      <c r="G472" s="19">
        <f t="shared" si="107"/>
        <v>45068</v>
      </c>
      <c r="H472" s="22">
        <f t="shared" si="108"/>
        <v>8</v>
      </c>
      <c r="I472" t="str">
        <f t="shared" si="109"/>
        <v>Delayed </v>
      </c>
      <c r="J472" t="s">
        <v>16</v>
      </c>
      <c r="K472" t="s">
        <v>17</v>
      </c>
      <c r="L472" t="s">
        <v>113</v>
      </c>
      <c r="M472" t="s">
        <v>62</v>
      </c>
      <c r="N472" t="s">
        <v>55</v>
      </c>
      <c r="O472" t="s">
        <v>84</v>
      </c>
      <c r="P472" t="s">
        <v>30</v>
      </c>
      <c r="Q472" t="s">
        <v>1042</v>
      </c>
      <c r="R472" s="3">
        <v>432.01</v>
      </c>
      <c r="S472" s="3">
        <v>913.78</v>
      </c>
      <c r="T472" s="3">
        <f t="shared" si="110"/>
        <v>913.78</v>
      </c>
      <c r="U472" s="3">
        <f>(1+'10. Whatif Control pannel'!$B$6)*T472</f>
        <v>1023.4336</v>
      </c>
      <c r="V472" s="3" t="str">
        <f t="shared" si="111"/>
        <v>Medium</v>
      </c>
      <c r="W472" s="34">
        <v>0.049</v>
      </c>
      <c r="X472" s="24" t="str">
        <f t="shared" si="112"/>
        <v>Okay</v>
      </c>
      <c r="Y472" s="36">
        <f>IF(W472&lt;=0.25,W472,'10. Whatif Control pannel'!$B$2)</f>
        <v>0.049</v>
      </c>
      <c r="Z472" s="24">
        <v>12</v>
      </c>
      <c r="AA472" s="13">
        <f>(1+'10. Whatif Control pannel'!$B$10)*Z472</f>
        <v>14.4</v>
      </c>
      <c r="AB472" s="3">
        <f t="shared" si="113"/>
        <v>10428.05736</v>
      </c>
      <c r="AC472" s="3">
        <f t="shared" si="118"/>
        <v>14015.30909184</v>
      </c>
      <c r="AD472" s="3">
        <f t="shared" si="114"/>
        <v>5184.12</v>
      </c>
      <c r="AE472" s="3">
        <f t="shared" si="115"/>
        <v>5243.93736</v>
      </c>
      <c r="AF472" s="3">
        <f t="shared" si="119"/>
        <v>8831.18909184</v>
      </c>
      <c r="AG472">
        <f t="shared" si="116"/>
        <v>0.502868096997119</v>
      </c>
    </row>
    <row r="473" spans="1:33">
      <c r="A473" t="s">
        <v>1043</v>
      </c>
      <c r="B473" s="20">
        <v>45167</v>
      </c>
      <c r="C473" s="2">
        <f t="shared" si="105"/>
        <v>8</v>
      </c>
      <c r="D473" s="21">
        <f t="shared" si="117"/>
        <v>45167</v>
      </c>
      <c r="E473" s="19" t="str">
        <f t="shared" si="106"/>
        <v>Quarter 3</v>
      </c>
      <c r="F473" s="19">
        <v>45188</v>
      </c>
      <c r="G473" s="19">
        <f t="shared" si="107"/>
        <v>45188</v>
      </c>
      <c r="H473" s="22">
        <f t="shared" si="108"/>
        <v>21</v>
      </c>
      <c r="I473" t="str">
        <f t="shared" si="109"/>
        <v>Delayed </v>
      </c>
      <c r="J473" t="s">
        <v>78</v>
      </c>
      <c r="K473" t="s">
        <v>90</v>
      </c>
      <c r="L473" t="s">
        <v>138</v>
      </c>
      <c r="M473" t="s">
        <v>62</v>
      </c>
      <c r="N473" t="s">
        <v>98</v>
      </c>
      <c r="O473" t="s">
        <v>56</v>
      </c>
      <c r="P473" t="s">
        <v>30</v>
      </c>
      <c r="Q473" t="s">
        <v>1044</v>
      </c>
      <c r="R473" s="3">
        <v>784.46</v>
      </c>
      <c r="S473" s="3">
        <v>1843.51</v>
      </c>
      <c r="T473" s="3">
        <f t="shared" si="110"/>
        <v>1843.51</v>
      </c>
      <c r="U473" s="3">
        <f>(1+'10. Whatif Control pannel'!$B$6)*T473</f>
        <v>2064.7312</v>
      </c>
      <c r="V473" s="3" t="str">
        <f t="shared" si="111"/>
        <v>High</v>
      </c>
      <c r="W473" s="34">
        <v>0.138</v>
      </c>
      <c r="X473" s="24" t="str">
        <f t="shared" si="112"/>
        <v>Okay</v>
      </c>
      <c r="Y473" s="36">
        <f>IF(W473&lt;=0.25,W473,'10. Whatif Control pannel'!$B$2)</f>
        <v>0.138</v>
      </c>
      <c r="Z473" s="24">
        <v>23</v>
      </c>
      <c r="AA473" s="13">
        <f>(1+'10. Whatif Control pannel'!$B$10)*Z473</f>
        <v>27.6</v>
      </c>
      <c r="AB473" s="3">
        <f t="shared" si="113"/>
        <v>36549.42926</v>
      </c>
      <c r="AC473" s="3">
        <f t="shared" si="118"/>
        <v>49122.43292544</v>
      </c>
      <c r="AD473" s="3">
        <f t="shared" si="114"/>
        <v>18042.58</v>
      </c>
      <c r="AE473" s="3">
        <f t="shared" si="115"/>
        <v>18506.84926</v>
      </c>
      <c r="AF473" s="3">
        <f t="shared" si="119"/>
        <v>31079.85292544</v>
      </c>
      <c r="AG473">
        <f t="shared" si="116"/>
        <v>0.506351251844418</v>
      </c>
    </row>
    <row r="474" spans="1:33">
      <c r="A474" t="s">
        <v>1045</v>
      </c>
      <c r="B474" s="20">
        <v>45841</v>
      </c>
      <c r="C474" s="2">
        <f t="shared" si="105"/>
        <v>7</v>
      </c>
      <c r="D474" s="21">
        <f t="shared" si="117"/>
        <v>45841</v>
      </c>
      <c r="E474" s="19" t="str">
        <f t="shared" si="106"/>
        <v>Quarter 3</v>
      </c>
      <c r="F474" s="19">
        <v>45861</v>
      </c>
      <c r="G474" s="19">
        <f t="shared" si="107"/>
        <v>45861</v>
      </c>
      <c r="H474" s="22">
        <f t="shared" si="108"/>
        <v>20</v>
      </c>
      <c r="I474" t="str">
        <f t="shared" si="109"/>
        <v>Delayed </v>
      </c>
      <c r="J474" t="s">
        <v>45</v>
      </c>
      <c r="K474" t="s">
        <v>116</v>
      </c>
      <c r="L474" t="s">
        <v>338</v>
      </c>
      <c r="M474" t="s">
        <v>62</v>
      </c>
      <c r="N474" t="s">
        <v>28</v>
      </c>
      <c r="O474" t="s">
        <v>110</v>
      </c>
      <c r="P474" t="s">
        <v>22</v>
      </c>
      <c r="Q474" t="s">
        <v>1046</v>
      </c>
      <c r="R474" s="3">
        <v>647.36</v>
      </c>
      <c r="S474" s="3">
        <v>1383.6</v>
      </c>
      <c r="T474" s="3">
        <f t="shared" si="110"/>
        <v>1383.6</v>
      </c>
      <c r="U474" s="3">
        <f>(1+'10. Whatif Control pannel'!$B$6)*T474</f>
        <v>1549.632</v>
      </c>
      <c r="V474" s="3" t="str">
        <f t="shared" si="111"/>
        <v>Medium</v>
      </c>
      <c r="W474" s="34">
        <v>0.074</v>
      </c>
      <c r="X474" s="24" t="str">
        <f t="shared" si="112"/>
        <v>Okay</v>
      </c>
      <c r="Y474" s="36">
        <f>IF(W474&lt;=0.25,W474,'10. Whatif Control pannel'!$B$2)</f>
        <v>0.074</v>
      </c>
      <c r="Z474" s="24">
        <v>12</v>
      </c>
      <c r="AA474" s="13">
        <f>(1+'10. Whatif Control pannel'!$B$10)*Z474</f>
        <v>14.4</v>
      </c>
      <c r="AB474" s="3">
        <f t="shared" si="113"/>
        <v>15374.5632</v>
      </c>
      <c r="AC474" s="3">
        <f t="shared" si="118"/>
        <v>20663.4129408</v>
      </c>
      <c r="AD474" s="3">
        <f t="shared" si="114"/>
        <v>7768.32</v>
      </c>
      <c r="AE474" s="3">
        <f t="shared" si="115"/>
        <v>7606.2432</v>
      </c>
      <c r="AF474" s="3">
        <f t="shared" si="119"/>
        <v>12895.0929408</v>
      </c>
      <c r="AG474">
        <f t="shared" si="116"/>
        <v>0.494729060009978</v>
      </c>
    </row>
    <row r="475" spans="1:33">
      <c r="A475" t="s">
        <v>1047</v>
      </c>
      <c r="B475" s="20">
        <v>45328</v>
      </c>
      <c r="C475" s="2">
        <f t="shared" si="105"/>
        <v>2</v>
      </c>
      <c r="D475" s="21">
        <f t="shared" si="117"/>
        <v>45328</v>
      </c>
      <c r="E475" s="19" t="str">
        <f t="shared" si="106"/>
        <v>Quarter 1</v>
      </c>
      <c r="F475" s="19">
        <v>45350</v>
      </c>
      <c r="G475" s="19">
        <f t="shared" si="107"/>
        <v>45350</v>
      </c>
      <c r="H475" s="22">
        <f t="shared" si="108"/>
        <v>22</v>
      </c>
      <c r="I475" t="str">
        <f t="shared" si="109"/>
        <v>Delayed </v>
      </c>
      <c r="J475" t="s">
        <v>16</v>
      </c>
      <c r="K475" t="s">
        <v>17</v>
      </c>
      <c r="L475" t="s">
        <v>18</v>
      </c>
      <c r="M475" t="s">
        <v>39</v>
      </c>
      <c r="N475" t="s">
        <v>28</v>
      </c>
      <c r="O475" t="s">
        <v>95</v>
      </c>
      <c r="P475" t="s">
        <v>64</v>
      </c>
      <c r="Q475" t="s">
        <v>1048</v>
      </c>
      <c r="R475" s="3">
        <v>834.93</v>
      </c>
      <c r="S475" s="3">
        <v>1588.53</v>
      </c>
      <c r="T475" s="3">
        <f t="shared" si="110"/>
        <v>1588.53</v>
      </c>
      <c r="U475" s="3">
        <f>(1+'10. Whatif Control pannel'!$B$6)*T475</f>
        <v>1779.1536</v>
      </c>
      <c r="V475" s="3" t="str">
        <f t="shared" si="111"/>
        <v>Medium</v>
      </c>
      <c r="W475" s="34">
        <v>0.126</v>
      </c>
      <c r="X475" s="24" t="str">
        <f t="shared" si="112"/>
        <v>Okay</v>
      </c>
      <c r="Y475" s="36">
        <f>IF(W475&lt;=0.25,W475,'10. Whatif Control pannel'!$B$2)</f>
        <v>0.126</v>
      </c>
      <c r="Z475" s="24">
        <v>6</v>
      </c>
      <c r="AA475" s="13">
        <f>(1+'10. Whatif Control pannel'!$B$10)*Z475</f>
        <v>7.2</v>
      </c>
      <c r="AB475" s="3">
        <f t="shared" si="113"/>
        <v>8330.25132</v>
      </c>
      <c r="AC475" s="3">
        <f t="shared" si="118"/>
        <v>11195.85777408</v>
      </c>
      <c r="AD475" s="3">
        <f t="shared" si="114"/>
        <v>5009.58</v>
      </c>
      <c r="AE475" s="3">
        <f t="shared" si="115"/>
        <v>3320.67132</v>
      </c>
      <c r="AF475" s="3">
        <f t="shared" si="119"/>
        <v>6186.27777408</v>
      </c>
      <c r="AG475">
        <f t="shared" si="116"/>
        <v>0.398627987612743</v>
      </c>
    </row>
    <row r="476" spans="1:33">
      <c r="A476" t="s">
        <v>1049</v>
      </c>
      <c r="B476" s="20">
        <v>45882</v>
      </c>
      <c r="C476" s="2">
        <f t="shared" si="105"/>
        <v>8</v>
      </c>
      <c r="D476" s="21">
        <f t="shared" si="117"/>
        <v>45882</v>
      </c>
      <c r="E476" s="19" t="str">
        <f t="shared" si="106"/>
        <v>Quarter 3</v>
      </c>
      <c r="F476" s="19">
        <v>45903</v>
      </c>
      <c r="G476" s="19">
        <f t="shared" si="107"/>
        <v>45903</v>
      </c>
      <c r="H476" s="22">
        <f t="shared" si="108"/>
        <v>21</v>
      </c>
      <c r="I476" t="str">
        <f t="shared" si="109"/>
        <v>Delayed </v>
      </c>
      <c r="J476" t="s">
        <v>78</v>
      </c>
      <c r="K476" t="s">
        <v>90</v>
      </c>
      <c r="L476" t="s">
        <v>217</v>
      </c>
      <c r="M476" t="s">
        <v>27</v>
      </c>
      <c r="N476" t="s">
        <v>20</v>
      </c>
      <c r="O476" t="s">
        <v>34</v>
      </c>
      <c r="P476" t="s">
        <v>42</v>
      </c>
      <c r="Q476" t="s">
        <v>1050</v>
      </c>
      <c r="R476" s="3">
        <v>603.47</v>
      </c>
      <c r="S476" s="3">
        <v>1344.05</v>
      </c>
      <c r="T476" s="3">
        <f t="shared" si="110"/>
        <v>1344.05</v>
      </c>
      <c r="U476" s="3">
        <f>(1+'10. Whatif Control pannel'!$B$6)*T476</f>
        <v>1505.336</v>
      </c>
      <c r="V476" s="3" t="str">
        <f t="shared" si="111"/>
        <v>Medium</v>
      </c>
      <c r="W476" s="34">
        <v>0.205</v>
      </c>
      <c r="X476" s="24" t="str">
        <f t="shared" si="112"/>
        <v>High Discount</v>
      </c>
      <c r="Y476" s="36">
        <f>IF(W476&lt;=0.25,W476,'10. Whatif Control pannel'!$B$2)</f>
        <v>0.205</v>
      </c>
      <c r="Z476" s="24">
        <v>18</v>
      </c>
      <c r="AA476" s="13">
        <f>(1+'10. Whatif Control pannel'!$B$10)*Z476</f>
        <v>21.6</v>
      </c>
      <c r="AB476" s="3">
        <f t="shared" si="113"/>
        <v>19233.3555</v>
      </c>
      <c r="AC476" s="3">
        <f t="shared" si="118"/>
        <v>25849.629792</v>
      </c>
      <c r="AD476" s="3">
        <f t="shared" si="114"/>
        <v>10862.46</v>
      </c>
      <c r="AE476" s="3">
        <f t="shared" si="115"/>
        <v>8370.8955</v>
      </c>
      <c r="AF476" s="3">
        <f t="shared" si="119"/>
        <v>14987.169792</v>
      </c>
      <c r="AG476">
        <f t="shared" si="116"/>
        <v>0.43522803392263</v>
      </c>
    </row>
    <row r="477" spans="1:33">
      <c r="A477" t="s">
        <v>1051</v>
      </c>
      <c r="B477" s="20">
        <v>45069</v>
      </c>
      <c r="C477" s="2">
        <f t="shared" si="105"/>
        <v>5</v>
      </c>
      <c r="D477" s="21">
        <f t="shared" si="117"/>
        <v>45069</v>
      </c>
      <c r="E477" s="19" t="str">
        <f t="shared" si="106"/>
        <v>Quarter 2</v>
      </c>
      <c r="F477" s="19">
        <v>45071</v>
      </c>
      <c r="G477" s="19">
        <f t="shared" si="107"/>
        <v>45071</v>
      </c>
      <c r="H477" s="22">
        <f t="shared" si="108"/>
        <v>2</v>
      </c>
      <c r="I477" t="str">
        <f t="shared" si="109"/>
        <v>Ontime</v>
      </c>
      <c r="J477" t="s">
        <v>52</v>
      </c>
      <c r="K477" t="s">
        <v>73</v>
      </c>
      <c r="L477" t="s">
        <v>225</v>
      </c>
      <c r="M477" t="s">
        <v>105</v>
      </c>
      <c r="N477" t="s">
        <v>20</v>
      </c>
      <c r="O477" t="s">
        <v>110</v>
      </c>
      <c r="P477" t="s">
        <v>30</v>
      </c>
      <c r="Q477" t="s">
        <v>1052</v>
      </c>
      <c r="R477" s="3">
        <v>690.49</v>
      </c>
      <c r="S477" s="3">
        <v>1290.29</v>
      </c>
      <c r="T477" s="3">
        <f t="shared" si="110"/>
        <v>1290.29</v>
      </c>
      <c r="U477" s="3">
        <f>(1+'10. Whatif Control pannel'!$B$6)*T477</f>
        <v>1445.1248</v>
      </c>
      <c r="V477" s="3" t="str">
        <f t="shared" si="111"/>
        <v>Medium</v>
      </c>
      <c r="W477" s="34">
        <v>0.042</v>
      </c>
      <c r="X477" s="24" t="str">
        <f t="shared" si="112"/>
        <v>Okay</v>
      </c>
      <c r="Y477" s="36">
        <f>IF(W477&lt;=0.25,W477,'10. Whatif Control pannel'!$B$2)</f>
        <v>0.042</v>
      </c>
      <c r="Z477" s="24">
        <v>22</v>
      </c>
      <c r="AA477" s="13">
        <f>(1+'10. Whatif Control pannel'!$B$10)*Z477</f>
        <v>26.4</v>
      </c>
      <c r="AB477" s="3">
        <f t="shared" si="113"/>
        <v>27194.15204</v>
      </c>
      <c r="AC477" s="3">
        <f t="shared" si="118"/>
        <v>36548.94034176</v>
      </c>
      <c r="AD477" s="3">
        <f t="shared" si="114"/>
        <v>15190.78</v>
      </c>
      <c r="AE477" s="3">
        <f t="shared" si="115"/>
        <v>12003.37204</v>
      </c>
      <c r="AF477" s="3">
        <f t="shared" si="119"/>
        <v>21358.16034176</v>
      </c>
      <c r="AG477">
        <f t="shared" si="116"/>
        <v>0.441395341996477</v>
      </c>
    </row>
    <row r="478" spans="1:33">
      <c r="A478" t="s">
        <v>1053</v>
      </c>
      <c r="B478" s="20">
        <v>45422</v>
      </c>
      <c r="C478" s="2">
        <f t="shared" si="105"/>
        <v>5</v>
      </c>
      <c r="D478" s="21">
        <f t="shared" si="117"/>
        <v>45422</v>
      </c>
      <c r="E478" s="19" t="str">
        <f t="shared" si="106"/>
        <v>Quarter 2</v>
      </c>
      <c r="F478" s="19">
        <v>45428</v>
      </c>
      <c r="G478" s="19">
        <f t="shared" si="107"/>
        <v>45428</v>
      </c>
      <c r="H478" s="22">
        <f t="shared" si="108"/>
        <v>6</v>
      </c>
      <c r="I478" t="str">
        <f t="shared" si="109"/>
        <v>Ontime</v>
      </c>
      <c r="J478" t="s">
        <v>78</v>
      </c>
      <c r="K478" t="s">
        <v>108</v>
      </c>
      <c r="L478" t="s">
        <v>109</v>
      </c>
      <c r="M478" t="s">
        <v>39</v>
      </c>
      <c r="N478" t="s">
        <v>98</v>
      </c>
      <c r="O478" t="s">
        <v>41</v>
      </c>
      <c r="P478" t="s">
        <v>57</v>
      </c>
      <c r="Q478" t="s">
        <v>1054</v>
      </c>
      <c r="R478" s="3">
        <v>210.76</v>
      </c>
      <c r="S478" s="3">
        <v>221.58</v>
      </c>
      <c r="T478" s="3">
        <f t="shared" si="110"/>
        <v>221.58</v>
      </c>
      <c r="U478" s="3">
        <f>(1+'10. Whatif Control pannel'!$B$6)*T478</f>
        <v>248.1696</v>
      </c>
      <c r="V478" s="3" t="str">
        <f t="shared" si="111"/>
        <v>Low</v>
      </c>
      <c r="W478" s="34">
        <v>0.089</v>
      </c>
      <c r="X478" s="24" t="str">
        <f t="shared" si="112"/>
        <v>Okay</v>
      </c>
      <c r="Y478" s="36">
        <f>IF(W478&lt;=0.25,W478,'10. Whatif Control pannel'!$B$2)</f>
        <v>0.089</v>
      </c>
      <c r="Z478" s="24">
        <v>5</v>
      </c>
      <c r="AA478" s="13">
        <f>(1+'10. Whatif Control pannel'!$B$10)*Z478</f>
        <v>6</v>
      </c>
      <c r="AB478" s="3">
        <f t="shared" si="113"/>
        <v>1009.2969</v>
      </c>
      <c r="AC478" s="3">
        <f t="shared" si="118"/>
        <v>1356.4950336</v>
      </c>
      <c r="AD478" s="3">
        <f t="shared" si="114"/>
        <v>1053.8</v>
      </c>
      <c r="AE478" s="3">
        <f t="shared" si="115"/>
        <v>-44.5030999999998</v>
      </c>
      <c r="AF478" s="3">
        <f t="shared" si="119"/>
        <v>302.6950336</v>
      </c>
      <c r="AG478">
        <f t="shared" si="116"/>
        <v>-0.0440931702059124</v>
      </c>
    </row>
    <row r="479" spans="1:33">
      <c r="A479" t="s">
        <v>1055</v>
      </c>
      <c r="B479" s="20">
        <v>44999</v>
      </c>
      <c r="C479" s="2">
        <f t="shared" si="105"/>
        <v>3</v>
      </c>
      <c r="D479" s="21">
        <f t="shared" si="117"/>
        <v>44999</v>
      </c>
      <c r="E479" s="19" t="str">
        <f t="shared" si="106"/>
        <v>Quarter 1</v>
      </c>
      <c r="F479" s="19">
        <v>45003</v>
      </c>
      <c r="G479" s="19">
        <f t="shared" si="107"/>
        <v>45003</v>
      </c>
      <c r="H479" s="22">
        <f t="shared" si="108"/>
        <v>4</v>
      </c>
      <c r="I479" t="str">
        <f t="shared" si="109"/>
        <v>Ontime</v>
      </c>
      <c r="J479" t="s">
        <v>78</v>
      </c>
      <c r="K479" t="s">
        <v>79</v>
      </c>
      <c r="L479" t="s">
        <v>335</v>
      </c>
      <c r="M479" t="s">
        <v>105</v>
      </c>
      <c r="N479" t="s">
        <v>98</v>
      </c>
      <c r="O479" t="s">
        <v>75</v>
      </c>
      <c r="P479" t="s">
        <v>22</v>
      </c>
      <c r="Q479" t="s">
        <v>1056</v>
      </c>
      <c r="R479" s="3">
        <v>472.33</v>
      </c>
      <c r="S479" s="3">
        <v>360.34</v>
      </c>
      <c r="T479" s="3">
        <f t="shared" si="110"/>
        <v>360.34</v>
      </c>
      <c r="U479" s="3">
        <f>(1+'10. Whatif Control pannel'!$B$6)*T479</f>
        <v>403.5808</v>
      </c>
      <c r="V479" s="3" t="str">
        <f t="shared" si="111"/>
        <v>Low</v>
      </c>
      <c r="W479" s="34">
        <v>0.165</v>
      </c>
      <c r="X479" s="24" t="str">
        <f t="shared" si="112"/>
        <v>Okay</v>
      </c>
      <c r="Y479" s="36">
        <f>IF(W479&lt;=0.25,W479,'10. Whatif Control pannel'!$B$2)</f>
        <v>0.165</v>
      </c>
      <c r="Z479" s="24">
        <v>14</v>
      </c>
      <c r="AA479" s="13">
        <f>(1+'10. Whatif Control pannel'!$B$10)*Z479</f>
        <v>16.8</v>
      </c>
      <c r="AB479" s="3">
        <f t="shared" si="113"/>
        <v>4212.3746</v>
      </c>
      <c r="AC479" s="3">
        <f t="shared" si="118"/>
        <v>5661.4314624</v>
      </c>
      <c r="AD479" s="3">
        <f t="shared" si="114"/>
        <v>6612.62</v>
      </c>
      <c r="AE479" s="3">
        <f t="shared" si="115"/>
        <v>-2400.2454</v>
      </c>
      <c r="AF479" s="3">
        <f t="shared" si="119"/>
        <v>-951.188537599999</v>
      </c>
      <c r="AG479">
        <f t="shared" si="116"/>
        <v>-0.569808155238616</v>
      </c>
    </row>
    <row r="480" spans="1:33">
      <c r="A480" t="s">
        <v>1057</v>
      </c>
      <c r="B480" s="20">
        <v>45123</v>
      </c>
      <c r="C480" s="2">
        <f t="shared" si="105"/>
        <v>7</v>
      </c>
      <c r="D480" s="21">
        <f t="shared" si="117"/>
        <v>45123</v>
      </c>
      <c r="E480" s="19" t="str">
        <f t="shared" si="106"/>
        <v>Quarter 3</v>
      </c>
      <c r="F480" s="19">
        <v>45151</v>
      </c>
      <c r="G480" s="19">
        <f t="shared" si="107"/>
        <v>45151</v>
      </c>
      <c r="H480" s="22">
        <f t="shared" si="108"/>
        <v>28</v>
      </c>
      <c r="I480" t="str">
        <f t="shared" si="109"/>
        <v>Delayed </v>
      </c>
      <c r="J480" t="s">
        <v>78</v>
      </c>
      <c r="K480" t="s">
        <v>108</v>
      </c>
      <c r="L480" t="s">
        <v>228</v>
      </c>
      <c r="M480" t="s">
        <v>39</v>
      </c>
      <c r="N480" t="s">
        <v>28</v>
      </c>
      <c r="O480" t="s">
        <v>29</v>
      </c>
      <c r="P480" t="s">
        <v>57</v>
      </c>
      <c r="Q480" t="s">
        <v>1058</v>
      </c>
      <c r="R480" s="3">
        <v>1039.03</v>
      </c>
      <c r="S480" s="3">
        <v>2545.81</v>
      </c>
      <c r="T480" s="3">
        <f t="shared" si="110"/>
        <v>2545.81</v>
      </c>
      <c r="U480" s="3">
        <f>(1+'10. Whatif Control pannel'!$B$6)*T480</f>
        <v>2851.3072</v>
      </c>
      <c r="V480" s="3" t="str">
        <f t="shared" si="111"/>
        <v>High</v>
      </c>
      <c r="W480" s="34">
        <v>0.216</v>
      </c>
      <c r="X480" s="24" t="str">
        <f t="shared" si="112"/>
        <v>High Discount</v>
      </c>
      <c r="Y480" s="36">
        <f>IF(W480&lt;=0.25,W480,'10. Whatif Control pannel'!$B$2)</f>
        <v>0.216</v>
      </c>
      <c r="Z480" s="24">
        <v>21</v>
      </c>
      <c r="AA480" s="13">
        <f>(1+'10. Whatif Control pannel'!$B$10)*Z480</f>
        <v>25.2</v>
      </c>
      <c r="AB480" s="3">
        <f t="shared" si="113"/>
        <v>41914.21584</v>
      </c>
      <c r="AC480" s="3">
        <f t="shared" si="118"/>
        <v>56332.70608896</v>
      </c>
      <c r="AD480" s="3">
        <f t="shared" si="114"/>
        <v>21819.63</v>
      </c>
      <c r="AE480" s="3">
        <f t="shared" si="115"/>
        <v>20094.58584</v>
      </c>
      <c r="AF480" s="3">
        <f t="shared" si="119"/>
        <v>34513.07608896</v>
      </c>
      <c r="AG480">
        <f t="shared" si="116"/>
        <v>0.479421729293648</v>
      </c>
    </row>
    <row r="481" spans="1:33">
      <c r="A481" t="s">
        <v>1059</v>
      </c>
      <c r="B481" s="20">
        <v>45032</v>
      </c>
      <c r="C481" s="2">
        <f t="shared" si="105"/>
        <v>4</v>
      </c>
      <c r="D481" s="21">
        <f t="shared" si="117"/>
        <v>45032</v>
      </c>
      <c r="E481" s="19" t="str">
        <f t="shared" si="106"/>
        <v>Quarter 2</v>
      </c>
      <c r="F481" s="19">
        <v>45035</v>
      </c>
      <c r="G481" s="19">
        <f t="shared" si="107"/>
        <v>45035</v>
      </c>
      <c r="H481" s="22">
        <f t="shared" si="108"/>
        <v>3</v>
      </c>
      <c r="I481" t="str">
        <f t="shared" si="109"/>
        <v>Ontime</v>
      </c>
      <c r="J481" t="s">
        <v>78</v>
      </c>
      <c r="K481" t="s">
        <v>79</v>
      </c>
      <c r="L481" t="s">
        <v>159</v>
      </c>
      <c r="M481" t="s">
        <v>19</v>
      </c>
      <c r="N481" t="s">
        <v>98</v>
      </c>
      <c r="O481" t="s">
        <v>56</v>
      </c>
      <c r="P481" t="s">
        <v>81</v>
      </c>
      <c r="Q481" t="s">
        <v>1060</v>
      </c>
      <c r="R481" s="3">
        <v>553.61</v>
      </c>
      <c r="S481" s="3">
        <v>699.47</v>
      </c>
      <c r="T481" s="3">
        <f t="shared" si="110"/>
        <v>699.47</v>
      </c>
      <c r="U481" s="3">
        <f>(1+'10. Whatif Control pannel'!$B$6)*T481</f>
        <v>783.4064</v>
      </c>
      <c r="V481" s="3" t="str">
        <f t="shared" si="111"/>
        <v>Low</v>
      </c>
      <c r="W481" s="34">
        <v>0.02</v>
      </c>
      <c r="X481" s="24" t="str">
        <f t="shared" si="112"/>
        <v>Okay</v>
      </c>
      <c r="Y481" s="36">
        <f>IF(W481&lt;=0.25,W481,'10. Whatif Control pannel'!$B$2)</f>
        <v>0.02</v>
      </c>
      <c r="Z481" s="24">
        <v>33</v>
      </c>
      <c r="AA481" s="13">
        <f>(1+'10. Whatif Control pannel'!$B$10)*Z481</f>
        <v>39.6</v>
      </c>
      <c r="AB481" s="3">
        <f t="shared" si="113"/>
        <v>22620.8598</v>
      </c>
      <c r="AC481" s="3">
        <f t="shared" si="118"/>
        <v>30402.4355712</v>
      </c>
      <c r="AD481" s="3">
        <f t="shared" si="114"/>
        <v>18269.13</v>
      </c>
      <c r="AE481" s="3">
        <f t="shared" si="115"/>
        <v>4351.7298</v>
      </c>
      <c r="AF481" s="3">
        <f t="shared" si="119"/>
        <v>12133.3055712</v>
      </c>
      <c r="AG481">
        <f t="shared" si="116"/>
        <v>0.19237685209472</v>
      </c>
    </row>
    <row r="482" spans="1:33">
      <c r="A482" t="s">
        <v>1061</v>
      </c>
      <c r="B482" s="20">
        <v>45293</v>
      </c>
      <c r="C482" s="2">
        <f t="shared" si="105"/>
        <v>1</v>
      </c>
      <c r="D482" s="21">
        <f t="shared" si="117"/>
        <v>45293</v>
      </c>
      <c r="E482" s="19" t="str">
        <f t="shared" si="106"/>
        <v>Quarter 1</v>
      </c>
      <c r="F482" s="19">
        <v>45306</v>
      </c>
      <c r="G482" s="19">
        <f t="shared" si="107"/>
        <v>45306</v>
      </c>
      <c r="H482" s="22">
        <f t="shared" si="108"/>
        <v>13</v>
      </c>
      <c r="I482" t="str">
        <f t="shared" si="109"/>
        <v>Delayed </v>
      </c>
      <c r="J482" t="s">
        <v>45</v>
      </c>
      <c r="K482" t="s">
        <v>46</v>
      </c>
      <c r="L482" t="s">
        <v>231</v>
      </c>
      <c r="M482" t="s">
        <v>62</v>
      </c>
      <c r="N482" t="s">
        <v>40</v>
      </c>
      <c r="O482" t="s">
        <v>41</v>
      </c>
      <c r="P482" t="s">
        <v>35</v>
      </c>
      <c r="Q482" t="s">
        <v>1062</v>
      </c>
      <c r="R482" s="3">
        <v>1219.06</v>
      </c>
      <c r="S482" s="3">
        <v>2738.69</v>
      </c>
      <c r="T482" s="3">
        <f t="shared" si="110"/>
        <v>2738.69</v>
      </c>
      <c r="U482" s="3">
        <f>(1+'10. Whatif Control pannel'!$B$6)*T482</f>
        <v>3067.3328</v>
      </c>
      <c r="V482" s="3" t="str">
        <f t="shared" si="111"/>
        <v>High</v>
      </c>
      <c r="W482" s="34">
        <v>0.076</v>
      </c>
      <c r="X482" s="24" t="str">
        <f t="shared" si="112"/>
        <v>Okay</v>
      </c>
      <c r="Y482" s="36">
        <f>IF(W482&lt;=0.25,W482,'10. Whatif Control pannel'!$B$2)</f>
        <v>0.076</v>
      </c>
      <c r="Z482" s="24">
        <v>16</v>
      </c>
      <c r="AA482" s="13">
        <f>(1+'10. Whatif Control pannel'!$B$10)*Z482</f>
        <v>19.2</v>
      </c>
      <c r="AB482" s="3">
        <f t="shared" si="113"/>
        <v>40488.79296</v>
      </c>
      <c r="AC482" s="3">
        <f t="shared" si="118"/>
        <v>54416.93773824</v>
      </c>
      <c r="AD482" s="3">
        <f t="shared" si="114"/>
        <v>19504.96</v>
      </c>
      <c r="AE482" s="3">
        <f t="shared" si="115"/>
        <v>20983.83296</v>
      </c>
      <c r="AF482" s="3">
        <f t="shared" si="119"/>
        <v>34911.97773824</v>
      </c>
      <c r="AG482">
        <f t="shared" si="116"/>
        <v>0.518262744476737</v>
      </c>
    </row>
    <row r="483" spans="1:33">
      <c r="A483" t="s">
        <v>1063</v>
      </c>
      <c r="B483" s="20">
        <v>45538</v>
      </c>
      <c r="C483" s="2">
        <f t="shared" si="105"/>
        <v>9</v>
      </c>
      <c r="D483" s="21">
        <f t="shared" si="117"/>
        <v>45538</v>
      </c>
      <c r="E483" s="19" t="str">
        <f t="shared" si="106"/>
        <v>Quarter 3</v>
      </c>
      <c r="F483" s="19">
        <v>45542</v>
      </c>
      <c r="G483" s="19">
        <f t="shared" si="107"/>
        <v>45542</v>
      </c>
      <c r="H483" s="22">
        <f t="shared" si="108"/>
        <v>4</v>
      </c>
      <c r="I483" t="str">
        <f t="shared" si="109"/>
        <v>Ontime</v>
      </c>
      <c r="J483" t="s">
        <v>45</v>
      </c>
      <c r="K483" t="s">
        <v>46</v>
      </c>
      <c r="L483" t="s">
        <v>214</v>
      </c>
      <c r="M483" t="s">
        <v>62</v>
      </c>
      <c r="N483" t="s">
        <v>55</v>
      </c>
      <c r="O483" t="s">
        <v>126</v>
      </c>
      <c r="P483" t="s">
        <v>30</v>
      </c>
      <c r="Q483" t="s">
        <v>1064</v>
      </c>
      <c r="R483" s="3">
        <v>43.23</v>
      </c>
      <c r="S483" s="3">
        <v>94.78</v>
      </c>
      <c r="T483" s="3">
        <f t="shared" si="110"/>
        <v>94.78</v>
      </c>
      <c r="U483" s="3">
        <f>(1+'10. Whatif Control pannel'!$B$6)*T483</f>
        <v>106.1536</v>
      </c>
      <c r="V483" s="3" t="str">
        <f t="shared" si="111"/>
        <v>Low</v>
      </c>
      <c r="W483" s="34">
        <v>0.091</v>
      </c>
      <c r="X483" s="24" t="str">
        <f t="shared" si="112"/>
        <v>Okay</v>
      </c>
      <c r="Y483" s="36">
        <f>IF(W483&lt;=0.25,W483,'10. Whatif Control pannel'!$B$2)</f>
        <v>0.091</v>
      </c>
      <c r="Z483" s="24">
        <v>55</v>
      </c>
      <c r="AA483" s="13">
        <f>(1+'10. Whatif Control pannel'!$B$10)*Z483</f>
        <v>66</v>
      </c>
      <c r="AB483" s="3">
        <f t="shared" si="113"/>
        <v>4738.5261</v>
      </c>
      <c r="AC483" s="3">
        <f t="shared" si="118"/>
        <v>6368.5790784</v>
      </c>
      <c r="AD483" s="3">
        <f t="shared" si="114"/>
        <v>2377.65</v>
      </c>
      <c r="AE483" s="3">
        <f t="shared" si="115"/>
        <v>2360.8761</v>
      </c>
      <c r="AF483" s="3">
        <f t="shared" si="119"/>
        <v>3990.9290784</v>
      </c>
      <c r="AG483">
        <f t="shared" si="116"/>
        <v>0.498230050901271</v>
      </c>
    </row>
    <row r="484" spans="1:33">
      <c r="A484" t="s">
        <v>1065</v>
      </c>
      <c r="B484" s="20">
        <v>45899</v>
      </c>
      <c r="C484" s="2">
        <f t="shared" si="105"/>
        <v>8</v>
      </c>
      <c r="D484" s="21">
        <f t="shared" si="117"/>
        <v>45899</v>
      </c>
      <c r="E484" s="19" t="str">
        <f t="shared" si="106"/>
        <v>Quarter 3</v>
      </c>
      <c r="F484" s="19">
        <v>45903</v>
      </c>
      <c r="G484" s="19">
        <f t="shared" si="107"/>
        <v>45903</v>
      </c>
      <c r="H484" s="22">
        <f t="shared" si="108"/>
        <v>4</v>
      </c>
      <c r="I484" t="str">
        <f t="shared" si="109"/>
        <v>Ontime</v>
      </c>
      <c r="J484" t="s">
        <v>78</v>
      </c>
      <c r="K484" t="s">
        <v>90</v>
      </c>
      <c r="L484" t="s">
        <v>91</v>
      </c>
      <c r="M484" t="s">
        <v>62</v>
      </c>
      <c r="N484" t="s">
        <v>40</v>
      </c>
      <c r="O484" t="s">
        <v>29</v>
      </c>
      <c r="P484" t="s">
        <v>57</v>
      </c>
      <c r="Q484" t="s">
        <v>1066</v>
      </c>
      <c r="R484" s="3">
        <v>1286.56</v>
      </c>
      <c r="S484" s="3">
        <v>2777.35</v>
      </c>
      <c r="T484" s="3">
        <f t="shared" si="110"/>
        <v>2777.35</v>
      </c>
      <c r="U484" s="3">
        <f>(1+'10. Whatif Control pannel'!$B$6)*T484</f>
        <v>3110.632</v>
      </c>
      <c r="V484" s="3" t="str">
        <f t="shared" si="111"/>
        <v>High</v>
      </c>
      <c r="W484" s="34">
        <v>0.132</v>
      </c>
      <c r="X484" s="24" t="str">
        <f t="shared" si="112"/>
        <v>Okay</v>
      </c>
      <c r="Y484" s="36">
        <f>IF(W484&lt;=0.25,W484,'10. Whatif Control pannel'!$B$2)</f>
        <v>0.132</v>
      </c>
      <c r="Z484" s="24">
        <v>15</v>
      </c>
      <c r="AA484" s="13">
        <f>(1+'10. Whatif Control pannel'!$B$10)*Z484</f>
        <v>18</v>
      </c>
      <c r="AB484" s="3">
        <f t="shared" si="113"/>
        <v>36161.097</v>
      </c>
      <c r="AC484" s="3">
        <f t="shared" si="118"/>
        <v>48600.514368</v>
      </c>
      <c r="AD484" s="3">
        <f t="shared" si="114"/>
        <v>19298.4</v>
      </c>
      <c r="AE484" s="3">
        <f t="shared" si="115"/>
        <v>16862.697</v>
      </c>
      <c r="AF484" s="3">
        <f t="shared" si="119"/>
        <v>29302.114368</v>
      </c>
      <c r="AG484">
        <f t="shared" si="116"/>
        <v>0.466321500146967</v>
      </c>
    </row>
    <row r="485" spans="1:33">
      <c r="A485" t="s">
        <v>1067</v>
      </c>
      <c r="B485" s="20">
        <v>45775</v>
      </c>
      <c r="C485" s="2">
        <f t="shared" si="105"/>
        <v>4</v>
      </c>
      <c r="D485" s="21">
        <f t="shared" si="117"/>
        <v>45775</v>
      </c>
      <c r="E485" s="19" t="str">
        <f t="shared" si="106"/>
        <v>Quarter 2</v>
      </c>
      <c r="F485" s="19">
        <v>45796</v>
      </c>
      <c r="G485" s="19">
        <f t="shared" si="107"/>
        <v>45796</v>
      </c>
      <c r="H485" s="22">
        <f t="shared" si="108"/>
        <v>21</v>
      </c>
      <c r="I485" t="str">
        <f t="shared" si="109"/>
        <v>Delayed </v>
      </c>
      <c r="J485" t="s">
        <v>78</v>
      </c>
      <c r="K485" t="s">
        <v>79</v>
      </c>
      <c r="L485" t="s">
        <v>80</v>
      </c>
      <c r="M485" t="s">
        <v>19</v>
      </c>
      <c r="N485" t="s">
        <v>55</v>
      </c>
      <c r="O485" t="s">
        <v>56</v>
      </c>
      <c r="P485" t="s">
        <v>42</v>
      </c>
      <c r="Q485" t="s">
        <v>1068</v>
      </c>
      <c r="R485" s="3">
        <v>350.76</v>
      </c>
      <c r="S485" s="3">
        <v>492.18</v>
      </c>
      <c r="T485" s="3">
        <f t="shared" si="110"/>
        <v>492.18</v>
      </c>
      <c r="U485" s="3">
        <f>(1+'10. Whatif Control pannel'!$B$6)*T485</f>
        <v>551.2416</v>
      </c>
      <c r="V485" s="3" t="str">
        <f t="shared" si="111"/>
        <v>Low</v>
      </c>
      <c r="W485" s="34">
        <v>0.053</v>
      </c>
      <c r="X485" s="24" t="str">
        <f t="shared" si="112"/>
        <v>Okay</v>
      </c>
      <c r="Y485" s="36">
        <f>IF(W485&lt;=0.25,W485,'10. Whatif Control pannel'!$B$2)</f>
        <v>0.053</v>
      </c>
      <c r="Z485" s="24">
        <v>11</v>
      </c>
      <c r="AA485" s="13">
        <f>(1+'10. Whatif Control pannel'!$B$10)*Z485</f>
        <v>13.2</v>
      </c>
      <c r="AB485" s="3">
        <f t="shared" si="113"/>
        <v>5127.03906</v>
      </c>
      <c r="AC485" s="3">
        <f t="shared" si="118"/>
        <v>6890.74049664</v>
      </c>
      <c r="AD485" s="3">
        <f t="shared" si="114"/>
        <v>3858.36</v>
      </c>
      <c r="AE485" s="3">
        <f t="shared" si="115"/>
        <v>1268.67906</v>
      </c>
      <c r="AF485" s="3">
        <f t="shared" si="119"/>
        <v>3032.38049664</v>
      </c>
      <c r="AG485">
        <f t="shared" si="116"/>
        <v>0.247448682397984</v>
      </c>
    </row>
    <row r="486" spans="1:33">
      <c r="A486" t="s">
        <v>1069</v>
      </c>
      <c r="B486" s="20">
        <v>45148</v>
      </c>
      <c r="C486" s="2">
        <f t="shared" si="105"/>
        <v>8</v>
      </c>
      <c r="D486" s="21">
        <f t="shared" si="117"/>
        <v>45148</v>
      </c>
      <c r="E486" s="19" t="str">
        <f t="shared" si="106"/>
        <v>Quarter 3</v>
      </c>
      <c r="F486" s="19">
        <v>45153</v>
      </c>
      <c r="G486" s="19">
        <f t="shared" si="107"/>
        <v>45153</v>
      </c>
      <c r="H486" s="22">
        <f t="shared" si="108"/>
        <v>5</v>
      </c>
      <c r="I486" t="str">
        <f t="shared" si="109"/>
        <v>Ontime</v>
      </c>
      <c r="J486" t="s">
        <v>52</v>
      </c>
      <c r="K486" t="s">
        <v>73</v>
      </c>
      <c r="L486" t="s">
        <v>74</v>
      </c>
      <c r="M486" t="s">
        <v>27</v>
      </c>
      <c r="N486" t="s">
        <v>98</v>
      </c>
      <c r="O486" t="s">
        <v>41</v>
      </c>
      <c r="P486" t="s">
        <v>35</v>
      </c>
      <c r="Q486" t="s">
        <v>1070</v>
      </c>
      <c r="R486" s="3">
        <v>1307.52</v>
      </c>
      <c r="S486" s="3">
        <v>1921.65</v>
      </c>
      <c r="T486" s="3">
        <f t="shared" si="110"/>
        <v>1921.65</v>
      </c>
      <c r="U486" s="3">
        <f>(1+'10. Whatif Control pannel'!$B$6)*T486</f>
        <v>2152.248</v>
      </c>
      <c r="V486" s="3" t="str">
        <f t="shared" si="111"/>
        <v>High</v>
      </c>
      <c r="W486" s="34">
        <v>0.123</v>
      </c>
      <c r="X486" s="24" t="str">
        <f t="shared" si="112"/>
        <v>Okay</v>
      </c>
      <c r="Y486" s="36">
        <f>IF(W486&lt;=0.25,W486,'10. Whatif Control pannel'!$B$2)</f>
        <v>0.123</v>
      </c>
      <c r="Z486" s="24">
        <v>13</v>
      </c>
      <c r="AA486" s="13">
        <f>(1+'10. Whatif Control pannel'!$B$10)*Z486</f>
        <v>15.6</v>
      </c>
      <c r="AB486" s="3">
        <f t="shared" si="113"/>
        <v>21908.73165</v>
      </c>
      <c r="AC486" s="3">
        <f t="shared" si="118"/>
        <v>29445.3353376</v>
      </c>
      <c r="AD486" s="3">
        <f t="shared" si="114"/>
        <v>16997.76</v>
      </c>
      <c r="AE486" s="3">
        <f t="shared" si="115"/>
        <v>4910.97165</v>
      </c>
      <c r="AF486" s="3">
        <f t="shared" si="119"/>
        <v>12447.5753376</v>
      </c>
      <c r="AG486">
        <f t="shared" si="116"/>
        <v>0.224155908632894</v>
      </c>
    </row>
    <row r="487" spans="1:33">
      <c r="A487" t="s">
        <v>1071</v>
      </c>
      <c r="B487" s="20">
        <v>45634</v>
      </c>
      <c r="C487" s="2">
        <f t="shared" si="105"/>
        <v>12</v>
      </c>
      <c r="D487" s="21">
        <f t="shared" si="117"/>
        <v>45634</v>
      </c>
      <c r="E487" s="19" t="str">
        <f t="shared" si="106"/>
        <v>Quarter 4</v>
      </c>
      <c r="F487" s="19">
        <v>45634</v>
      </c>
      <c r="G487" s="19">
        <f t="shared" si="107"/>
        <v>45634</v>
      </c>
      <c r="H487" s="22">
        <f t="shared" si="108"/>
        <v>0</v>
      </c>
      <c r="I487" t="str">
        <f t="shared" si="109"/>
        <v>Ontime</v>
      </c>
      <c r="J487" t="s">
        <v>78</v>
      </c>
      <c r="K487" t="s">
        <v>90</v>
      </c>
      <c r="L487" t="s">
        <v>138</v>
      </c>
      <c r="M487" t="s">
        <v>105</v>
      </c>
      <c r="N487" t="s">
        <v>20</v>
      </c>
      <c r="O487" t="s">
        <v>92</v>
      </c>
      <c r="P487" t="s">
        <v>22</v>
      </c>
      <c r="Q487" t="s">
        <v>1072</v>
      </c>
      <c r="R487" s="3">
        <v>257.44</v>
      </c>
      <c r="S487" s="3">
        <v>290.33</v>
      </c>
      <c r="T487" s="3">
        <f t="shared" si="110"/>
        <v>290.33</v>
      </c>
      <c r="U487" s="3">
        <f>(1+'10. Whatif Control pannel'!$B$6)*T487</f>
        <v>325.1696</v>
      </c>
      <c r="V487" s="3" t="str">
        <f t="shared" si="111"/>
        <v>Low</v>
      </c>
      <c r="W487" s="34">
        <v>0.092</v>
      </c>
      <c r="X487" s="24" t="str">
        <f t="shared" si="112"/>
        <v>Okay</v>
      </c>
      <c r="Y487" s="36">
        <f>IF(W487&lt;=0.25,W487,'10. Whatif Control pannel'!$B$2)</f>
        <v>0.092</v>
      </c>
      <c r="Z487" s="24">
        <v>23</v>
      </c>
      <c r="AA487" s="13">
        <f>(1+'10. Whatif Control pannel'!$B$10)*Z487</f>
        <v>27.6</v>
      </c>
      <c r="AB487" s="3">
        <f t="shared" si="113"/>
        <v>6063.25172</v>
      </c>
      <c r="AC487" s="3">
        <f t="shared" si="118"/>
        <v>8149.01031168</v>
      </c>
      <c r="AD487" s="3">
        <f t="shared" si="114"/>
        <v>5921.12</v>
      </c>
      <c r="AE487" s="3">
        <f t="shared" si="115"/>
        <v>142.131719999999</v>
      </c>
      <c r="AF487" s="3">
        <f t="shared" si="119"/>
        <v>2227.89031168</v>
      </c>
      <c r="AG487">
        <f t="shared" si="116"/>
        <v>0.0234415007925812</v>
      </c>
    </row>
    <row r="488" spans="1:33">
      <c r="A488" t="s">
        <v>1073</v>
      </c>
      <c r="B488" s="20">
        <v>45224</v>
      </c>
      <c r="C488" s="2">
        <f t="shared" si="105"/>
        <v>10</v>
      </c>
      <c r="D488" s="21">
        <f t="shared" si="117"/>
        <v>45224</v>
      </c>
      <c r="E488" s="19" t="str">
        <f t="shared" si="106"/>
        <v>Quarter 4</v>
      </c>
      <c r="F488" s="19">
        <v>45254</v>
      </c>
      <c r="G488" s="19">
        <f t="shared" si="107"/>
        <v>45254</v>
      </c>
      <c r="H488" s="22">
        <f t="shared" si="108"/>
        <v>30</v>
      </c>
      <c r="I488" t="str">
        <f t="shared" si="109"/>
        <v>Delayed </v>
      </c>
      <c r="J488" t="s">
        <v>78</v>
      </c>
      <c r="K488" t="s">
        <v>90</v>
      </c>
      <c r="L488" t="s">
        <v>217</v>
      </c>
      <c r="M488" t="s">
        <v>105</v>
      </c>
      <c r="N488" t="s">
        <v>55</v>
      </c>
      <c r="O488" t="s">
        <v>21</v>
      </c>
      <c r="P488" t="s">
        <v>42</v>
      </c>
      <c r="Q488" t="s">
        <v>1074</v>
      </c>
      <c r="R488" s="3">
        <v>287.85</v>
      </c>
      <c r="S488" s="3">
        <v>602.92</v>
      </c>
      <c r="T488" s="3">
        <f t="shared" si="110"/>
        <v>602.92</v>
      </c>
      <c r="U488" s="3">
        <f>(1+'10. Whatif Control pannel'!$B$6)*T488</f>
        <v>675.2704</v>
      </c>
      <c r="V488" s="3" t="str">
        <f t="shared" si="111"/>
        <v>Low</v>
      </c>
      <c r="W488" s="34">
        <v>0.222</v>
      </c>
      <c r="X488" s="24" t="str">
        <f t="shared" si="112"/>
        <v>High Discount</v>
      </c>
      <c r="Y488" s="36">
        <f>IF(W488&lt;=0.25,W488,'10. Whatif Control pannel'!$B$2)</f>
        <v>0.222</v>
      </c>
      <c r="Z488" s="24">
        <v>11</v>
      </c>
      <c r="AA488" s="13">
        <f>(1+'10. Whatif Control pannel'!$B$10)*Z488</f>
        <v>13.2</v>
      </c>
      <c r="AB488" s="3">
        <f t="shared" si="113"/>
        <v>5159.78936</v>
      </c>
      <c r="AC488" s="3">
        <f t="shared" si="118"/>
        <v>6934.75689984</v>
      </c>
      <c r="AD488" s="3">
        <f t="shared" si="114"/>
        <v>3166.35</v>
      </c>
      <c r="AE488" s="3">
        <f t="shared" si="115"/>
        <v>1993.43936</v>
      </c>
      <c r="AF488" s="3">
        <f t="shared" si="119"/>
        <v>3768.40689984</v>
      </c>
      <c r="AG488">
        <f t="shared" si="116"/>
        <v>0.386341228472164</v>
      </c>
    </row>
    <row r="489" spans="1:33">
      <c r="A489" t="s">
        <v>1075</v>
      </c>
      <c r="B489" s="20">
        <v>45613</v>
      </c>
      <c r="C489" s="2">
        <f t="shared" si="105"/>
        <v>11</v>
      </c>
      <c r="D489" s="21">
        <f t="shared" si="117"/>
        <v>45613</v>
      </c>
      <c r="E489" s="19" t="str">
        <f t="shared" si="106"/>
        <v>Quarter 4</v>
      </c>
      <c r="F489" s="19">
        <v>45624</v>
      </c>
      <c r="G489" s="19">
        <f t="shared" si="107"/>
        <v>45624</v>
      </c>
      <c r="H489" s="22">
        <f t="shared" si="108"/>
        <v>11</v>
      </c>
      <c r="I489" t="str">
        <f t="shared" si="109"/>
        <v>Delayed </v>
      </c>
      <c r="J489" t="s">
        <v>52</v>
      </c>
      <c r="K489" t="s">
        <v>53</v>
      </c>
      <c r="L489" t="s">
        <v>1443</v>
      </c>
      <c r="M489" t="s">
        <v>48</v>
      </c>
      <c r="N489" t="s">
        <v>55</v>
      </c>
      <c r="O489" t="s">
        <v>75</v>
      </c>
      <c r="P489" t="s">
        <v>30</v>
      </c>
      <c r="Q489" t="s">
        <v>1076</v>
      </c>
      <c r="R489" s="3">
        <v>1008.16</v>
      </c>
      <c r="S489" s="3">
        <v>2077.5</v>
      </c>
      <c r="T489" s="3">
        <f t="shared" si="110"/>
        <v>2077.5</v>
      </c>
      <c r="U489" s="3">
        <f>(1+'10. Whatif Control pannel'!$B$6)*T489</f>
        <v>2326.8</v>
      </c>
      <c r="V489" s="3" t="str">
        <f t="shared" si="111"/>
        <v>High</v>
      </c>
      <c r="W489" s="34">
        <v>0.074</v>
      </c>
      <c r="X489" s="24" t="str">
        <f t="shared" si="112"/>
        <v>Okay</v>
      </c>
      <c r="Y489" s="36">
        <f>IF(W489&lt;=0.25,W489,'10. Whatif Control pannel'!$B$2)</f>
        <v>0.074</v>
      </c>
      <c r="Z489" s="24">
        <v>15</v>
      </c>
      <c r="AA489" s="13">
        <f>(1+'10. Whatif Control pannel'!$B$10)*Z489</f>
        <v>18</v>
      </c>
      <c r="AB489" s="3">
        <f t="shared" si="113"/>
        <v>28856.475</v>
      </c>
      <c r="AC489" s="3">
        <f t="shared" si="118"/>
        <v>38783.1024</v>
      </c>
      <c r="AD489" s="3">
        <f t="shared" si="114"/>
        <v>15122.4</v>
      </c>
      <c r="AE489" s="3">
        <f t="shared" si="115"/>
        <v>13734.075</v>
      </c>
      <c r="AF489" s="3">
        <f t="shared" si="119"/>
        <v>23660.7024</v>
      </c>
      <c r="AG489">
        <f t="shared" si="116"/>
        <v>0.47594430712691</v>
      </c>
    </row>
    <row r="490" spans="1:33">
      <c r="A490" t="s">
        <v>1077</v>
      </c>
      <c r="B490" s="20">
        <v>45424</v>
      </c>
      <c r="C490" s="2">
        <f t="shared" si="105"/>
        <v>5</v>
      </c>
      <c r="D490" s="21">
        <f t="shared" si="117"/>
        <v>45424</v>
      </c>
      <c r="E490" s="19" t="str">
        <f t="shared" si="106"/>
        <v>Quarter 2</v>
      </c>
      <c r="F490" s="19">
        <v>45436</v>
      </c>
      <c r="G490" s="19">
        <f t="shared" si="107"/>
        <v>45436</v>
      </c>
      <c r="H490" s="22">
        <f t="shared" si="108"/>
        <v>12</v>
      </c>
      <c r="I490" t="str">
        <f t="shared" si="109"/>
        <v>Delayed </v>
      </c>
      <c r="J490" t="s">
        <v>78</v>
      </c>
      <c r="K490" t="s">
        <v>108</v>
      </c>
      <c r="L490" t="s">
        <v>228</v>
      </c>
      <c r="M490" t="s">
        <v>27</v>
      </c>
      <c r="N490" t="s">
        <v>40</v>
      </c>
      <c r="O490" t="s">
        <v>95</v>
      </c>
      <c r="P490" t="s">
        <v>30</v>
      </c>
      <c r="Q490" t="s">
        <v>1078</v>
      </c>
      <c r="R490" s="3">
        <v>111.02</v>
      </c>
      <c r="S490" s="3">
        <v>172.88</v>
      </c>
      <c r="T490" s="3">
        <f t="shared" si="110"/>
        <v>172.88</v>
      </c>
      <c r="U490" s="3">
        <f>(1+'10. Whatif Control pannel'!$B$6)*T490</f>
        <v>193.6256</v>
      </c>
      <c r="V490" s="3" t="str">
        <f t="shared" si="111"/>
        <v>Low</v>
      </c>
      <c r="W490" s="34">
        <v>0.197</v>
      </c>
      <c r="X490" s="24" t="str">
        <f t="shared" si="112"/>
        <v>Okay</v>
      </c>
      <c r="Y490" s="36">
        <f>IF(W490&lt;=0.25,W490,'10. Whatif Control pannel'!$B$2)</f>
        <v>0.197</v>
      </c>
      <c r="Z490" s="24">
        <v>29</v>
      </c>
      <c r="AA490" s="13">
        <f>(1+'10. Whatif Control pannel'!$B$10)*Z490</f>
        <v>34.8</v>
      </c>
      <c r="AB490" s="3">
        <f t="shared" si="113"/>
        <v>4025.85656</v>
      </c>
      <c r="AC490" s="3">
        <f t="shared" si="118"/>
        <v>5410.75121664</v>
      </c>
      <c r="AD490" s="3">
        <f t="shared" si="114"/>
        <v>3219.58</v>
      </c>
      <c r="AE490" s="3">
        <f t="shared" si="115"/>
        <v>806.276559999999</v>
      </c>
      <c r="AF490" s="3">
        <f t="shared" si="119"/>
        <v>2191.17121664</v>
      </c>
      <c r="AG490">
        <f t="shared" si="116"/>
        <v>0.200274537352121</v>
      </c>
    </row>
    <row r="491" spans="1:33">
      <c r="A491" t="s">
        <v>1079</v>
      </c>
      <c r="B491" s="20">
        <v>45792</v>
      </c>
      <c r="C491" s="2">
        <f t="shared" si="105"/>
        <v>5</v>
      </c>
      <c r="D491" s="21">
        <f t="shared" si="117"/>
        <v>45792</v>
      </c>
      <c r="E491" s="19" t="str">
        <f t="shared" si="106"/>
        <v>Quarter 2</v>
      </c>
      <c r="F491" s="19">
        <v>45813</v>
      </c>
      <c r="G491" s="19">
        <f t="shared" si="107"/>
        <v>45813</v>
      </c>
      <c r="H491" s="22">
        <f t="shared" si="108"/>
        <v>21</v>
      </c>
      <c r="I491" t="str">
        <f t="shared" si="109"/>
        <v>Delayed </v>
      </c>
      <c r="J491" t="s">
        <v>45</v>
      </c>
      <c r="K491" t="s">
        <v>46</v>
      </c>
      <c r="L491" t="s">
        <v>47</v>
      </c>
      <c r="M491" t="s">
        <v>105</v>
      </c>
      <c r="N491" t="s">
        <v>98</v>
      </c>
      <c r="O491" t="s">
        <v>92</v>
      </c>
      <c r="P491" t="s">
        <v>42</v>
      </c>
      <c r="Q491" t="s">
        <v>1080</v>
      </c>
      <c r="R491" s="3">
        <v>1466.5</v>
      </c>
      <c r="S491" s="3">
        <v>2778.74</v>
      </c>
      <c r="T491" s="3">
        <f t="shared" si="110"/>
        <v>2778.74</v>
      </c>
      <c r="U491" s="3">
        <f>(1+'10. Whatif Control pannel'!$B$6)*T491</f>
        <v>3112.1888</v>
      </c>
      <c r="V491" s="3" t="str">
        <f t="shared" si="111"/>
        <v>High</v>
      </c>
      <c r="W491" s="34">
        <v>0.135</v>
      </c>
      <c r="X491" s="24" t="str">
        <f t="shared" si="112"/>
        <v>Okay</v>
      </c>
      <c r="Y491" s="36">
        <f>IF(W491&lt;=0.25,W491,'10. Whatif Control pannel'!$B$2)</f>
        <v>0.135</v>
      </c>
      <c r="Z491" s="24">
        <v>4</v>
      </c>
      <c r="AA491" s="13">
        <f>(1+'10. Whatif Control pannel'!$B$10)*Z491</f>
        <v>4.8</v>
      </c>
      <c r="AB491" s="3">
        <f t="shared" si="113"/>
        <v>9614.4404</v>
      </c>
      <c r="AC491" s="3">
        <f t="shared" si="118"/>
        <v>12921.8078976</v>
      </c>
      <c r="AD491" s="3">
        <f t="shared" si="114"/>
        <v>5866</v>
      </c>
      <c r="AE491" s="3">
        <f t="shared" si="115"/>
        <v>3748.4404</v>
      </c>
      <c r="AF491" s="3">
        <f t="shared" si="119"/>
        <v>7055.8078976</v>
      </c>
      <c r="AG491">
        <f t="shared" si="116"/>
        <v>0.389876086807923</v>
      </c>
    </row>
    <row r="492" spans="1:33">
      <c r="A492" t="s">
        <v>1081</v>
      </c>
      <c r="B492" s="20">
        <v>45403</v>
      </c>
      <c r="C492" s="2">
        <f t="shared" si="105"/>
        <v>4</v>
      </c>
      <c r="D492" s="21">
        <f t="shared" si="117"/>
        <v>45403</v>
      </c>
      <c r="E492" s="19" t="str">
        <f t="shared" si="106"/>
        <v>Quarter 2</v>
      </c>
      <c r="F492" s="19">
        <v>45431</v>
      </c>
      <c r="G492" s="19">
        <f t="shared" si="107"/>
        <v>45431</v>
      </c>
      <c r="H492" s="22">
        <f t="shared" si="108"/>
        <v>28</v>
      </c>
      <c r="I492" t="str">
        <f t="shared" si="109"/>
        <v>Delayed </v>
      </c>
      <c r="J492" t="s">
        <v>16</v>
      </c>
      <c r="K492" t="s">
        <v>25</v>
      </c>
      <c r="L492" t="s">
        <v>38</v>
      </c>
      <c r="M492" t="s">
        <v>19</v>
      </c>
      <c r="N492" t="s">
        <v>55</v>
      </c>
      <c r="O492" t="s">
        <v>75</v>
      </c>
      <c r="P492" t="s">
        <v>81</v>
      </c>
      <c r="Q492" t="s">
        <v>1082</v>
      </c>
      <c r="R492" s="3">
        <v>187.22</v>
      </c>
      <c r="S492" s="3">
        <v>309.47</v>
      </c>
      <c r="T492" s="3">
        <f t="shared" si="110"/>
        <v>309.47</v>
      </c>
      <c r="U492" s="3">
        <f>(1+'10. Whatif Control pannel'!$B$6)*T492</f>
        <v>346.6064</v>
      </c>
      <c r="V492" s="3" t="str">
        <f t="shared" si="111"/>
        <v>Low</v>
      </c>
      <c r="W492" s="34">
        <v>0</v>
      </c>
      <c r="X492" s="24" t="str">
        <f t="shared" si="112"/>
        <v>Okay</v>
      </c>
      <c r="Y492" s="36">
        <f>IF(W492&lt;=0.25,W492,'10. Whatif Control pannel'!$B$2)</f>
        <v>0</v>
      </c>
      <c r="Z492" s="24">
        <v>5</v>
      </c>
      <c r="AA492" s="13">
        <f>(1+'10. Whatif Control pannel'!$B$10)*Z492</f>
        <v>6</v>
      </c>
      <c r="AB492" s="3">
        <f t="shared" si="113"/>
        <v>1547.35</v>
      </c>
      <c r="AC492" s="3">
        <f t="shared" si="118"/>
        <v>2079.6384</v>
      </c>
      <c r="AD492" s="3">
        <f t="shared" si="114"/>
        <v>936.1</v>
      </c>
      <c r="AE492" s="3">
        <f t="shared" si="115"/>
        <v>611.25</v>
      </c>
      <c r="AF492" s="3">
        <f t="shared" si="119"/>
        <v>1143.5384</v>
      </c>
      <c r="AG492">
        <f t="shared" si="116"/>
        <v>0.395030212944712</v>
      </c>
    </row>
    <row r="493" spans="1:33">
      <c r="A493" t="s">
        <v>1083</v>
      </c>
      <c r="B493" s="20">
        <v>45523</v>
      </c>
      <c r="C493" s="2">
        <f t="shared" si="105"/>
        <v>8</v>
      </c>
      <c r="D493" s="21">
        <f t="shared" si="117"/>
        <v>45523</v>
      </c>
      <c r="E493" s="19" t="str">
        <f t="shared" si="106"/>
        <v>Quarter 3</v>
      </c>
      <c r="F493" s="19">
        <v>45542</v>
      </c>
      <c r="G493" s="19">
        <f t="shared" si="107"/>
        <v>45542</v>
      </c>
      <c r="H493" s="22">
        <f t="shared" si="108"/>
        <v>19</v>
      </c>
      <c r="I493" t="str">
        <f t="shared" si="109"/>
        <v>Delayed </v>
      </c>
      <c r="J493" t="s">
        <v>78</v>
      </c>
      <c r="K493" t="s">
        <v>90</v>
      </c>
      <c r="L493" t="s">
        <v>138</v>
      </c>
      <c r="M493" t="s">
        <v>19</v>
      </c>
      <c r="N493" t="s">
        <v>98</v>
      </c>
      <c r="O493" t="s">
        <v>29</v>
      </c>
      <c r="P493" t="s">
        <v>22</v>
      </c>
      <c r="Q493" t="s">
        <v>1084</v>
      </c>
      <c r="R493" s="3">
        <v>297.59</v>
      </c>
      <c r="S493" s="3">
        <v>666.41</v>
      </c>
      <c r="T493" s="3">
        <f t="shared" si="110"/>
        <v>666.41</v>
      </c>
      <c r="U493" s="3">
        <f>(1+'10. Whatif Control pannel'!$B$6)*T493</f>
        <v>746.3792</v>
      </c>
      <c r="V493" s="3" t="str">
        <f t="shared" si="111"/>
        <v>Low</v>
      </c>
      <c r="W493" s="34">
        <v>0</v>
      </c>
      <c r="X493" s="24" t="str">
        <f t="shared" si="112"/>
        <v>Okay</v>
      </c>
      <c r="Y493" s="36">
        <f>IF(W493&lt;=0.25,W493,'10. Whatif Control pannel'!$B$2)</f>
        <v>0</v>
      </c>
      <c r="Z493" s="24">
        <v>10</v>
      </c>
      <c r="AA493" s="13">
        <f>(1+'10. Whatif Control pannel'!$B$10)*Z493</f>
        <v>12</v>
      </c>
      <c r="AB493" s="3">
        <f t="shared" si="113"/>
        <v>6664.1</v>
      </c>
      <c r="AC493" s="3">
        <f t="shared" si="118"/>
        <v>8956.5504</v>
      </c>
      <c r="AD493" s="3">
        <f t="shared" si="114"/>
        <v>2975.9</v>
      </c>
      <c r="AE493" s="3">
        <f t="shared" si="115"/>
        <v>3688.2</v>
      </c>
      <c r="AF493" s="3">
        <f t="shared" si="119"/>
        <v>5980.6504</v>
      </c>
      <c r="AG493">
        <f t="shared" si="116"/>
        <v>0.5534430755841</v>
      </c>
    </row>
    <row r="494" spans="1:33">
      <c r="A494" t="s">
        <v>1085</v>
      </c>
      <c r="B494" s="20">
        <v>45861</v>
      </c>
      <c r="C494" s="2">
        <f t="shared" si="105"/>
        <v>7</v>
      </c>
      <c r="D494" s="21">
        <f t="shared" si="117"/>
        <v>45861</v>
      </c>
      <c r="E494" s="19" t="str">
        <f t="shared" si="106"/>
        <v>Quarter 3</v>
      </c>
      <c r="F494" s="19">
        <v>45888</v>
      </c>
      <c r="G494" s="19">
        <f t="shared" si="107"/>
        <v>45888</v>
      </c>
      <c r="H494" s="22">
        <f t="shared" si="108"/>
        <v>27</v>
      </c>
      <c r="I494" t="str">
        <f t="shared" si="109"/>
        <v>Delayed </v>
      </c>
      <c r="J494" t="s">
        <v>45</v>
      </c>
      <c r="K494" t="s">
        <v>46</v>
      </c>
      <c r="L494" t="s">
        <v>231</v>
      </c>
      <c r="M494" t="s">
        <v>48</v>
      </c>
      <c r="N494" t="s">
        <v>40</v>
      </c>
      <c r="O494" t="s">
        <v>56</v>
      </c>
      <c r="P494" t="s">
        <v>81</v>
      </c>
      <c r="Q494" t="s">
        <v>1086</v>
      </c>
      <c r="R494" s="3">
        <v>896.09</v>
      </c>
      <c r="S494" s="3">
        <v>744.27</v>
      </c>
      <c r="T494" s="3">
        <f t="shared" si="110"/>
        <v>744.27</v>
      </c>
      <c r="U494" s="3">
        <f>(1+'10. Whatif Control pannel'!$B$6)*T494</f>
        <v>833.5824</v>
      </c>
      <c r="V494" s="3" t="str">
        <f t="shared" si="111"/>
        <v>Low</v>
      </c>
      <c r="W494" s="34">
        <v>0.083</v>
      </c>
      <c r="X494" s="24" t="str">
        <f t="shared" si="112"/>
        <v>Okay</v>
      </c>
      <c r="Y494" s="36">
        <f>IF(W494&lt;=0.25,W494,'10. Whatif Control pannel'!$B$2)</f>
        <v>0.083</v>
      </c>
      <c r="Z494" s="24">
        <v>11</v>
      </c>
      <c r="AA494" s="13">
        <f>(1+'10. Whatif Control pannel'!$B$10)*Z494</f>
        <v>13.2</v>
      </c>
      <c r="AB494" s="3">
        <f t="shared" si="113"/>
        <v>7507.45149</v>
      </c>
      <c r="AC494" s="3">
        <f t="shared" si="118"/>
        <v>10090.01480256</v>
      </c>
      <c r="AD494" s="3">
        <f t="shared" si="114"/>
        <v>9856.99</v>
      </c>
      <c r="AE494" s="3">
        <f t="shared" si="115"/>
        <v>-2349.53851</v>
      </c>
      <c r="AF494" s="3">
        <f t="shared" si="119"/>
        <v>233.024802559999</v>
      </c>
      <c r="AG494">
        <f t="shared" si="116"/>
        <v>-0.312960864699507</v>
      </c>
    </row>
    <row r="495" spans="1:33">
      <c r="A495" t="s">
        <v>1087</v>
      </c>
      <c r="B495" s="20">
        <v>45352</v>
      </c>
      <c r="C495" s="2">
        <f t="shared" si="105"/>
        <v>3</v>
      </c>
      <c r="D495" s="21">
        <f t="shared" si="117"/>
        <v>45352</v>
      </c>
      <c r="E495" s="19" t="str">
        <f t="shared" si="106"/>
        <v>Quarter 1</v>
      </c>
      <c r="F495" s="19">
        <v>45351</v>
      </c>
      <c r="G495" s="19">
        <f t="shared" si="107"/>
        <v>45359</v>
      </c>
      <c r="H495" s="22">
        <f t="shared" si="108"/>
        <v>7</v>
      </c>
      <c r="I495" t="str">
        <f t="shared" si="109"/>
        <v>Ontime</v>
      </c>
      <c r="J495" t="s">
        <v>52</v>
      </c>
      <c r="K495" t="s">
        <v>73</v>
      </c>
      <c r="L495" t="s">
        <v>74</v>
      </c>
      <c r="M495" t="s">
        <v>39</v>
      </c>
      <c r="N495" t="s">
        <v>98</v>
      </c>
      <c r="O495" t="s">
        <v>34</v>
      </c>
      <c r="P495" t="s">
        <v>42</v>
      </c>
      <c r="Q495" t="s">
        <v>1088</v>
      </c>
      <c r="R495" s="3">
        <v>5.34</v>
      </c>
      <c r="S495" s="3">
        <v>12.69</v>
      </c>
      <c r="T495" s="3">
        <f t="shared" si="110"/>
        <v>12.69</v>
      </c>
      <c r="U495" s="3">
        <f>(1+'10. Whatif Control pannel'!$B$6)*T495</f>
        <v>14.2128</v>
      </c>
      <c r="V495" s="3" t="str">
        <f t="shared" si="111"/>
        <v>Low</v>
      </c>
      <c r="W495" s="34">
        <v>0.132</v>
      </c>
      <c r="X495" s="24" t="str">
        <f t="shared" si="112"/>
        <v>Okay</v>
      </c>
      <c r="Y495" s="36">
        <f>IF(W495&lt;=0.25,W495,'10. Whatif Control pannel'!$B$2)</f>
        <v>0.132</v>
      </c>
      <c r="Z495" s="24">
        <v>10</v>
      </c>
      <c r="AA495" s="13">
        <f>(1+'10. Whatif Control pannel'!$B$10)*Z495</f>
        <v>12</v>
      </c>
      <c r="AB495" s="3">
        <f t="shared" si="113"/>
        <v>110.1492</v>
      </c>
      <c r="AC495" s="3">
        <f t="shared" si="118"/>
        <v>148.0405248</v>
      </c>
      <c r="AD495" s="3">
        <f t="shared" si="114"/>
        <v>53.4</v>
      </c>
      <c r="AE495" s="3">
        <f t="shared" si="115"/>
        <v>56.7492</v>
      </c>
      <c r="AF495" s="3">
        <f t="shared" si="119"/>
        <v>94.6405248</v>
      </c>
      <c r="AG495">
        <f t="shared" si="116"/>
        <v>0.515203015546186</v>
      </c>
    </row>
    <row r="496" spans="1:33">
      <c r="A496" t="s">
        <v>1089</v>
      </c>
      <c r="B496" s="20">
        <v>45439</v>
      </c>
      <c r="C496" s="2">
        <f t="shared" si="105"/>
        <v>5</v>
      </c>
      <c r="D496" s="21">
        <f t="shared" si="117"/>
        <v>45439</v>
      </c>
      <c r="E496" s="19" t="str">
        <f t="shared" si="106"/>
        <v>Quarter 2</v>
      </c>
      <c r="F496" s="19">
        <v>45460</v>
      </c>
      <c r="G496" s="19">
        <f t="shared" si="107"/>
        <v>45460</v>
      </c>
      <c r="H496" s="22">
        <f t="shared" si="108"/>
        <v>21</v>
      </c>
      <c r="I496" t="str">
        <f t="shared" si="109"/>
        <v>Delayed </v>
      </c>
      <c r="J496" t="s">
        <v>45</v>
      </c>
      <c r="K496" t="s">
        <v>60</v>
      </c>
      <c r="L496" t="s">
        <v>141</v>
      </c>
      <c r="M496" t="s">
        <v>62</v>
      </c>
      <c r="N496" t="s">
        <v>28</v>
      </c>
      <c r="O496" t="s">
        <v>92</v>
      </c>
      <c r="P496" t="s">
        <v>81</v>
      </c>
      <c r="Q496" t="s">
        <v>1090</v>
      </c>
      <c r="R496" s="3">
        <v>465.02</v>
      </c>
      <c r="S496" s="3">
        <v>651.56</v>
      </c>
      <c r="T496" s="3">
        <f t="shared" si="110"/>
        <v>651.56</v>
      </c>
      <c r="U496" s="3">
        <f>(1+'10. Whatif Control pannel'!$B$6)*T496</f>
        <v>729.7472</v>
      </c>
      <c r="V496" s="3" t="str">
        <f t="shared" si="111"/>
        <v>Low</v>
      </c>
      <c r="W496" s="34">
        <v>0.042</v>
      </c>
      <c r="X496" s="24" t="str">
        <f t="shared" si="112"/>
        <v>Okay</v>
      </c>
      <c r="Y496" s="36">
        <f>IF(W496&lt;=0.25,W496,'10. Whatif Control pannel'!$B$2)</f>
        <v>0.042</v>
      </c>
      <c r="Z496" s="24">
        <v>19</v>
      </c>
      <c r="AA496" s="13">
        <f>(1+'10. Whatif Control pannel'!$B$10)*Z496</f>
        <v>22.8</v>
      </c>
      <c r="AB496" s="3">
        <f t="shared" si="113"/>
        <v>11859.69512</v>
      </c>
      <c r="AC496" s="3">
        <f t="shared" si="118"/>
        <v>15939.43024128</v>
      </c>
      <c r="AD496" s="3">
        <f t="shared" si="114"/>
        <v>8835.38</v>
      </c>
      <c r="AE496" s="3">
        <f t="shared" si="115"/>
        <v>3024.31512</v>
      </c>
      <c r="AF496" s="3">
        <f t="shared" si="119"/>
        <v>7104.05024128</v>
      </c>
      <c r="AG496">
        <f t="shared" si="116"/>
        <v>0.255007830251879</v>
      </c>
    </row>
    <row r="497" spans="1:33">
      <c r="A497" t="s">
        <v>1091</v>
      </c>
      <c r="B497" s="20">
        <v>45508</v>
      </c>
      <c r="C497" s="2">
        <f t="shared" si="105"/>
        <v>8</v>
      </c>
      <c r="D497" s="21">
        <f t="shared" si="117"/>
        <v>45508</v>
      </c>
      <c r="E497" s="19" t="str">
        <f t="shared" si="106"/>
        <v>Quarter 3</v>
      </c>
      <c r="F497" s="19">
        <v>45521</v>
      </c>
      <c r="G497" s="19">
        <f t="shared" si="107"/>
        <v>45521</v>
      </c>
      <c r="H497" s="22">
        <f t="shared" si="108"/>
        <v>13</v>
      </c>
      <c r="I497" t="str">
        <f t="shared" si="109"/>
        <v>Delayed </v>
      </c>
      <c r="J497" t="s">
        <v>52</v>
      </c>
      <c r="K497" t="s">
        <v>122</v>
      </c>
      <c r="L497" t="s">
        <v>326</v>
      </c>
      <c r="M497" t="s">
        <v>48</v>
      </c>
      <c r="N497" t="s">
        <v>20</v>
      </c>
      <c r="O497" t="s">
        <v>145</v>
      </c>
      <c r="P497" t="s">
        <v>64</v>
      </c>
      <c r="Q497" t="s">
        <v>1092</v>
      </c>
      <c r="R497" s="3">
        <v>352.79</v>
      </c>
      <c r="S497" s="3">
        <v>754.22</v>
      </c>
      <c r="T497" s="3">
        <f t="shared" si="110"/>
        <v>754.22</v>
      </c>
      <c r="U497" s="3">
        <f>(1+'10. Whatif Control pannel'!$B$6)*T497</f>
        <v>844.7264</v>
      </c>
      <c r="V497" s="3" t="str">
        <f t="shared" si="111"/>
        <v>Low</v>
      </c>
      <c r="W497" s="34">
        <v>0.113</v>
      </c>
      <c r="X497" s="24" t="str">
        <f t="shared" si="112"/>
        <v>Okay</v>
      </c>
      <c r="Y497" s="36">
        <f>IF(W497&lt;=0.25,W497,'10. Whatif Control pannel'!$B$2)</f>
        <v>0.113</v>
      </c>
      <c r="Z497" s="24">
        <v>7</v>
      </c>
      <c r="AA497" s="13">
        <f>(1+'10. Whatif Control pannel'!$B$10)*Z497</f>
        <v>8.4</v>
      </c>
      <c r="AB497" s="3">
        <f t="shared" si="113"/>
        <v>4682.95198</v>
      </c>
      <c r="AC497" s="3">
        <f t="shared" si="118"/>
        <v>6293.88746112</v>
      </c>
      <c r="AD497" s="3">
        <f t="shared" si="114"/>
        <v>2469.53</v>
      </c>
      <c r="AE497" s="3">
        <f t="shared" si="115"/>
        <v>2213.42198</v>
      </c>
      <c r="AF497" s="3">
        <f t="shared" si="119"/>
        <v>3824.35746112</v>
      </c>
      <c r="AG497">
        <f t="shared" si="116"/>
        <v>0.472655280142334</v>
      </c>
    </row>
    <row r="498" spans="1:33">
      <c r="A498" t="s">
        <v>1093</v>
      </c>
      <c r="B498" s="20">
        <v>45097</v>
      </c>
      <c r="C498" s="2">
        <f t="shared" si="105"/>
        <v>6</v>
      </c>
      <c r="D498" s="21">
        <f t="shared" si="117"/>
        <v>45097</v>
      </c>
      <c r="E498" s="19" t="str">
        <f t="shared" si="106"/>
        <v>Quarter 2</v>
      </c>
      <c r="F498" s="19">
        <v>45111</v>
      </c>
      <c r="G498" s="19">
        <f t="shared" si="107"/>
        <v>45111</v>
      </c>
      <c r="H498" s="22">
        <f t="shared" si="108"/>
        <v>14</v>
      </c>
      <c r="I498" t="str">
        <f t="shared" si="109"/>
        <v>Delayed </v>
      </c>
      <c r="J498" t="s">
        <v>52</v>
      </c>
      <c r="K498" t="s">
        <v>73</v>
      </c>
      <c r="L498" t="s">
        <v>87</v>
      </c>
      <c r="M498" t="s">
        <v>39</v>
      </c>
      <c r="N498" t="s">
        <v>98</v>
      </c>
      <c r="O498" t="s">
        <v>21</v>
      </c>
      <c r="P498" t="s">
        <v>35</v>
      </c>
      <c r="Q498" t="s">
        <v>1094</v>
      </c>
      <c r="R498" s="3">
        <v>1292.86</v>
      </c>
      <c r="S498" s="3">
        <v>2981.01</v>
      </c>
      <c r="T498" s="3">
        <f t="shared" si="110"/>
        <v>2981.01</v>
      </c>
      <c r="U498" s="3">
        <f>(1+'10. Whatif Control pannel'!$B$6)*T498</f>
        <v>3338.7312</v>
      </c>
      <c r="V498" s="3" t="str">
        <f t="shared" si="111"/>
        <v>High</v>
      </c>
      <c r="W498" s="34">
        <v>0.142</v>
      </c>
      <c r="X498" s="24" t="str">
        <f t="shared" si="112"/>
        <v>Okay</v>
      </c>
      <c r="Y498" s="36">
        <f>IF(W498&lt;=0.25,W498,'10. Whatif Control pannel'!$B$2)</f>
        <v>0.142</v>
      </c>
      <c r="Z498" s="24">
        <v>12</v>
      </c>
      <c r="AA498" s="13">
        <f>(1+'10. Whatif Control pannel'!$B$10)*Z498</f>
        <v>14.4</v>
      </c>
      <c r="AB498" s="3">
        <f t="shared" si="113"/>
        <v>30692.47896</v>
      </c>
      <c r="AC498" s="3">
        <f t="shared" si="118"/>
        <v>41250.69172224</v>
      </c>
      <c r="AD498" s="3">
        <f t="shared" si="114"/>
        <v>15514.32</v>
      </c>
      <c r="AE498" s="3">
        <f t="shared" si="115"/>
        <v>15178.15896</v>
      </c>
      <c r="AF498" s="3">
        <f t="shared" si="119"/>
        <v>25736.37172224</v>
      </c>
      <c r="AG498">
        <f t="shared" si="116"/>
        <v>0.494523722889277</v>
      </c>
    </row>
    <row r="499" spans="1:33">
      <c r="A499" t="s">
        <v>1095</v>
      </c>
      <c r="B499" s="20">
        <v>45544</v>
      </c>
      <c r="C499" s="2">
        <f t="shared" si="105"/>
        <v>9</v>
      </c>
      <c r="D499" s="21">
        <f t="shared" si="117"/>
        <v>45544</v>
      </c>
      <c r="E499" s="19" t="str">
        <f t="shared" si="106"/>
        <v>Quarter 3</v>
      </c>
      <c r="F499" s="19">
        <v>45548</v>
      </c>
      <c r="G499" s="19">
        <f t="shared" si="107"/>
        <v>45548</v>
      </c>
      <c r="H499" s="22">
        <f t="shared" si="108"/>
        <v>4</v>
      </c>
      <c r="I499" t="str">
        <f t="shared" si="109"/>
        <v>Ontime</v>
      </c>
      <c r="J499" t="s">
        <v>78</v>
      </c>
      <c r="K499" t="s">
        <v>108</v>
      </c>
      <c r="L499" t="s">
        <v>152</v>
      </c>
      <c r="M499" t="s">
        <v>48</v>
      </c>
      <c r="N499" t="s">
        <v>40</v>
      </c>
      <c r="O499" t="s">
        <v>84</v>
      </c>
      <c r="P499" t="s">
        <v>35</v>
      </c>
      <c r="Q499" t="s">
        <v>1096</v>
      </c>
      <c r="R499" s="3">
        <v>1133.08</v>
      </c>
      <c r="S499" s="3">
        <v>976.17</v>
      </c>
      <c r="T499" s="3">
        <f t="shared" si="110"/>
        <v>976.17</v>
      </c>
      <c r="U499" s="3">
        <f>(1+'10. Whatif Control pannel'!$B$6)*T499</f>
        <v>1093.3104</v>
      </c>
      <c r="V499" s="3" t="str">
        <f t="shared" si="111"/>
        <v>Medium</v>
      </c>
      <c r="W499" s="34">
        <v>0.042</v>
      </c>
      <c r="X499" s="24" t="str">
        <f t="shared" si="112"/>
        <v>Okay</v>
      </c>
      <c r="Y499" s="36">
        <f>IF(W499&lt;=0.25,W499,'10. Whatif Control pannel'!$B$2)</f>
        <v>0.042</v>
      </c>
      <c r="Z499" s="24">
        <v>27</v>
      </c>
      <c r="AA499" s="13">
        <f>(1+'10. Whatif Control pannel'!$B$10)*Z499</f>
        <v>32.4</v>
      </c>
      <c r="AB499" s="3">
        <f t="shared" si="113"/>
        <v>25249.61322</v>
      </c>
      <c r="AC499" s="3">
        <f t="shared" si="118"/>
        <v>33935.48016768</v>
      </c>
      <c r="AD499" s="3">
        <f t="shared" si="114"/>
        <v>30593.16</v>
      </c>
      <c r="AE499" s="3">
        <f t="shared" si="115"/>
        <v>-5343.54678</v>
      </c>
      <c r="AF499" s="3">
        <f t="shared" si="119"/>
        <v>3342.32016768</v>
      </c>
      <c r="AG499">
        <f t="shared" si="116"/>
        <v>-0.211628856784524</v>
      </c>
    </row>
    <row r="500" spans="1:33">
      <c r="A500" t="s">
        <v>1097</v>
      </c>
      <c r="B500" s="20">
        <v>45224</v>
      </c>
      <c r="C500" s="2">
        <f t="shared" si="105"/>
        <v>10</v>
      </c>
      <c r="D500" s="21">
        <f t="shared" si="117"/>
        <v>45224</v>
      </c>
      <c r="E500" s="19" t="str">
        <f t="shared" si="106"/>
        <v>Quarter 4</v>
      </c>
      <c r="F500" s="19">
        <v>45227</v>
      </c>
      <c r="G500" s="19">
        <f t="shared" si="107"/>
        <v>45227</v>
      </c>
      <c r="H500" s="22">
        <f t="shared" si="108"/>
        <v>3</v>
      </c>
      <c r="I500" t="str">
        <f t="shared" si="109"/>
        <v>Ontime</v>
      </c>
      <c r="J500" t="s">
        <v>52</v>
      </c>
      <c r="K500" t="s">
        <v>73</v>
      </c>
      <c r="L500" t="s">
        <v>87</v>
      </c>
      <c r="M500" t="s">
        <v>19</v>
      </c>
      <c r="N500" t="s">
        <v>55</v>
      </c>
      <c r="O500" t="s">
        <v>49</v>
      </c>
      <c r="P500" t="s">
        <v>81</v>
      </c>
      <c r="Q500" t="s">
        <v>1098</v>
      </c>
      <c r="R500" s="3">
        <v>509.31</v>
      </c>
      <c r="S500" s="3">
        <v>1145.9</v>
      </c>
      <c r="T500" s="3">
        <f t="shared" si="110"/>
        <v>1145.9</v>
      </c>
      <c r="U500" s="3">
        <f>(1+'10. Whatif Control pannel'!$B$6)*T500</f>
        <v>1283.408</v>
      </c>
      <c r="V500" s="3" t="str">
        <f t="shared" si="111"/>
        <v>Medium</v>
      </c>
      <c r="W500" s="34">
        <v>0.057</v>
      </c>
      <c r="X500" s="24" t="str">
        <f t="shared" si="112"/>
        <v>Okay</v>
      </c>
      <c r="Y500" s="36">
        <f>IF(W500&lt;=0.25,W500,'10. Whatif Control pannel'!$B$2)</f>
        <v>0.057</v>
      </c>
      <c r="Z500" s="24">
        <v>8</v>
      </c>
      <c r="AA500" s="13">
        <f>(1+'10. Whatif Control pannel'!$B$10)*Z500</f>
        <v>9.6</v>
      </c>
      <c r="AB500" s="3">
        <f t="shared" si="113"/>
        <v>8644.6696</v>
      </c>
      <c r="AC500" s="3">
        <f t="shared" si="118"/>
        <v>11618.4359424</v>
      </c>
      <c r="AD500" s="3">
        <f t="shared" si="114"/>
        <v>4074.48</v>
      </c>
      <c r="AE500" s="3">
        <f t="shared" si="115"/>
        <v>4570.1896</v>
      </c>
      <c r="AF500" s="3">
        <f t="shared" si="119"/>
        <v>7543.9559424</v>
      </c>
      <c r="AG500">
        <f t="shared" si="116"/>
        <v>0.5286714023171</v>
      </c>
    </row>
    <row r="501" spans="1:33">
      <c r="A501" t="s">
        <v>1099</v>
      </c>
      <c r="B501" s="20">
        <v>45908</v>
      </c>
      <c r="C501" s="2">
        <f t="shared" si="105"/>
        <v>9</v>
      </c>
      <c r="D501" s="21">
        <f t="shared" si="117"/>
        <v>45908</v>
      </c>
      <c r="E501" s="19" t="str">
        <f t="shared" si="106"/>
        <v>Quarter 3</v>
      </c>
      <c r="F501" s="19">
        <v>45935</v>
      </c>
      <c r="G501" s="19">
        <f t="shared" si="107"/>
        <v>45935</v>
      </c>
      <c r="H501" s="22">
        <f t="shared" si="108"/>
        <v>27</v>
      </c>
      <c r="I501" t="str">
        <f t="shared" si="109"/>
        <v>Delayed </v>
      </c>
      <c r="J501" t="s">
        <v>52</v>
      </c>
      <c r="K501" t="s">
        <v>73</v>
      </c>
      <c r="L501" t="s">
        <v>225</v>
      </c>
      <c r="M501" t="s">
        <v>27</v>
      </c>
      <c r="N501" t="s">
        <v>28</v>
      </c>
      <c r="O501" t="s">
        <v>21</v>
      </c>
      <c r="P501" t="s">
        <v>64</v>
      </c>
      <c r="Q501" t="s">
        <v>1100</v>
      </c>
      <c r="R501" s="3">
        <v>660.78</v>
      </c>
      <c r="S501" s="3">
        <v>1630.39</v>
      </c>
      <c r="T501" s="3">
        <f t="shared" si="110"/>
        <v>1630.39</v>
      </c>
      <c r="U501" s="3">
        <f>(1+'10. Whatif Control pannel'!$B$6)*T501</f>
        <v>1826.0368</v>
      </c>
      <c r="V501" s="3" t="str">
        <f t="shared" si="111"/>
        <v>Medium</v>
      </c>
      <c r="W501" s="34">
        <v>0.218</v>
      </c>
      <c r="X501" s="24" t="str">
        <f t="shared" si="112"/>
        <v>High Discount</v>
      </c>
      <c r="Y501" s="36">
        <f>IF(W501&lt;=0.25,W501,'10. Whatif Control pannel'!$B$2)</f>
        <v>0.218</v>
      </c>
      <c r="Z501" s="24">
        <v>13</v>
      </c>
      <c r="AA501" s="13">
        <f>(1+'10. Whatif Control pannel'!$B$10)*Z501</f>
        <v>15.6</v>
      </c>
      <c r="AB501" s="3">
        <f t="shared" si="113"/>
        <v>16574.54474</v>
      </c>
      <c r="AC501" s="3">
        <f t="shared" si="118"/>
        <v>22276.18813056</v>
      </c>
      <c r="AD501" s="3">
        <f t="shared" si="114"/>
        <v>8590.14</v>
      </c>
      <c r="AE501" s="3">
        <f t="shared" si="115"/>
        <v>7984.40474</v>
      </c>
      <c r="AF501" s="3">
        <f t="shared" si="119"/>
        <v>13686.04813056</v>
      </c>
      <c r="AG501">
        <f t="shared" si="116"/>
        <v>0.481726941237241</v>
      </c>
    </row>
    <row r="502" spans="1:33">
      <c r="A502" t="s">
        <v>1101</v>
      </c>
      <c r="B502" s="20">
        <v>45048</v>
      </c>
      <c r="C502" s="2">
        <f t="shared" si="105"/>
        <v>5</v>
      </c>
      <c r="D502" s="21">
        <f t="shared" si="117"/>
        <v>45048</v>
      </c>
      <c r="E502" s="19" t="str">
        <f t="shared" si="106"/>
        <v>Quarter 2</v>
      </c>
      <c r="F502" s="19">
        <v>45062</v>
      </c>
      <c r="G502" s="19">
        <f t="shared" si="107"/>
        <v>45062</v>
      </c>
      <c r="H502" s="22">
        <f t="shared" si="108"/>
        <v>14</v>
      </c>
      <c r="I502" t="str">
        <f t="shared" si="109"/>
        <v>Delayed </v>
      </c>
      <c r="J502" t="s">
        <v>45</v>
      </c>
      <c r="K502" t="s">
        <v>60</v>
      </c>
      <c r="L502" t="s">
        <v>61</v>
      </c>
      <c r="M502" t="s">
        <v>39</v>
      </c>
      <c r="N502" t="s">
        <v>20</v>
      </c>
      <c r="O502" t="s">
        <v>49</v>
      </c>
      <c r="P502" t="s">
        <v>64</v>
      </c>
      <c r="Q502" t="s">
        <v>1102</v>
      </c>
      <c r="R502" s="3">
        <v>475.37</v>
      </c>
      <c r="S502" s="3">
        <v>963.73</v>
      </c>
      <c r="T502" s="3">
        <f t="shared" si="110"/>
        <v>963.73</v>
      </c>
      <c r="U502" s="3">
        <f>(1+'10. Whatif Control pannel'!$B$6)*T502</f>
        <v>1079.3776</v>
      </c>
      <c r="V502" s="3" t="str">
        <f t="shared" si="111"/>
        <v>Medium</v>
      </c>
      <c r="W502" s="34">
        <v>0.041</v>
      </c>
      <c r="X502" s="24" t="str">
        <f t="shared" si="112"/>
        <v>Okay</v>
      </c>
      <c r="Y502" s="36">
        <f>IF(W502&lt;=0.25,W502,'10. Whatif Control pannel'!$B$2)</f>
        <v>0.041</v>
      </c>
      <c r="Z502" s="24">
        <v>22</v>
      </c>
      <c r="AA502" s="13">
        <f>(1+'10. Whatif Control pannel'!$B$10)*Z502</f>
        <v>26.4</v>
      </c>
      <c r="AB502" s="3">
        <f t="shared" si="113"/>
        <v>20332.77554</v>
      </c>
      <c r="AC502" s="3">
        <f t="shared" si="118"/>
        <v>27327.25032576</v>
      </c>
      <c r="AD502" s="3">
        <f t="shared" si="114"/>
        <v>10458.14</v>
      </c>
      <c r="AE502" s="3">
        <f t="shared" si="115"/>
        <v>9874.63554</v>
      </c>
      <c r="AF502" s="3">
        <f t="shared" si="119"/>
        <v>16869.11032576</v>
      </c>
      <c r="AG502">
        <f t="shared" si="116"/>
        <v>0.485651136047509</v>
      </c>
    </row>
    <row r="503" spans="1:33">
      <c r="A503" t="s">
        <v>1103</v>
      </c>
      <c r="B503" s="20">
        <v>45408</v>
      </c>
      <c r="C503" s="2">
        <f t="shared" si="105"/>
        <v>4</v>
      </c>
      <c r="D503" s="21">
        <f t="shared" si="117"/>
        <v>45408</v>
      </c>
      <c r="E503" s="19" t="str">
        <f t="shared" si="106"/>
        <v>Quarter 2</v>
      </c>
      <c r="F503" s="19">
        <v>45406</v>
      </c>
      <c r="G503" s="19">
        <f t="shared" si="107"/>
        <v>45415</v>
      </c>
      <c r="H503" s="22">
        <f t="shared" si="108"/>
        <v>7</v>
      </c>
      <c r="I503" t="str">
        <f t="shared" si="109"/>
        <v>Ontime</v>
      </c>
      <c r="J503" t="s">
        <v>78</v>
      </c>
      <c r="K503" t="s">
        <v>108</v>
      </c>
      <c r="L503" t="s">
        <v>152</v>
      </c>
      <c r="M503" t="s">
        <v>39</v>
      </c>
      <c r="N503" t="s">
        <v>55</v>
      </c>
      <c r="O503" t="s">
        <v>126</v>
      </c>
      <c r="P503" t="s">
        <v>42</v>
      </c>
      <c r="Q503" t="s">
        <v>1104</v>
      </c>
      <c r="R503" s="3">
        <v>1232.77</v>
      </c>
      <c r="S503" s="3">
        <v>891.73</v>
      </c>
      <c r="T503" s="3">
        <f t="shared" si="110"/>
        <v>891.73</v>
      </c>
      <c r="U503" s="3">
        <f>(1+'10. Whatif Control pannel'!$B$6)*T503</f>
        <v>998.7376</v>
      </c>
      <c r="V503" s="3" t="str">
        <f t="shared" si="111"/>
        <v>Low</v>
      </c>
      <c r="W503" s="34">
        <v>0.167</v>
      </c>
      <c r="X503" s="24" t="str">
        <f t="shared" si="112"/>
        <v>Okay</v>
      </c>
      <c r="Y503" s="36">
        <f>IF(W503&lt;=0.25,W503,'10. Whatif Control pannel'!$B$2)</f>
        <v>0.167</v>
      </c>
      <c r="Z503" s="24">
        <v>10</v>
      </c>
      <c r="AA503" s="13">
        <f>(1+'10. Whatif Control pannel'!$B$10)*Z503</f>
        <v>12</v>
      </c>
      <c r="AB503" s="3">
        <f t="shared" si="113"/>
        <v>7428.1109</v>
      </c>
      <c r="AC503" s="3">
        <f t="shared" si="118"/>
        <v>9983.3810496</v>
      </c>
      <c r="AD503" s="3">
        <f t="shared" si="114"/>
        <v>12327.7</v>
      </c>
      <c r="AE503" s="3">
        <f t="shared" si="115"/>
        <v>-4899.5891</v>
      </c>
      <c r="AF503" s="3">
        <f t="shared" si="119"/>
        <v>-2344.3189504</v>
      </c>
      <c r="AG503">
        <f t="shared" si="116"/>
        <v>-0.659600962608138</v>
      </c>
    </row>
    <row r="504" spans="1:33">
      <c r="A504" t="s">
        <v>1105</v>
      </c>
      <c r="B504" s="20">
        <v>44980</v>
      </c>
      <c r="C504" s="2">
        <f t="shared" si="105"/>
        <v>2</v>
      </c>
      <c r="D504" s="21">
        <f t="shared" si="117"/>
        <v>44980</v>
      </c>
      <c r="E504" s="19" t="str">
        <f t="shared" si="106"/>
        <v>Quarter 1</v>
      </c>
      <c r="F504" s="19">
        <v>45003</v>
      </c>
      <c r="G504" s="19">
        <f t="shared" si="107"/>
        <v>45003</v>
      </c>
      <c r="H504" s="22">
        <f t="shared" si="108"/>
        <v>23</v>
      </c>
      <c r="I504" t="str">
        <f t="shared" si="109"/>
        <v>Delayed </v>
      </c>
      <c r="J504" t="s">
        <v>45</v>
      </c>
      <c r="K504" t="s">
        <v>116</v>
      </c>
      <c r="L504" t="s">
        <v>338</v>
      </c>
      <c r="M504" t="s">
        <v>27</v>
      </c>
      <c r="N504" t="s">
        <v>55</v>
      </c>
      <c r="O504" t="s">
        <v>95</v>
      </c>
      <c r="P504" t="s">
        <v>30</v>
      </c>
      <c r="Q504" t="s">
        <v>1106</v>
      </c>
      <c r="R504" s="3">
        <v>770.11</v>
      </c>
      <c r="S504" s="3">
        <v>1667.82</v>
      </c>
      <c r="T504" s="3">
        <f t="shared" si="110"/>
        <v>1667.82</v>
      </c>
      <c r="U504" s="3">
        <f>(1+'10. Whatif Control pannel'!$B$6)*T504</f>
        <v>1867.9584</v>
      </c>
      <c r="V504" s="3" t="str">
        <f t="shared" si="111"/>
        <v>High</v>
      </c>
      <c r="W504" s="34">
        <v>0.069</v>
      </c>
      <c r="X504" s="24" t="str">
        <f t="shared" si="112"/>
        <v>Okay</v>
      </c>
      <c r="Y504" s="36">
        <f>IF(W504&lt;=0.25,W504,'10. Whatif Control pannel'!$B$2)</f>
        <v>0.069</v>
      </c>
      <c r="Z504" s="24">
        <v>7</v>
      </c>
      <c r="AA504" s="13">
        <f>(1+'10. Whatif Control pannel'!$B$10)*Z504</f>
        <v>8.4</v>
      </c>
      <c r="AB504" s="3">
        <f t="shared" si="113"/>
        <v>10869.18294</v>
      </c>
      <c r="AC504" s="3">
        <f t="shared" si="118"/>
        <v>14608.18187136</v>
      </c>
      <c r="AD504" s="3">
        <f t="shared" si="114"/>
        <v>5390.77</v>
      </c>
      <c r="AE504" s="3">
        <f t="shared" si="115"/>
        <v>5478.41294</v>
      </c>
      <c r="AF504" s="3">
        <f t="shared" si="119"/>
        <v>9217.41187136</v>
      </c>
      <c r="AG504">
        <f t="shared" si="116"/>
        <v>0.504031717033553</v>
      </c>
    </row>
    <row r="505" spans="1:33">
      <c r="A505" t="s">
        <v>1107</v>
      </c>
      <c r="B505" s="20">
        <v>45740</v>
      </c>
      <c r="C505" s="2">
        <f t="shared" si="105"/>
        <v>3</v>
      </c>
      <c r="D505" s="21">
        <f t="shared" si="117"/>
        <v>45740</v>
      </c>
      <c r="E505" s="19" t="str">
        <f t="shared" si="106"/>
        <v>Quarter 1</v>
      </c>
      <c r="F505" s="19">
        <v>45741</v>
      </c>
      <c r="G505" s="19">
        <f t="shared" si="107"/>
        <v>45741</v>
      </c>
      <c r="H505" s="22">
        <f t="shared" si="108"/>
        <v>1</v>
      </c>
      <c r="I505" t="str">
        <f t="shared" si="109"/>
        <v>Ontime</v>
      </c>
      <c r="J505" t="s">
        <v>45</v>
      </c>
      <c r="K505" t="s">
        <v>116</v>
      </c>
      <c r="L505" t="s">
        <v>338</v>
      </c>
      <c r="M505" t="s">
        <v>39</v>
      </c>
      <c r="N505" t="s">
        <v>28</v>
      </c>
      <c r="O505" t="s">
        <v>41</v>
      </c>
      <c r="P505" t="s">
        <v>35</v>
      </c>
      <c r="Q505" t="s">
        <v>1108</v>
      </c>
      <c r="R505" s="3">
        <v>1133.03</v>
      </c>
      <c r="S505" s="3">
        <v>1921.51</v>
      </c>
      <c r="T505" s="3">
        <f t="shared" si="110"/>
        <v>1921.51</v>
      </c>
      <c r="U505" s="3">
        <f>(1+'10. Whatif Control pannel'!$B$6)*T505</f>
        <v>2152.0912</v>
      </c>
      <c r="V505" s="3" t="str">
        <f t="shared" si="111"/>
        <v>High</v>
      </c>
      <c r="W505" s="34">
        <v>0.101</v>
      </c>
      <c r="X505" s="24" t="str">
        <f t="shared" si="112"/>
        <v>Okay</v>
      </c>
      <c r="Y505" s="36">
        <f>IF(W505&lt;=0.25,W505,'10. Whatif Control pannel'!$B$2)</f>
        <v>0.101</v>
      </c>
      <c r="Z505" s="24">
        <v>5</v>
      </c>
      <c r="AA505" s="13">
        <f>(1+'10. Whatif Control pannel'!$B$10)*Z505</f>
        <v>6</v>
      </c>
      <c r="AB505" s="3">
        <f t="shared" si="113"/>
        <v>8637.18745</v>
      </c>
      <c r="AC505" s="3">
        <f t="shared" si="118"/>
        <v>11608.3799328</v>
      </c>
      <c r="AD505" s="3">
        <f t="shared" si="114"/>
        <v>5665.15</v>
      </c>
      <c r="AE505" s="3">
        <f t="shared" si="115"/>
        <v>2972.03745</v>
      </c>
      <c r="AF505" s="3">
        <f t="shared" si="119"/>
        <v>5943.2299328</v>
      </c>
      <c r="AG505">
        <f t="shared" si="116"/>
        <v>0.344097828975565</v>
      </c>
    </row>
    <row r="506" spans="1:33">
      <c r="A506" t="s">
        <v>1109</v>
      </c>
      <c r="B506" s="20">
        <v>45726</v>
      </c>
      <c r="C506" s="2">
        <f t="shared" si="105"/>
        <v>3</v>
      </c>
      <c r="D506" s="21">
        <f t="shared" si="117"/>
        <v>45726</v>
      </c>
      <c r="E506" s="19" t="str">
        <f t="shared" si="106"/>
        <v>Quarter 1</v>
      </c>
      <c r="F506" s="19">
        <v>45743</v>
      </c>
      <c r="G506" s="19">
        <f t="shared" si="107"/>
        <v>45743</v>
      </c>
      <c r="H506" s="22">
        <f t="shared" si="108"/>
        <v>17</v>
      </c>
      <c r="I506" t="str">
        <f t="shared" si="109"/>
        <v>Delayed </v>
      </c>
      <c r="J506" t="s">
        <v>52</v>
      </c>
      <c r="K506" t="s">
        <v>73</v>
      </c>
      <c r="L506" t="s">
        <v>225</v>
      </c>
      <c r="M506" t="s">
        <v>105</v>
      </c>
      <c r="N506" t="s">
        <v>98</v>
      </c>
      <c r="O506" t="s">
        <v>84</v>
      </c>
      <c r="P506" t="s">
        <v>35</v>
      </c>
      <c r="Q506" t="s">
        <v>1110</v>
      </c>
      <c r="R506" s="3">
        <v>996.73</v>
      </c>
      <c r="S506" s="3">
        <v>1217.43</v>
      </c>
      <c r="T506" s="3">
        <f t="shared" si="110"/>
        <v>1217.43</v>
      </c>
      <c r="U506" s="3">
        <f>(1+'10. Whatif Control pannel'!$B$6)*T506</f>
        <v>1363.5216</v>
      </c>
      <c r="V506" s="3" t="str">
        <f t="shared" si="111"/>
        <v>Medium</v>
      </c>
      <c r="W506" s="34">
        <v>0.07</v>
      </c>
      <c r="X506" s="24" t="str">
        <f t="shared" si="112"/>
        <v>Okay</v>
      </c>
      <c r="Y506" s="36">
        <f>IF(W506&lt;=0.25,W506,'10. Whatif Control pannel'!$B$2)</f>
        <v>0.07</v>
      </c>
      <c r="Z506" s="24">
        <v>9</v>
      </c>
      <c r="AA506" s="13">
        <f>(1+'10. Whatif Control pannel'!$B$10)*Z506</f>
        <v>10.8</v>
      </c>
      <c r="AB506" s="3">
        <f t="shared" si="113"/>
        <v>10189.8891</v>
      </c>
      <c r="AC506" s="3">
        <f t="shared" si="118"/>
        <v>13695.2109504</v>
      </c>
      <c r="AD506" s="3">
        <f t="shared" si="114"/>
        <v>8970.57</v>
      </c>
      <c r="AE506" s="3">
        <f t="shared" si="115"/>
        <v>1219.3191</v>
      </c>
      <c r="AF506" s="3">
        <f t="shared" si="119"/>
        <v>4724.6409504</v>
      </c>
      <c r="AG506">
        <f t="shared" si="116"/>
        <v>0.119659702675273</v>
      </c>
    </row>
    <row r="507" spans="1:33">
      <c r="A507" t="s">
        <v>1111</v>
      </c>
      <c r="B507" s="20">
        <v>45387</v>
      </c>
      <c r="C507" s="2">
        <f t="shared" si="105"/>
        <v>4</v>
      </c>
      <c r="D507" s="21">
        <f t="shared" si="117"/>
        <v>45387</v>
      </c>
      <c r="E507" s="19" t="str">
        <f t="shared" si="106"/>
        <v>Quarter 2</v>
      </c>
      <c r="F507" s="19">
        <v>45391</v>
      </c>
      <c r="G507" s="19">
        <f t="shared" si="107"/>
        <v>45391</v>
      </c>
      <c r="H507" s="22">
        <f t="shared" si="108"/>
        <v>4</v>
      </c>
      <c r="I507" t="str">
        <f t="shared" si="109"/>
        <v>Ontime</v>
      </c>
      <c r="J507" t="s">
        <v>16</v>
      </c>
      <c r="K507" t="s">
        <v>25</v>
      </c>
      <c r="L507" t="s">
        <v>38</v>
      </c>
      <c r="M507" t="s">
        <v>39</v>
      </c>
      <c r="N507" t="s">
        <v>98</v>
      </c>
      <c r="O507" t="s">
        <v>95</v>
      </c>
      <c r="P507" t="s">
        <v>22</v>
      </c>
      <c r="Q507" t="s">
        <v>1112</v>
      </c>
      <c r="R507" s="3">
        <v>395.07</v>
      </c>
      <c r="S507" s="3">
        <v>970.27</v>
      </c>
      <c r="T507" s="3">
        <f t="shared" si="110"/>
        <v>970.27</v>
      </c>
      <c r="U507" s="3">
        <f>(1+'10. Whatif Control pannel'!$B$6)*T507</f>
        <v>1086.7024</v>
      </c>
      <c r="V507" s="3" t="str">
        <f t="shared" si="111"/>
        <v>Medium</v>
      </c>
      <c r="W507" s="34">
        <v>0.123</v>
      </c>
      <c r="X507" s="24" t="str">
        <f t="shared" si="112"/>
        <v>Okay</v>
      </c>
      <c r="Y507" s="36">
        <f>IF(W507&lt;=0.25,W507,'10. Whatif Control pannel'!$B$2)</f>
        <v>0.123</v>
      </c>
      <c r="Z507" s="24">
        <v>38</v>
      </c>
      <c r="AA507" s="13">
        <f>(1+'10. Whatif Control pannel'!$B$10)*Z507</f>
        <v>45.6</v>
      </c>
      <c r="AB507" s="3">
        <f t="shared" si="113"/>
        <v>32335.21802</v>
      </c>
      <c r="AC507" s="3">
        <f t="shared" si="118"/>
        <v>43458.53301888</v>
      </c>
      <c r="AD507" s="3">
        <f t="shared" si="114"/>
        <v>15012.66</v>
      </c>
      <c r="AE507" s="3">
        <f t="shared" si="115"/>
        <v>17322.55802</v>
      </c>
      <c r="AF507" s="3">
        <f t="shared" si="119"/>
        <v>28445.87301888</v>
      </c>
      <c r="AG507">
        <f t="shared" si="116"/>
        <v>0.535717990498337</v>
      </c>
    </row>
    <row r="508" spans="1:33">
      <c r="A508" t="s">
        <v>1113</v>
      </c>
      <c r="B508" s="20">
        <v>45774</v>
      </c>
      <c r="C508" s="2">
        <f t="shared" si="105"/>
        <v>4</v>
      </c>
      <c r="D508" s="21">
        <f t="shared" si="117"/>
        <v>45774</v>
      </c>
      <c r="E508" s="19" t="str">
        <f t="shared" si="106"/>
        <v>Quarter 2</v>
      </c>
      <c r="F508" s="19">
        <v>45794</v>
      </c>
      <c r="G508" s="19">
        <f t="shared" si="107"/>
        <v>45794</v>
      </c>
      <c r="H508" s="22">
        <f t="shared" si="108"/>
        <v>20</v>
      </c>
      <c r="I508" t="str">
        <f t="shared" si="109"/>
        <v>Delayed </v>
      </c>
      <c r="J508" t="s">
        <v>52</v>
      </c>
      <c r="K508" t="s">
        <v>122</v>
      </c>
      <c r="L508" t="s">
        <v>326</v>
      </c>
      <c r="M508" t="s">
        <v>19</v>
      </c>
      <c r="N508" t="s">
        <v>98</v>
      </c>
      <c r="O508" t="s">
        <v>126</v>
      </c>
      <c r="P508" t="s">
        <v>42</v>
      </c>
      <c r="Q508" t="s">
        <v>1114</v>
      </c>
      <c r="R508" s="3">
        <v>932.26</v>
      </c>
      <c r="S508" s="3">
        <v>1624.67</v>
      </c>
      <c r="T508" s="3">
        <f t="shared" si="110"/>
        <v>1624.67</v>
      </c>
      <c r="U508" s="3">
        <f>(1+'10. Whatif Control pannel'!$B$6)*T508</f>
        <v>1819.6304</v>
      </c>
      <c r="V508" s="3" t="str">
        <f t="shared" si="111"/>
        <v>Medium</v>
      </c>
      <c r="W508" s="34">
        <v>0.235</v>
      </c>
      <c r="X508" s="24" t="str">
        <f t="shared" si="112"/>
        <v>High Discount</v>
      </c>
      <c r="Y508" s="36">
        <f>IF(W508&lt;=0.25,W508,'10. Whatif Control pannel'!$B$2)</f>
        <v>0.235</v>
      </c>
      <c r="Z508" s="24">
        <v>28</v>
      </c>
      <c r="AA508" s="13">
        <f>(1+'10. Whatif Control pannel'!$B$10)*Z508</f>
        <v>33.6</v>
      </c>
      <c r="AB508" s="3">
        <f t="shared" si="113"/>
        <v>34800.4314</v>
      </c>
      <c r="AC508" s="3">
        <f t="shared" si="118"/>
        <v>46771.7798016</v>
      </c>
      <c r="AD508" s="3">
        <f t="shared" si="114"/>
        <v>26103.28</v>
      </c>
      <c r="AE508" s="3">
        <f t="shared" si="115"/>
        <v>8697.1514</v>
      </c>
      <c r="AF508" s="3">
        <f t="shared" si="119"/>
        <v>20668.4998016</v>
      </c>
      <c r="AG508">
        <f t="shared" si="116"/>
        <v>0.249915045593372</v>
      </c>
    </row>
    <row r="509" spans="1:33">
      <c r="A509" t="s">
        <v>1115</v>
      </c>
      <c r="B509" s="20">
        <v>45589</v>
      </c>
      <c r="C509" s="2">
        <f t="shared" si="105"/>
        <v>10</v>
      </c>
      <c r="D509" s="21">
        <f t="shared" si="117"/>
        <v>45589</v>
      </c>
      <c r="E509" s="19" t="str">
        <f t="shared" si="106"/>
        <v>Quarter 4</v>
      </c>
      <c r="F509" s="19">
        <v>45593</v>
      </c>
      <c r="G509" s="19">
        <f t="shared" si="107"/>
        <v>45593</v>
      </c>
      <c r="H509" s="22">
        <f t="shared" si="108"/>
        <v>4</v>
      </c>
      <c r="I509" t="str">
        <f t="shared" si="109"/>
        <v>Ontime</v>
      </c>
      <c r="J509" t="s">
        <v>45</v>
      </c>
      <c r="K509" t="s">
        <v>116</v>
      </c>
      <c r="L509" t="s">
        <v>162</v>
      </c>
      <c r="M509" t="s">
        <v>62</v>
      </c>
      <c r="N509" t="s">
        <v>55</v>
      </c>
      <c r="O509" t="s">
        <v>34</v>
      </c>
      <c r="P509" t="s">
        <v>35</v>
      </c>
      <c r="Q509" t="s">
        <v>1116</v>
      </c>
      <c r="R509" s="3">
        <v>1331.77</v>
      </c>
      <c r="S509" s="3">
        <v>2606.11</v>
      </c>
      <c r="T509" s="3">
        <f t="shared" si="110"/>
        <v>2606.11</v>
      </c>
      <c r="U509" s="3">
        <f>(1+'10. Whatif Control pannel'!$B$6)*T509</f>
        <v>2918.8432</v>
      </c>
      <c r="V509" s="3" t="str">
        <f t="shared" si="111"/>
        <v>High</v>
      </c>
      <c r="W509" s="34">
        <v>0.02</v>
      </c>
      <c r="X509" s="24" t="str">
        <f t="shared" si="112"/>
        <v>Okay</v>
      </c>
      <c r="Y509" s="36">
        <f>IF(W509&lt;=0.25,W509,'10. Whatif Control pannel'!$B$2)</f>
        <v>0.02</v>
      </c>
      <c r="Z509" s="24">
        <v>6</v>
      </c>
      <c r="AA509" s="13">
        <f>(1+'10. Whatif Control pannel'!$B$10)*Z509</f>
        <v>7.2</v>
      </c>
      <c r="AB509" s="3">
        <f t="shared" si="113"/>
        <v>15323.9268</v>
      </c>
      <c r="AC509" s="3">
        <f t="shared" si="118"/>
        <v>20595.3576192</v>
      </c>
      <c r="AD509" s="3">
        <f t="shared" si="114"/>
        <v>7990.62</v>
      </c>
      <c r="AE509" s="3">
        <f t="shared" si="115"/>
        <v>7333.3068</v>
      </c>
      <c r="AF509" s="3">
        <f t="shared" si="119"/>
        <v>12604.7376192</v>
      </c>
      <c r="AG509">
        <f t="shared" si="116"/>
        <v>0.478552716657456</v>
      </c>
    </row>
    <row r="510" spans="1:33">
      <c r="A510" t="s">
        <v>1117</v>
      </c>
      <c r="B510" s="20">
        <v>45029</v>
      </c>
      <c r="C510" s="2">
        <f t="shared" si="105"/>
        <v>4</v>
      </c>
      <c r="D510" s="21">
        <f t="shared" si="117"/>
        <v>45029</v>
      </c>
      <c r="E510" s="19" t="str">
        <f t="shared" si="106"/>
        <v>Quarter 2</v>
      </c>
      <c r="F510" s="19">
        <v>45036</v>
      </c>
      <c r="G510" s="19">
        <f t="shared" si="107"/>
        <v>45036</v>
      </c>
      <c r="H510" s="22">
        <f t="shared" si="108"/>
        <v>7</v>
      </c>
      <c r="I510" t="str">
        <f t="shared" si="109"/>
        <v>Ontime</v>
      </c>
      <c r="J510" t="s">
        <v>78</v>
      </c>
      <c r="K510" t="s">
        <v>90</v>
      </c>
      <c r="L510" t="s">
        <v>138</v>
      </c>
      <c r="M510" t="s">
        <v>62</v>
      </c>
      <c r="N510" t="s">
        <v>28</v>
      </c>
      <c r="O510" t="s">
        <v>75</v>
      </c>
      <c r="P510" t="s">
        <v>57</v>
      </c>
      <c r="Q510" t="s">
        <v>1118</v>
      </c>
      <c r="R510" s="3">
        <v>227.02</v>
      </c>
      <c r="S510" s="3">
        <v>434.72</v>
      </c>
      <c r="T510" s="3">
        <f t="shared" si="110"/>
        <v>434.72</v>
      </c>
      <c r="U510" s="3">
        <f>(1+'10. Whatif Control pannel'!$B$6)*T510</f>
        <v>486.8864</v>
      </c>
      <c r="V510" s="3" t="str">
        <f t="shared" si="111"/>
        <v>Low</v>
      </c>
      <c r="W510" s="34">
        <v>0.098</v>
      </c>
      <c r="X510" s="24" t="str">
        <f t="shared" si="112"/>
        <v>Okay</v>
      </c>
      <c r="Y510" s="36">
        <f>IF(W510&lt;=0.25,W510,'10. Whatif Control pannel'!$B$2)</f>
        <v>0.098</v>
      </c>
      <c r="Z510" s="24">
        <v>10</v>
      </c>
      <c r="AA510" s="13">
        <f>(1+'10. Whatif Control pannel'!$B$10)*Z510</f>
        <v>12</v>
      </c>
      <c r="AB510" s="3">
        <f t="shared" si="113"/>
        <v>3921.1744</v>
      </c>
      <c r="AC510" s="3">
        <f t="shared" si="118"/>
        <v>5270.0583936</v>
      </c>
      <c r="AD510" s="3">
        <f t="shared" si="114"/>
        <v>2270.2</v>
      </c>
      <c r="AE510" s="3">
        <f t="shared" si="115"/>
        <v>1650.9744</v>
      </c>
      <c r="AF510" s="3">
        <f t="shared" si="119"/>
        <v>2999.8583936</v>
      </c>
      <c r="AG510">
        <f t="shared" si="116"/>
        <v>0.421040798389381</v>
      </c>
    </row>
    <row r="511" spans="1:33">
      <c r="A511" t="s">
        <v>1119</v>
      </c>
      <c r="B511" s="20">
        <v>45608</v>
      </c>
      <c r="C511" s="2">
        <f t="shared" si="105"/>
        <v>11</v>
      </c>
      <c r="D511" s="21">
        <f t="shared" si="117"/>
        <v>45608</v>
      </c>
      <c r="E511" s="19" t="str">
        <f t="shared" si="106"/>
        <v>Quarter 4</v>
      </c>
      <c r="F511" s="19">
        <v>45617</v>
      </c>
      <c r="G511" s="19">
        <f t="shared" si="107"/>
        <v>45617</v>
      </c>
      <c r="H511" s="22">
        <f t="shared" si="108"/>
        <v>9</v>
      </c>
      <c r="I511" t="str">
        <f t="shared" si="109"/>
        <v>Delayed </v>
      </c>
      <c r="J511" t="s">
        <v>45</v>
      </c>
      <c r="K511" t="s">
        <v>60</v>
      </c>
      <c r="L511" t="s">
        <v>220</v>
      </c>
      <c r="M511" t="s">
        <v>19</v>
      </c>
      <c r="N511" t="s">
        <v>98</v>
      </c>
      <c r="O511" t="s">
        <v>92</v>
      </c>
      <c r="P511" t="s">
        <v>57</v>
      </c>
      <c r="Q511" t="s">
        <v>1120</v>
      </c>
      <c r="R511" s="3">
        <v>903.41</v>
      </c>
      <c r="S511" s="3">
        <v>1860.41</v>
      </c>
      <c r="T511" s="3">
        <f t="shared" si="110"/>
        <v>1860.41</v>
      </c>
      <c r="U511" s="3">
        <f>(1+'10. Whatif Control pannel'!$B$6)*T511</f>
        <v>2083.6592</v>
      </c>
      <c r="V511" s="3" t="str">
        <f t="shared" si="111"/>
        <v>High</v>
      </c>
      <c r="W511" s="34">
        <v>0.108</v>
      </c>
      <c r="X511" s="24" t="str">
        <f t="shared" si="112"/>
        <v>Okay</v>
      </c>
      <c r="Y511" s="36">
        <f>IF(W511&lt;=0.25,W511,'10. Whatif Control pannel'!$B$2)</f>
        <v>0.108</v>
      </c>
      <c r="Z511" s="24">
        <v>5</v>
      </c>
      <c r="AA511" s="13">
        <f>(1+'10. Whatif Control pannel'!$B$10)*Z511</f>
        <v>6</v>
      </c>
      <c r="AB511" s="3">
        <f t="shared" si="113"/>
        <v>8297.4286</v>
      </c>
      <c r="AC511" s="3">
        <f t="shared" si="118"/>
        <v>11151.7440384</v>
      </c>
      <c r="AD511" s="3">
        <f t="shared" si="114"/>
        <v>4517.05</v>
      </c>
      <c r="AE511" s="3">
        <f t="shared" si="115"/>
        <v>3780.3786</v>
      </c>
      <c r="AF511" s="3">
        <f t="shared" si="119"/>
        <v>6634.6940384</v>
      </c>
      <c r="AG511">
        <f t="shared" si="116"/>
        <v>0.455608451996803</v>
      </c>
    </row>
    <row r="512" spans="1:33">
      <c r="A512" t="s">
        <v>1121</v>
      </c>
      <c r="B512" s="20">
        <v>45056</v>
      </c>
      <c r="C512" s="2">
        <f t="shared" si="105"/>
        <v>5</v>
      </c>
      <c r="D512" s="21">
        <f t="shared" si="117"/>
        <v>45056</v>
      </c>
      <c r="E512" s="19" t="str">
        <f t="shared" si="106"/>
        <v>Quarter 2</v>
      </c>
      <c r="F512" s="19">
        <v>45060</v>
      </c>
      <c r="G512" s="19">
        <f t="shared" si="107"/>
        <v>45060</v>
      </c>
      <c r="H512" s="22">
        <f t="shared" si="108"/>
        <v>4</v>
      </c>
      <c r="I512" t="str">
        <f t="shared" si="109"/>
        <v>Ontime</v>
      </c>
      <c r="J512" t="s">
        <v>45</v>
      </c>
      <c r="K512" t="s">
        <v>60</v>
      </c>
      <c r="L512" t="s">
        <v>141</v>
      </c>
      <c r="M512" t="s">
        <v>39</v>
      </c>
      <c r="N512" t="s">
        <v>55</v>
      </c>
      <c r="O512" t="s">
        <v>21</v>
      </c>
      <c r="P512" t="s">
        <v>64</v>
      </c>
      <c r="Q512" t="s">
        <v>1122</v>
      </c>
      <c r="R512" s="3">
        <v>622.6</v>
      </c>
      <c r="S512" s="3">
        <v>833.69</v>
      </c>
      <c r="T512" s="3">
        <f t="shared" si="110"/>
        <v>833.69</v>
      </c>
      <c r="U512" s="3">
        <f>(1+'10. Whatif Control pannel'!$B$6)*T512</f>
        <v>933.7328</v>
      </c>
      <c r="V512" s="3" t="str">
        <f t="shared" si="111"/>
        <v>Low</v>
      </c>
      <c r="W512" s="34">
        <v>0.209</v>
      </c>
      <c r="X512" s="24" t="str">
        <f t="shared" si="112"/>
        <v>High Discount</v>
      </c>
      <c r="Y512" s="36">
        <f>IF(W512&lt;=0.25,W512,'10. Whatif Control pannel'!$B$2)</f>
        <v>0.209</v>
      </c>
      <c r="Z512" s="24">
        <v>14</v>
      </c>
      <c r="AA512" s="13">
        <f>(1+'10. Whatif Control pannel'!$B$10)*Z512</f>
        <v>16.8</v>
      </c>
      <c r="AB512" s="3">
        <f t="shared" si="113"/>
        <v>9232.28306</v>
      </c>
      <c r="AC512" s="3">
        <f t="shared" si="118"/>
        <v>12408.18843264</v>
      </c>
      <c r="AD512" s="3">
        <f t="shared" si="114"/>
        <v>8716.4</v>
      </c>
      <c r="AE512" s="3">
        <f t="shared" si="115"/>
        <v>515.88306</v>
      </c>
      <c r="AF512" s="3">
        <f t="shared" si="119"/>
        <v>3691.78843264</v>
      </c>
      <c r="AG512">
        <f t="shared" si="116"/>
        <v>0.0558781675829597</v>
      </c>
    </row>
    <row r="513" spans="1:33">
      <c r="A513" t="s">
        <v>1123</v>
      </c>
      <c r="B513" s="20">
        <v>45353</v>
      </c>
      <c r="C513" s="2">
        <f t="shared" si="105"/>
        <v>3</v>
      </c>
      <c r="D513" s="21">
        <f t="shared" si="117"/>
        <v>45353</v>
      </c>
      <c r="E513" s="19" t="str">
        <f t="shared" si="106"/>
        <v>Quarter 1</v>
      </c>
      <c r="F513" s="19">
        <v>45374</v>
      </c>
      <c r="G513" s="19">
        <f t="shared" si="107"/>
        <v>45374</v>
      </c>
      <c r="H513" s="22">
        <f t="shared" si="108"/>
        <v>21</v>
      </c>
      <c r="I513" t="str">
        <f t="shared" si="109"/>
        <v>Delayed </v>
      </c>
      <c r="J513" t="s">
        <v>52</v>
      </c>
      <c r="K513" t="s">
        <v>122</v>
      </c>
      <c r="L513" t="s">
        <v>123</v>
      </c>
      <c r="M513" t="s">
        <v>62</v>
      </c>
      <c r="N513" t="s">
        <v>28</v>
      </c>
      <c r="O513" t="s">
        <v>84</v>
      </c>
      <c r="P513" t="s">
        <v>22</v>
      </c>
      <c r="Q513" t="s">
        <v>1124</v>
      </c>
      <c r="R513" s="3">
        <v>225.01</v>
      </c>
      <c r="S513" s="3">
        <v>333.48</v>
      </c>
      <c r="T513" s="3">
        <f t="shared" si="110"/>
        <v>333.48</v>
      </c>
      <c r="U513" s="3">
        <f>(1+'10. Whatif Control pannel'!$B$6)*T513</f>
        <v>373.4976</v>
      </c>
      <c r="V513" s="3" t="str">
        <f t="shared" si="111"/>
        <v>Low</v>
      </c>
      <c r="W513" s="34">
        <v>0.119</v>
      </c>
      <c r="X513" s="24" t="str">
        <f t="shared" si="112"/>
        <v>Okay</v>
      </c>
      <c r="Y513" s="36">
        <f>IF(W513&lt;=0.25,W513,'10. Whatif Control pannel'!$B$2)</f>
        <v>0.119</v>
      </c>
      <c r="Z513" s="24">
        <v>12</v>
      </c>
      <c r="AA513" s="13">
        <f>(1+'10. Whatif Control pannel'!$B$10)*Z513</f>
        <v>14.4</v>
      </c>
      <c r="AB513" s="3">
        <f t="shared" si="113"/>
        <v>3525.55056</v>
      </c>
      <c r="AC513" s="3">
        <f t="shared" si="118"/>
        <v>4738.33995264</v>
      </c>
      <c r="AD513" s="3">
        <f t="shared" si="114"/>
        <v>2700.12</v>
      </c>
      <c r="AE513" s="3">
        <f t="shared" si="115"/>
        <v>825.43056</v>
      </c>
      <c r="AF513" s="3">
        <f t="shared" si="119"/>
        <v>2038.21995264</v>
      </c>
      <c r="AG513">
        <f t="shared" si="116"/>
        <v>0.234128130047297</v>
      </c>
    </row>
    <row r="514" spans="1:33">
      <c r="A514" t="s">
        <v>1125</v>
      </c>
      <c r="B514" s="20">
        <v>45575</v>
      </c>
      <c r="C514" s="2">
        <f t="shared" ref="C514:C577" si="120">MONTH(B514)</f>
        <v>10</v>
      </c>
      <c r="D514" s="21">
        <f t="shared" si="117"/>
        <v>45575</v>
      </c>
      <c r="E514" s="19" t="str">
        <f t="shared" ref="E514:E577" si="121">IF(AND(MONTH(B514)&gt;=1,MONTH(B514)&lt;=3),"Quarter 1",IF(AND(MONTH(B514)&gt;=4,MONTH(B514)&lt;=6),"Quarter 2",IF(AND(MONTH(B514)&gt;=7,MONTH(B514)&lt;=9),"Quarter 3",IF(AND(MONTH(B514)&gt;=10,MONTH(B514)&lt;=12),"Quarter 4"))))</f>
        <v>Quarter 4</v>
      </c>
      <c r="F514" s="19">
        <v>45576</v>
      </c>
      <c r="G514" s="19">
        <f t="shared" ref="G514:G577" si="122">IF(B514&gt;F514,B514+7,F514)</f>
        <v>45576</v>
      </c>
      <c r="H514" s="22">
        <f t="shared" ref="H514:H577" si="123">G514-B514</f>
        <v>1</v>
      </c>
      <c r="I514" t="str">
        <f t="shared" ref="I514:I577" si="124">IF(H514&lt;=7,"Ontime","Delayed ")</f>
        <v>Ontime</v>
      </c>
      <c r="J514" t="s">
        <v>78</v>
      </c>
      <c r="K514" t="s">
        <v>108</v>
      </c>
      <c r="L514" t="s">
        <v>228</v>
      </c>
      <c r="M514" t="s">
        <v>39</v>
      </c>
      <c r="N514" t="s">
        <v>55</v>
      </c>
      <c r="O514" t="s">
        <v>49</v>
      </c>
      <c r="P514" t="s">
        <v>22</v>
      </c>
      <c r="Q514" t="s">
        <v>1126</v>
      </c>
      <c r="R514" s="3">
        <v>1389.46</v>
      </c>
      <c r="S514" s="3">
        <v>1784.7</v>
      </c>
      <c r="T514" s="3">
        <f t="shared" ref="T514:T577" si="125">IF(S514&lt;=0,R514,S514)</f>
        <v>1784.7</v>
      </c>
      <c r="U514" s="3">
        <f>(1+'10. Whatif Control pannel'!$B$6)*T514</f>
        <v>1998.864</v>
      </c>
      <c r="V514" s="3" t="str">
        <f t="shared" ref="V514:V577" si="126">IF(T514&lt;=_xlfn.PERCENTILE.INC(T514:T1145,33%),"Low",IF(T514&lt;=_xlfn.PERCENTILE.INC(T514:T1145,67%),"Medium","High"))</f>
        <v>High</v>
      </c>
      <c r="W514" s="34">
        <v>0.146</v>
      </c>
      <c r="X514" s="24" t="str">
        <f t="shared" ref="X514:X577" si="127">IF(W514&gt;0.2,"High Discount","Okay")</f>
        <v>Okay</v>
      </c>
      <c r="Y514" s="36">
        <f>IF(W514&lt;=0.25,W514,'10. Whatif Control pannel'!$B$2)</f>
        <v>0.146</v>
      </c>
      <c r="Z514" s="24">
        <v>33</v>
      </c>
      <c r="AA514" s="13">
        <f>(1+'10. Whatif Control pannel'!$B$10)*Z514</f>
        <v>39.6</v>
      </c>
      <c r="AB514" s="3">
        <f t="shared" ref="AB514:AB577" si="128">T514*Z514*(1-W514)</f>
        <v>50296.4154</v>
      </c>
      <c r="AC514" s="3">
        <f t="shared" si="118"/>
        <v>67598.3822976</v>
      </c>
      <c r="AD514" s="3">
        <f t="shared" ref="AD514:AD577" si="129">R514*Z514</f>
        <v>45852.18</v>
      </c>
      <c r="AE514" s="3">
        <f t="shared" ref="AE514:AE577" si="130">AB514-AD514</f>
        <v>4444.2354</v>
      </c>
      <c r="AF514" s="3">
        <f t="shared" si="119"/>
        <v>21746.2022976</v>
      </c>
      <c r="AG514">
        <f t="shared" ref="AG514:AG577" si="131">IF(AB514=0,0,AE514/AB514)</f>
        <v>0.0883608775030118</v>
      </c>
    </row>
    <row r="515" spans="1:33">
      <c r="A515" t="s">
        <v>1127</v>
      </c>
      <c r="B515" s="20">
        <v>45078</v>
      </c>
      <c r="C515" s="2">
        <f t="shared" si="120"/>
        <v>6</v>
      </c>
      <c r="D515" s="21">
        <f t="shared" ref="D515:D578" si="132">B515</f>
        <v>45078</v>
      </c>
      <c r="E515" s="19" t="str">
        <f t="shared" si="121"/>
        <v>Quarter 2</v>
      </c>
      <c r="F515" s="19">
        <v>45085</v>
      </c>
      <c r="G515" s="19">
        <f t="shared" si="122"/>
        <v>45085</v>
      </c>
      <c r="H515" s="22">
        <f t="shared" si="123"/>
        <v>7</v>
      </c>
      <c r="I515" t="str">
        <f t="shared" si="124"/>
        <v>Ontime</v>
      </c>
      <c r="J515" t="s">
        <v>78</v>
      </c>
      <c r="K515" t="s">
        <v>79</v>
      </c>
      <c r="L515" t="s">
        <v>335</v>
      </c>
      <c r="M515" t="s">
        <v>48</v>
      </c>
      <c r="N515" t="s">
        <v>28</v>
      </c>
      <c r="O515" t="s">
        <v>75</v>
      </c>
      <c r="P515" t="s">
        <v>42</v>
      </c>
      <c r="Q515" t="s">
        <v>1128</v>
      </c>
      <c r="R515" s="3">
        <v>804.17</v>
      </c>
      <c r="S515" s="3">
        <v>1072.29</v>
      </c>
      <c r="T515" s="3">
        <f t="shared" si="125"/>
        <v>1072.29</v>
      </c>
      <c r="U515" s="3">
        <f>(1+'10. Whatif Control pannel'!$B$6)*T515</f>
        <v>1200.9648</v>
      </c>
      <c r="V515" s="3" t="str">
        <f t="shared" si="126"/>
        <v>Medium</v>
      </c>
      <c r="W515" s="34">
        <v>0.032</v>
      </c>
      <c r="X515" s="24" t="str">
        <f t="shared" si="127"/>
        <v>Okay</v>
      </c>
      <c r="Y515" s="36">
        <f>IF(W515&lt;=0.25,W515,'10. Whatif Control pannel'!$B$2)</f>
        <v>0.032</v>
      </c>
      <c r="Z515" s="24">
        <v>5</v>
      </c>
      <c r="AA515" s="13">
        <f>(1+'10. Whatif Control pannel'!$B$10)*Z515</f>
        <v>6</v>
      </c>
      <c r="AB515" s="3">
        <f t="shared" si="128"/>
        <v>5189.8836</v>
      </c>
      <c r="AC515" s="3">
        <f t="shared" ref="AC515:AC578" si="133">U515*AA515*(1-Y515)</f>
        <v>6975.2035584</v>
      </c>
      <c r="AD515" s="3">
        <f t="shared" si="129"/>
        <v>4020.85</v>
      </c>
      <c r="AE515" s="3">
        <f t="shared" si="130"/>
        <v>1169.0336</v>
      </c>
      <c r="AF515" s="3">
        <f t="shared" ref="AF515:AF578" si="134">AC515-AD515</f>
        <v>2954.3535584</v>
      </c>
      <c r="AG515">
        <f t="shared" si="131"/>
        <v>0.225252373675587</v>
      </c>
    </row>
    <row r="516" spans="1:33">
      <c r="A516" t="s">
        <v>1129</v>
      </c>
      <c r="B516" s="20">
        <v>45661</v>
      </c>
      <c r="C516" s="2">
        <f t="shared" si="120"/>
        <v>1</v>
      </c>
      <c r="D516" s="21">
        <f t="shared" si="132"/>
        <v>45661</v>
      </c>
      <c r="E516" s="19" t="str">
        <f t="shared" si="121"/>
        <v>Quarter 1</v>
      </c>
      <c r="F516" s="19">
        <v>45662</v>
      </c>
      <c r="G516" s="19">
        <f t="shared" si="122"/>
        <v>45662</v>
      </c>
      <c r="H516" s="22">
        <f t="shared" si="123"/>
        <v>1</v>
      </c>
      <c r="I516" t="str">
        <f t="shared" si="124"/>
        <v>Ontime</v>
      </c>
      <c r="J516" t="s">
        <v>45</v>
      </c>
      <c r="K516" t="s">
        <v>60</v>
      </c>
      <c r="L516" t="s">
        <v>141</v>
      </c>
      <c r="M516" t="s">
        <v>27</v>
      </c>
      <c r="N516" t="s">
        <v>20</v>
      </c>
      <c r="O516" t="s">
        <v>34</v>
      </c>
      <c r="P516" t="s">
        <v>22</v>
      </c>
      <c r="Q516" t="s">
        <v>1130</v>
      </c>
      <c r="R516" s="3">
        <v>1428.33</v>
      </c>
      <c r="S516" s="3">
        <v>3028.05</v>
      </c>
      <c r="T516" s="3">
        <f t="shared" si="125"/>
        <v>3028.05</v>
      </c>
      <c r="U516" s="3">
        <f>(1+'10. Whatif Control pannel'!$B$6)*T516</f>
        <v>3391.416</v>
      </c>
      <c r="V516" s="3" t="str">
        <f t="shared" si="126"/>
        <v>High</v>
      </c>
      <c r="W516" s="34">
        <v>0</v>
      </c>
      <c r="X516" s="24" t="str">
        <f t="shared" si="127"/>
        <v>Okay</v>
      </c>
      <c r="Y516" s="36">
        <f>IF(W516&lt;=0.25,W516,'10. Whatif Control pannel'!$B$2)</f>
        <v>0</v>
      </c>
      <c r="Z516" s="24">
        <v>11</v>
      </c>
      <c r="AA516" s="13">
        <f>(1+'10. Whatif Control pannel'!$B$10)*Z516</f>
        <v>13.2</v>
      </c>
      <c r="AB516" s="3">
        <f t="shared" si="128"/>
        <v>33308.55</v>
      </c>
      <c r="AC516" s="3">
        <f t="shared" si="133"/>
        <v>44766.6912</v>
      </c>
      <c r="AD516" s="3">
        <f t="shared" si="129"/>
        <v>15711.63</v>
      </c>
      <c r="AE516" s="3">
        <f t="shared" si="130"/>
        <v>17596.92</v>
      </c>
      <c r="AF516" s="3">
        <f t="shared" si="134"/>
        <v>29055.0612</v>
      </c>
      <c r="AG516">
        <f t="shared" si="131"/>
        <v>0.528300391340962</v>
      </c>
    </row>
    <row r="517" spans="1:33">
      <c r="A517" t="s">
        <v>1131</v>
      </c>
      <c r="B517" s="20">
        <v>45874</v>
      </c>
      <c r="C517" s="2">
        <f t="shared" si="120"/>
        <v>8</v>
      </c>
      <c r="D517" s="21">
        <f t="shared" si="132"/>
        <v>45874</v>
      </c>
      <c r="E517" s="19" t="str">
        <f t="shared" si="121"/>
        <v>Quarter 3</v>
      </c>
      <c r="F517" s="19">
        <v>45897</v>
      </c>
      <c r="G517" s="19">
        <f t="shared" si="122"/>
        <v>45897</v>
      </c>
      <c r="H517" s="22">
        <f t="shared" si="123"/>
        <v>23</v>
      </c>
      <c r="I517" t="str">
        <f t="shared" si="124"/>
        <v>Delayed </v>
      </c>
      <c r="J517" t="s">
        <v>45</v>
      </c>
      <c r="K517" t="s">
        <v>60</v>
      </c>
      <c r="L517" t="s">
        <v>220</v>
      </c>
      <c r="M517" t="s">
        <v>39</v>
      </c>
      <c r="N517" t="s">
        <v>55</v>
      </c>
      <c r="O517" t="s">
        <v>126</v>
      </c>
      <c r="P517" t="s">
        <v>57</v>
      </c>
      <c r="Q517" t="s">
        <v>1132</v>
      </c>
      <c r="R517" s="3">
        <v>638.54</v>
      </c>
      <c r="S517" s="3">
        <v>987.24</v>
      </c>
      <c r="T517" s="3">
        <f t="shared" si="125"/>
        <v>987.24</v>
      </c>
      <c r="U517" s="3">
        <f>(1+'10. Whatif Control pannel'!$B$6)*T517</f>
        <v>1105.7088</v>
      </c>
      <c r="V517" s="3" t="str">
        <f t="shared" si="126"/>
        <v>Medium</v>
      </c>
      <c r="W517" s="34">
        <v>0</v>
      </c>
      <c r="X517" s="24" t="str">
        <f t="shared" si="127"/>
        <v>Okay</v>
      </c>
      <c r="Y517" s="36">
        <f>IF(W517&lt;=0.25,W517,'10. Whatif Control pannel'!$B$2)</f>
        <v>0</v>
      </c>
      <c r="Z517" s="24">
        <v>11</v>
      </c>
      <c r="AA517" s="13">
        <f>(1+'10. Whatif Control pannel'!$B$10)*Z517</f>
        <v>13.2</v>
      </c>
      <c r="AB517" s="3">
        <f t="shared" si="128"/>
        <v>10859.64</v>
      </c>
      <c r="AC517" s="3">
        <f t="shared" si="133"/>
        <v>14595.35616</v>
      </c>
      <c r="AD517" s="3">
        <f t="shared" si="129"/>
        <v>7023.94</v>
      </c>
      <c r="AE517" s="3">
        <f t="shared" si="130"/>
        <v>3835.7</v>
      </c>
      <c r="AF517" s="3">
        <f t="shared" si="134"/>
        <v>7571.41616</v>
      </c>
      <c r="AG517">
        <f t="shared" si="131"/>
        <v>0.353206920303067</v>
      </c>
    </row>
    <row r="518" spans="1:33">
      <c r="A518" t="s">
        <v>1133</v>
      </c>
      <c r="B518" s="20">
        <v>45199</v>
      </c>
      <c r="C518" s="2">
        <f t="shared" si="120"/>
        <v>9</v>
      </c>
      <c r="D518" s="21">
        <f t="shared" si="132"/>
        <v>45199</v>
      </c>
      <c r="E518" s="19" t="str">
        <f t="shared" si="121"/>
        <v>Quarter 3</v>
      </c>
      <c r="F518" s="19">
        <v>45229</v>
      </c>
      <c r="G518" s="19">
        <f t="shared" si="122"/>
        <v>45229</v>
      </c>
      <c r="H518" s="22">
        <f t="shared" si="123"/>
        <v>30</v>
      </c>
      <c r="I518" t="str">
        <f t="shared" si="124"/>
        <v>Delayed </v>
      </c>
      <c r="J518" t="s">
        <v>45</v>
      </c>
      <c r="K518" t="s">
        <v>46</v>
      </c>
      <c r="L518" t="s">
        <v>214</v>
      </c>
      <c r="M518" t="s">
        <v>105</v>
      </c>
      <c r="N518" t="s">
        <v>28</v>
      </c>
      <c r="O518" t="s">
        <v>145</v>
      </c>
      <c r="P518" t="s">
        <v>30</v>
      </c>
      <c r="Q518" t="s">
        <v>1134</v>
      </c>
      <c r="R518" s="3">
        <v>649.13</v>
      </c>
      <c r="S518" s="3">
        <v>975.43</v>
      </c>
      <c r="T518" s="3">
        <f t="shared" si="125"/>
        <v>975.43</v>
      </c>
      <c r="U518" s="3">
        <f>(1+'10. Whatif Control pannel'!$B$6)*T518</f>
        <v>1092.4816</v>
      </c>
      <c r="V518" s="3" t="str">
        <f t="shared" si="126"/>
        <v>Medium</v>
      </c>
      <c r="W518" s="34">
        <v>0.157</v>
      </c>
      <c r="X518" s="24" t="str">
        <f t="shared" si="127"/>
        <v>Okay</v>
      </c>
      <c r="Y518" s="36">
        <f>IF(W518&lt;=0.25,W518,'10. Whatif Control pannel'!$B$2)</f>
        <v>0.157</v>
      </c>
      <c r="Z518" s="24">
        <v>27</v>
      </c>
      <c r="AA518" s="13">
        <f>(1+'10. Whatif Control pannel'!$B$10)*Z518</f>
        <v>32.4</v>
      </c>
      <c r="AB518" s="3">
        <f t="shared" si="128"/>
        <v>22201.76223</v>
      </c>
      <c r="AC518" s="3">
        <f t="shared" si="133"/>
        <v>29839.16843712</v>
      </c>
      <c r="AD518" s="3">
        <f t="shared" si="129"/>
        <v>17526.51</v>
      </c>
      <c r="AE518" s="3">
        <f t="shared" si="130"/>
        <v>4675.25223</v>
      </c>
      <c r="AF518" s="3">
        <f t="shared" si="134"/>
        <v>12312.65843712</v>
      </c>
      <c r="AG518">
        <f t="shared" si="131"/>
        <v>0.210580231495435</v>
      </c>
    </row>
    <row r="519" spans="1:33">
      <c r="A519" t="s">
        <v>1135</v>
      </c>
      <c r="B519" s="20">
        <v>45794</v>
      </c>
      <c r="C519" s="2">
        <f t="shared" si="120"/>
        <v>5</v>
      </c>
      <c r="D519" s="21">
        <f t="shared" si="132"/>
        <v>45794</v>
      </c>
      <c r="E519" s="19" t="str">
        <f t="shared" si="121"/>
        <v>Quarter 2</v>
      </c>
      <c r="F519" s="19">
        <v>45807</v>
      </c>
      <c r="G519" s="19">
        <f t="shared" si="122"/>
        <v>45807</v>
      </c>
      <c r="H519" s="22">
        <f t="shared" si="123"/>
        <v>13</v>
      </c>
      <c r="I519" t="str">
        <f t="shared" si="124"/>
        <v>Delayed </v>
      </c>
      <c r="J519" t="s">
        <v>16</v>
      </c>
      <c r="K519" t="s">
        <v>25</v>
      </c>
      <c r="L519" t="s">
        <v>38</v>
      </c>
      <c r="M519" t="s">
        <v>48</v>
      </c>
      <c r="N519" t="s">
        <v>55</v>
      </c>
      <c r="O519" t="s">
        <v>84</v>
      </c>
      <c r="P519" t="s">
        <v>81</v>
      </c>
      <c r="Q519" t="s">
        <v>1136</v>
      </c>
      <c r="R519" s="3">
        <v>66.4</v>
      </c>
      <c r="S519" s="3">
        <v>141.43</v>
      </c>
      <c r="T519" s="3">
        <f t="shared" si="125"/>
        <v>141.43</v>
      </c>
      <c r="U519" s="3">
        <f>(1+'10. Whatif Control pannel'!$B$6)*T519</f>
        <v>158.4016</v>
      </c>
      <c r="V519" s="3" t="str">
        <f t="shared" si="126"/>
        <v>Low</v>
      </c>
      <c r="W519" s="34">
        <v>0.107</v>
      </c>
      <c r="X519" s="24" t="str">
        <f t="shared" si="127"/>
        <v>Okay</v>
      </c>
      <c r="Y519" s="36">
        <f>IF(W519&lt;=0.25,W519,'10. Whatif Control pannel'!$B$2)</f>
        <v>0.107</v>
      </c>
      <c r="Z519" s="24">
        <v>8</v>
      </c>
      <c r="AA519" s="13">
        <f>(1+'10. Whatif Control pannel'!$B$10)*Z519</f>
        <v>9.6</v>
      </c>
      <c r="AB519" s="3">
        <f t="shared" si="128"/>
        <v>1010.37592</v>
      </c>
      <c r="AC519" s="3">
        <f t="shared" si="133"/>
        <v>1357.94523648</v>
      </c>
      <c r="AD519" s="3">
        <f t="shared" si="129"/>
        <v>531.2</v>
      </c>
      <c r="AE519" s="3">
        <f t="shared" si="130"/>
        <v>479.17592</v>
      </c>
      <c r="AF519" s="3">
        <f t="shared" si="134"/>
        <v>826.74523648</v>
      </c>
      <c r="AG519">
        <f t="shared" si="131"/>
        <v>0.474255087156076</v>
      </c>
    </row>
    <row r="520" spans="1:33">
      <c r="A520" t="s">
        <v>1137</v>
      </c>
      <c r="B520" s="20">
        <v>45413</v>
      </c>
      <c r="C520" s="2">
        <f t="shared" si="120"/>
        <v>5</v>
      </c>
      <c r="D520" s="21">
        <f t="shared" si="132"/>
        <v>45413</v>
      </c>
      <c r="E520" s="19" t="str">
        <f t="shared" si="121"/>
        <v>Quarter 2</v>
      </c>
      <c r="F520" s="19">
        <v>45438</v>
      </c>
      <c r="G520" s="19">
        <f t="shared" si="122"/>
        <v>45438</v>
      </c>
      <c r="H520" s="22">
        <f t="shared" si="123"/>
        <v>25</v>
      </c>
      <c r="I520" t="str">
        <f t="shared" si="124"/>
        <v>Delayed </v>
      </c>
      <c r="J520" t="s">
        <v>78</v>
      </c>
      <c r="K520" t="s">
        <v>79</v>
      </c>
      <c r="L520" t="s">
        <v>80</v>
      </c>
      <c r="M520" t="s">
        <v>39</v>
      </c>
      <c r="N520" t="s">
        <v>20</v>
      </c>
      <c r="O520" t="s">
        <v>56</v>
      </c>
      <c r="P520" t="s">
        <v>35</v>
      </c>
      <c r="Q520" t="s">
        <v>1138</v>
      </c>
      <c r="R520" s="3">
        <v>930.71</v>
      </c>
      <c r="S520" s="3">
        <v>1625.42</v>
      </c>
      <c r="T520" s="3">
        <f t="shared" si="125"/>
        <v>1625.42</v>
      </c>
      <c r="U520" s="3">
        <f>(1+'10. Whatif Control pannel'!$B$6)*T520</f>
        <v>1820.4704</v>
      </c>
      <c r="V520" s="3" t="str">
        <f t="shared" si="126"/>
        <v>Medium</v>
      </c>
      <c r="W520" s="34">
        <v>0.138</v>
      </c>
      <c r="X520" s="24" t="str">
        <f t="shared" si="127"/>
        <v>Okay</v>
      </c>
      <c r="Y520" s="36">
        <f>IF(W520&lt;=0.25,W520,'10. Whatif Control pannel'!$B$2)</f>
        <v>0.138</v>
      </c>
      <c r="Z520" s="24">
        <v>7</v>
      </c>
      <c r="AA520" s="13">
        <f>(1+'10. Whatif Control pannel'!$B$10)*Z520</f>
        <v>8.4</v>
      </c>
      <c r="AB520" s="3">
        <f t="shared" si="128"/>
        <v>9807.78428</v>
      </c>
      <c r="AC520" s="3">
        <f t="shared" si="133"/>
        <v>13181.66207232</v>
      </c>
      <c r="AD520" s="3">
        <f t="shared" si="129"/>
        <v>6514.97</v>
      </c>
      <c r="AE520" s="3">
        <f t="shared" si="130"/>
        <v>3292.81428</v>
      </c>
      <c r="AF520" s="3">
        <f t="shared" si="134"/>
        <v>6666.69207232</v>
      </c>
      <c r="AG520">
        <f t="shared" si="131"/>
        <v>0.335734778212312</v>
      </c>
    </row>
    <row r="521" spans="1:33">
      <c r="A521" t="s">
        <v>1139</v>
      </c>
      <c r="B521" s="20">
        <v>45047</v>
      </c>
      <c r="C521" s="2">
        <f t="shared" si="120"/>
        <v>5</v>
      </c>
      <c r="D521" s="21">
        <f t="shared" si="132"/>
        <v>45047</v>
      </c>
      <c r="E521" s="19" t="str">
        <f t="shared" si="121"/>
        <v>Quarter 2</v>
      </c>
      <c r="F521" s="19">
        <v>45064</v>
      </c>
      <c r="G521" s="19">
        <f t="shared" si="122"/>
        <v>45064</v>
      </c>
      <c r="H521" s="22">
        <f t="shared" si="123"/>
        <v>17</v>
      </c>
      <c r="I521" t="str">
        <f t="shared" si="124"/>
        <v>Delayed </v>
      </c>
      <c r="J521" t="s">
        <v>16</v>
      </c>
      <c r="K521" t="s">
        <v>25</v>
      </c>
      <c r="L521" t="s">
        <v>26</v>
      </c>
      <c r="M521" t="s">
        <v>19</v>
      </c>
      <c r="N521" t="s">
        <v>98</v>
      </c>
      <c r="O521" t="s">
        <v>84</v>
      </c>
      <c r="P521" t="s">
        <v>22</v>
      </c>
      <c r="Q521" t="s">
        <v>1140</v>
      </c>
      <c r="R521" s="3">
        <v>327.97</v>
      </c>
      <c r="S521" s="3">
        <v>299.94</v>
      </c>
      <c r="T521" s="3">
        <f t="shared" si="125"/>
        <v>299.94</v>
      </c>
      <c r="U521" s="3">
        <f>(1+'10. Whatif Control pannel'!$B$6)*T521</f>
        <v>335.9328</v>
      </c>
      <c r="V521" s="3" t="str">
        <f t="shared" si="126"/>
        <v>Low</v>
      </c>
      <c r="W521" s="34">
        <v>0.049</v>
      </c>
      <c r="X521" s="24" t="str">
        <f t="shared" si="127"/>
        <v>Okay</v>
      </c>
      <c r="Y521" s="36">
        <f>IF(W521&lt;=0.25,W521,'10. Whatif Control pannel'!$B$2)</f>
        <v>0.049</v>
      </c>
      <c r="Z521" s="24">
        <v>3</v>
      </c>
      <c r="AA521" s="13">
        <f>(1+'10. Whatif Control pannel'!$B$10)*Z521</f>
        <v>3.6</v>
      </c>
      <c r="AB521" s="3">
        <f t="shared" si="128"/>
        <v>855.72882</v>
      </c>
      <c r="AC521" s="3">
        <f t="shared" si="133"/>
        <v>1150.09953408</v>
      </c>
      <c r="AD521" s="3">
        <f t="shared" si="129"/>
        <v>983.91</v>
      </c>
      <c r="AE521" s="3">
        <f t="shared" si="130"/>
        <v>-128.18118</v>
      </c>
      <c r="AF521" s="3">
        <f t="shared" si="134"/>
        <v>166.18953408</v>
      </c>
      <c r="AG521">
        <f t="shared" si="131"/>
        <v>-0.149791823068434</v>
      </c>
    </row>
    <row r="522" spans="1:33">
      <c r="A522" t="s">
        <v>1141</v>
      </c>
      <c r="B522" s="20">
        <v>45482</v>
      </c>
      <c r="C522" s="2">
        <f t="shared" si="120"/>
        <v>7</v>
      </c>
      <c r="D522" s="21">
        <f t="shared" si="132"/>
        <v>45482</v>
      </c>
      <c r="E522" s="19" t="str">
        <f t="shared" si="121"/>
        <v>Quarter 3</v>
      </c>
      <c r="F522" s="19">
        <v>45512</v>
      </c>
      <c r="G522" s="19">
        <f t="shared" si="122"/>
        <v>45512</v>
      </c>
      <c r="H522" s="22">
        <f t="shared" si="123"/>
        <v>30</v>
      </c>
      <c r="I522" t="str">
        <f t="shared" si="124"/>
        <v>Delayed </v>
      </c>
      <c r="J522" t="s">
        <v>78</v>
      </c>
      <c r="K522" t="s">
        <v>90</v>
      </c>
      <c r="L522" t="s">
        <v>91</v>
      </c>
      <c r="M522" t="s">
        <v>19</v>
      </c>
      <c r="N522" t="s">
        <v>98</v>
      </c>
      <c r="O522" t="s">
        <v>29</v>
      </c>
      <c r="P522" t="s">
        <v>22</v>
      </c>
      <c r="Q522" t="s">
        <v>1142</v>
      </c>
      <c r="R522" s="3">
        <v>1062.38</v>
      </c>
      <c r="S522" s="3">
        <v>1503.96</v>
      </c>
      <c r="T522" s="3">
        <f t="shared" si="125"/>
        <v>1503.96</v>
      </c>
      <c r="U522" s="3">
        <f>(1+'10. Whatif Control pannel'!$B$6)*T522</f>
        <v>1684.4352</v>
      </c>
      <c r="V522" s="3" t="str">
        <f t="shared" si="126"/>
        <v>Medium</v>
      </c>
      <c r="W522" s="34">
        <v>0.18</v>
      </c>
      <c r="X522" s="24" t="str">
        <f t="shared" si="127"/>
        <v>Okay</v>
      </c>
      <c r="Y522" s="36">
        <f>IF(W522&lt;=0.25,W522,'10. Whatif Control pannel'!$B$2)</f>
        <v>0.18</v>
      </c>
      <c r="Z522" s="24">
        <v>6</v>
      </c>
      <c r="AA522" s="13">
        <f>(1+'10. Whatif Control pannel'!$B$10)*Z522</f>
        <v>7.2</v>
      </c>
      <c r="AB522" s="3">
        <f t="shared" si="128"/>
        <v>7399.4832</v>
      </c>
      <c r="AC522" s="3">
        <f t="shared" si="133"/>
        <v>9944.9054208</v>
      </c>
      <c r="AD522" s="3">
        <f t="shared" si="129"/>
        <v>6374.28</v>
      </c>
      <c r="AE522" s="3">
        <f t="shared" si="130"/>
        <v>1025.2032</v>
      </c>
      <c r="AF522" s="3">
        <f t="shared" si="134"/>
        <v>3570.6254208</v>
      </c>
      <c r="AG522">
        <f t="shared" si="131"/>
        <v>0.138550649050734</v>
      </c>
    </row>
    <row r="523" spans="1:33">
      <c r="A523" t="s">
        <v>1143</v>
      </c>
      <c r="B523" s="20">
        <v>45056</v>
      </c>
      <c r="C523" s="2">
        <f t="shared" si="120"/>
        <v>5</v>
      </c>
      <c r="D523" s="21">
        <f t="shared" si="132"/>
        <v>45056</v>
      </c>
      <c r="E523" s="19" t="str">
        <f t="shared" si="121"/>
        <v>Quarter 2</v>
      </c>
      <c r="F523" s="19">
        <v>45073</v>
      </c>
      <c r="G523" s="19">
        <f t="shared" si="122"/>
        <v>45073</v>
      </c>
      <c r="H523" s="22">
        <f t="shared" si="123"/>
        <v>17</v>
      </c>
      <c r="I523" t="str">
        <f t="shared" si="124"/>
        <v>Delayed </v>
      </c>
      <c r="J523" t="s">
        <v>45</v>
      </c>
      <c r="K523" t="s">
        <v>60</v>
      </c>
      <c r="L523" t="s">
        <v>220</v>
      </c>
      <c r="M523" t="s">
        <v>48</v>
      </c>
      <c r="N523" t="s">
        <v>20</v>
      </c>
      <c r="O523" t="s">
        <v>110</v>
      </c>
      <c r="P523" t="s">
        <v>57</v>
      </c>
      <c r="Q523" t="s">
        <v>1144</v>
      </c>
      <c r="R523" s="3">
        <v>1286.16</v>
      </c>
      <c r="S523" s="3">
        <v>3101.11</v>
      </c>
      <c r="T523" s="3">
        <f t="shared" si="125"/>
        <v>3101.11</v>
      </c>
      <c r="U523" s="3">
        <f>(1+'10. Whatif Control pannel'!$B$6)*T523</f>
        <v>3473.2432</v>
      </c>
      <c r="V523" s="3" t="str">
        <f t="shared" si="126"/>
        <v>High</v>
      </c>
      <c r="W523" s="34">
        <v>0.1</v>
      </c>
      <c r="X523" s="24" t="str">
        <f t="shared" si="127"/>
        <v>Okay</v>
      </c>
      <c r="Y523" s="36">
        <f>IF(W523&lt;=0.25,W523,'10. Whatif Control pannel'!$B$2)</f>
        <v>0.1</v>
      </c>
      <c r="Z523" s="24">
        <v>23</v>
      </c>
      <c r="AA523" s="13">
        <f>(1+'10. Whatif Control pannel'!$B$10)*Z523</f>
        <v>27.6</v>
      </c>
      <c r="AB523" s="3">
        <f t="shared" si="128"/>
        <v>64192.977</v>
      </c>
      <c r="AC523" s="3">
        <f t="shared" si="133"/>
        <v>86275.361088</v>
      </c>
      <c r="AD523" s="3">
        <f t="shared" si="129"/>
        <v>29581.68</v>
      </c>
      <c r="AE523" s="3">
        <f t="shared" si="130"/>
        <v>34611.297</v>
      </c>
      <c r="AF523" s="3">
        <f t="shared" si="134"/>
        <v>56693.681088</v>
      </c>
      <c r="AG523">
        <f t="shared" si="131"/>
        <v>0.539175757497584</v>
      </c>
    </row>
    <row r="524" spans="1:33">
      <c r="A524" t="s">
        <v>1145</v>
      </c>
      <c r="B524" s="20">
        <v>45482</v>
      </c>
      <c r="C524" s="2">
        <f t="shared" si="120"/>
        <v>7</v>
      </c>
      <c r="D524" s="21">
        <f t="shared" si="132"/>
        <v>45482</v>
      </c>
      <c r="E524" s="19" t="str">
        <f t="shared" si="121"/>
        <v>Quarter 3</v>
      </c>
      <c r="F524" s="19">
        <v>45485</v>
      </c>
      <c r="G524" s="19">
        <f t="shared" si="122"/>
        <v>45485</v>
      </c>
      <c r="H524" s="22">
        <f t="shared" si="123"/>
        <v>3</v>
      </c>
      <c r="I524" t="str">
        <f t="shared" si="124"/>
        <v>Ontime</v>
      </c>
      <c r="J524" t="s">
        <v>45</v>
      </c>
      <c r="K524" t="s">
        <v>116</v>
      </c>
      <c r="L524" t="s">
        <v>162</v>
      </c>
      <c r="M524" t="s">
        <v>62</v>
      </c>
      <c r="N524" t="s">
        <v>20</v>
      </c>
      <c r="O524" t="s">
        <v>145</v>
      </c>
      <c r="P524" t="s">
        <v>81</v>
      </c>
      <c r="Q524" t="s">
        <v>1146</v>
      </c>
      <c r="R524" s="3">
        <v>748.39</v>
      </c>
      <c r="S524" s="3">
        <v>979.42</v>
      </c>
      <c r="T524" s="3">
        <f t="shared" si="125"/>
        <v>979.42</v>
      </c>
      <c r="U524" s="3">
        <f>(1+'10. Whatif Control pannel'!$B$6)*T524</f>
        <v>1096.9504</v>
      </c>
      <c r="V524" s="3" t="str">
        <f t="shared" si="126"/>
        <v>Medium</v>
      </c>
      <c r="W524" s="34">
        <v>0</v>
      </c>
      <c r="X524" s="24" t="str">
        <f t="shared" si="127"/>
        <v>Okay</v>
      </c>
      <c r="Y524" s="36">
        <f>IF(W524&lt;=0.25,W524,'10. Whatif Control pannel'!$B$2)</f>
        <v>0</v>
      </c>
      <c r="Z524" s="24">
        <v>23</v>
      </c>
      <c r="AA524" s="13">
        <f>(1+'10. Whatif Control pannel'!$B$10)*Z524</f>
        <v>27.6</v>
      </c>
      <c r="AB524" s="3">
        <f t="shared" si="128"/>
        <v>22526.66</v>
      </c>
      <c r="AC524" s="3">
        <f t="shared" si="133"/>
        <v>30275.83104</v>
      </c>
      <c r="AD524" s="3">
        <f t="shared" si="129"/>
        <v>17212.97</v>
      </c>
      <c r="AE524" s="3">
        <f t="shared" si="130"/>
        <v>5313.69</v>
      </c>
      <c r="AF524" s="3">
        <f t="shared" si="134"/>
        <v>13062.86104</v>
      </c>
      <c r="AG524">
        <f t="shared" si="131"/>
        <v>0.235884503073247</v>
      </c>
    </row>
    <row r="525" spans="1:33">
      <c r="A525" t="s">
        <v>1147</v>
      </c>
      <c r="B525" s="20">
        <v>45406</v>
      </c>
      <c r="C525" s="2">
        <f t="shared" si="120"/>
        <v>4</v>
      </c>
      <c r="D525" s="21">
        <f t="shared" si="132"/>
        <v>45406</v>
      </c>
      <c r="E525" s="19" t="str">
        <f t="shared" si="121"/>
        <v>Quarter 2</v>
      </c>
      <c r="F525" s="19">
        <v>45422</v>
      </c>
      <c r="G525" s="19">
        <f t="shared" si="122"/>
        <v>45422</v>
      </c>
      <c r="H525" s="22">
        <f t="shared" si="123"/>
        <v>16</v>
      </c>
      <c r="I525" t="str">
        <f t="shared" si="124"/>
        <v>Delayed </v>
      </c>
      <c r="J525" t="s">
        <v>16</v>
      </c>
      <c r="K525" t="s">
        <v>17</v>
      </c>
      <c r="L525" t="s">
        <v>18</v>
      </c>
      <c r="M525" t="s">
        <v>39</v>
      </c>
      <c r="N525" t="s">
        <v>28</v>
      </c>
      <c r="O525" t="s">
        <v>126</v>
      </c>
      <c r="P525" t="s">
        <v>64</v>
      </c>
      <c r="Q525" t="s">
        <v>1148</v>
      </c>
      <c r="R525" s="3">
        <v>513.31</v>
      </c>
      <c r="S525" s="3">
        <v>1186.26</v>
      </c>
      <c r="T525" s="3">
        <f t="shared" si="125"/>
        <v>1186.26</v>
      </c>
      <c r="U525" s="3">
        <f>(1+'10. Whatif Control pannel'!$B$6)*T525</f>
        <v>1328.6112</v>
      </c>
      <c r="V525" s="3" t="str">
        <f t="shared" si="126"/>
        <v>Medium</v>
      </c>
      <c r="W525" s="34">
        <v>0.094</v>
      </c>
      <c r="X525" s="24" t="str">
        <f t="shared" si="127"/>
        <v>Okay</v>
      </c>
      <c r="Y525" s="36">
        <f>IF(W525&lt;=0.25,W525,'10. Whatif Control pannel'!$B$2)</f>
        <v>0.094</v>
      </c>
      <c r="Z525" s="24">
        <v>15</v>
      </c>
      <c r="AA525" s="13">
        <f>(1+'10. Whatif Control pannel'!$B$10)*Z525</f>
        <v>18</v>
      </c>
      <c r="AB525" s="3">
        <f t="shared" si="128"/>
        <v>16121.2734</v>
      </c>
      <c r="AC525" s="3">
        <f t="shared" si="133"/>
        <v>21666.9914496</v>
      </c>
      <c r="AD525" s="3">
        <f t="shared" si="129"/>
        <v>7699.65</v>
      </c>
      <c r="AE525" s="3">
        <f t="shared" si="130"/>
        <v>8421.6234</v>
      </c>
      <c r="AF525" s="3">
        <f t="shared" si="134"/>
        <v>13967.3414496</v>
      </c>
      <c r="AG525">
        <f t="shared" si="131"/>
        <v>0.522391947028204</v>
      </c>
    </row>
    <row r="526" spans="1:33">
      <c r="A526" t="s">
        <v>1149</v>
      </c>
      <c r="B526" s="20">
        <v>45304</v>
      </c>
      <c r="C526" s="2">
        <f t="shared" si="120"/>
        <v>1</v>
      </c>
      <c r="D526" s="21">
        <f t="shared" si="132"/>
        <v>45304</v>
      </c>
      <c r="E526" s="19" t="str">
        <f t="shared" si="121"/>
        <v>Quarter 1</v>
      </c>
      <c r="F526" s="19">
        <v>45306</v>
      </c>
      <c r="G526" s="19">
        <f t="shared" si="122"/>
        <v>45306</v>
      </c>
      <c r="H526" s="22">
        <f t="shared" si="123"/>
        <v>2</v>
      </c>
      <c r="I526" t="str">
        <f t="shared" si="124"/>
        <v>Ontime</v>
      </c>
      <c r="J526" t="s">
        <v>52</v>
      </c>
      <c r="K526" t="s">
        <v>122</v>
      </c>
      <c r="L526" t="s">
        <v>167</v>
      </c>
      <c r="M526" t="s">
        <v>39</v>
      </c>
      <c r="N526" t="s">
        <v>98</v>
      </c>
      <c r="O526" t="s">
        <v>63</v>
      </c>
      <c r="P526" t="s">
        <v>22</v>
      </c>
      <c r="Q526" t="s">
        <v>1150</v>
      </c>
      <c r="R526" s="3">
        <v>1061.37</v>
      </c>
      <c r="S526" s="3">
        <v>1938.33</v>
      </c>
      <c r="T526" s="3">
        <f t="shared" si="125"/>
        <v>1938.33</v>
      </c>
      <c r="U526" s="3">
        <f>(1+'10. Whatif Control pannel'!$B$6)*T526</f>
        <v>2170.9296</v>
      </c>
      <c r="V526" s="3" t="str">
        <f t="shared" si="126"/>
        <v>High</v>
      </c>
      <c r="W526" s="34">
        <v>0.17</v>
      </c>
      <c r="X526" s="24" t="str">
        <f t="shared" si="127"/>
        <v>Okay</v>
      </c>
      <c r="Y526" s="36">
        <f>IF(W526&lt;=0.25,W526,'10. Whatif Control pannel'!$B$2)</f>
        <v>0.17</v>
      </c>
      <c r="Z526" s="24">
        <v>4</v>
      </c>
      <c r="AA526" s="13">
        <f>(1+'10. Whatif Control pannel'!$B$10)*Z526</f>
        <v>4.8</v>
      </c>
      <c r="AB526" s="3">
        <f t="shared" si="128"/>
        <v>6435.2556</v>
      </c>
      <c r="AC526" s="3">
        <f t="shared" si="133"/>
        <v>8648.9835264</v>
      </c>
      <c r="AD526" s="3">
        <f t="shared" si="129"/>
        <v>4245.48</v>
      </c>
      <c r="AE526" s="3">
        <f t="shared" si="130"/>
        <v>2189.7756</v>
      </c>
      <c r="AF526" s="3">
        <f t="shared" si="134"/>
        <v>4403.5035264</v>
      </c>
      <c r="AG526">
        <f t="shared" si="131"/>
        <v>0.340277952596009</v>
      </c>
    </row>
    <row r="527" spans="1:33">
      <c r="A527" t="s">
        <v>1151</v>
      </c>
      <c r="B527" s="20">
        <v>45398</v>
      </c>
      <c r="C527" s="2">
        <f t="shared" si="120"/>
        <v>4</v>
      </c>
      <c r="D527" s="21">
        <f t="shared" si="132"/>
        <v>45398</v>
      </c>
      <c r="E527" s="19" t="str">
        <f t="shared" si="121"/>
        <v>Quarter 2</v>
      </c>
      <c r="F527" s="19">
        <v>45409</v>
      </c>
      <c r="G527" s="19">
        <f t="shared" si="122"/>
        <v>45409</v>
      </c>
      <c r="H527" s="22">
        <f t="shared" si="123"/>
        <v>11</v>
      </c>
      <c r="I527" t="str">
        <f t="shared" si="124"/>
        <v>Delayed </v>
      </c>
      <c r="J527" t="s">
        <v>16</v>
      </c>
      <c r="K527" t="s">
        <v>17</v>
      </c>
      <c r="L527" t="s">
        <v>135</v>
      </c>
      <c r="M527" t="s">
        <v>105</v>
      </c>
      <c r="N527" t="s">
        <v>28</v>
      </c>
      <c r="O527" t="s">
        <v>145</v>
      </c>
      <c r="P527" t="s">
        <v>30</v>
      </c>
      <c r="Q527" t="s">
        <v>1152</v>
      </c>
      <c r="R527" s="3">
        <v>401.3</v>
      </c>
      <c r="S527" s="3">
        <v>826.47</v>
      </c>
      <c r="T527" s="3">
        <f t="shared" si="125"/>
        <v>826.47</v>
      </c>
      <c r="U527" s="3">
        <f>(1+'10. Whatif Control pannel'!$B$6)*T527</f>
        <v>925.6464</v>
      </c>
      <c r="V527" s="3" t="str">
        <f t="shared" si="126"/>
        <v>Low</v>
      </c>
      <c r="W527" s="34">
        <v>0.225</v>
      </c>
      <c r="X527" s="24" t="str">
        <f t="shared" si="127"/>
        <v>High Discount</v>
      </c>
      <c r="Y527" s="36">
        <f>IF(W527&lt;=0.25,W527,'10. Whatif Control pannel'!$B$2)</f>
        <v>0.225</v>
      </c>
      <c r="Z527" s="24">
        <v>13</v>
      </c>
      <c r="AA527" s="13">
        <f>(1+'10. Whatif Control pannel'!$B$10)*Z527</f>
        <v>15.6</v>
      </c>
      <c r="AB527" s="3">
        <f t="shared" si="128"/>
        <v>8326.68525</v>
      </c>
      <c r="AC527" s="3">
        <f t="shared" si="133"/>
        <v>11191.064976</v>
      </c>
      <c r="AD527" s="3">
        <f t="shared" si="129"/>
        <v>5216.9</v>
      </c>
      <c r="AE527" s="3">
        <f t="shared" si="130"/>
        <v>3109.78525</v>
      </c>
      <c r="AF527" s="3">
        <f t="shared" si="134"/>
        <v>5974.164976</v>
      </c>
      <c r="AG527">
        <f t="shared" si="131"/>
        <v>0.373472174896968</v>
      </c>
    </row>
    <row r="528" spans="1:33">
      <c r="A528" t="s">
        <v>1153</v>
      </c>
      <c r="B528" s="20">
        <v>45695</v>
      </c>
      <c r="C528" s="2">
        <f t="shared" si="120"/>
        <v>2</v>
      </c>
      <c r="D528" s="21">
        <f t="shared" si="132"/>
        <v>45695</v>
      </c>
      <c r="E528" s="19" t="str">
        <f t="shared" si="121"/>
        <v>Quarter 1</v>
      </c>
      <c r="F528" s="19">
        <v>45704</v>
      </c>
      <c r="G528" s="19">
        <f t="shared" si="122"/>
        <v>45704</v>
      </c>
      <c r="H528" s="22">
        <f t="shared" si="123"/>
        <v>9</v>
      </c>
      <c r="I528" t="str">
        <f t="shared" si="124"/>
        <v>Delayed </v>
      </c>
      <c r="J528" t="s">
        <v>16</v>
      </c>
      <c r="K528" t="s">
        <v>25</v>
      </c>
      <c r="L528" t="s">
        <v>38</v>
      </c>
      <c r="M528" t="s">
        <v>62</v>
      </c>
      <c r="N528" t="s">
        <v>55</v>
      </c>
      <c r="O528" t="s">
        <v>21</v>
      </c>
      <c r="P528" t="s">
        <v>30</v>
      </c>
      <c r="Q528" t="s">
        <v>1154</v>
      </c>
      <c r="R528" s="3">
        <v>90.68</v>
      </c>
      <c r="S528" s="3">
        <v>118.17</v>
      </c>
      <c r="T528" s="3">
        <f t="shared" si="125"/>
        <v>118.17</v>
      </c>
      <c r="U528" s="3">
        <f>(1+'10. Whatif Control pannel'!$B$6)*T528</f>
        <v>132.3504</v>
      </c>
      <c r="V528" s="3" t="str">
        <f t="shared" si="126"/>
        <v>Low</v>
      </c>
      <c r="W528" s="34">
        <v>0.135</v>
      </c>
      <c r="X528" s="24" t="str">
        <f t="shared" si="127"/>
        <v>Okay</v>
      </c>
      <c r="Y528" s="36">
        <f>IF(W528&lt;=0.25,W528,'10. Whatif Control pannel'!$B$2)</f>
        <v>0.135</v>
      </c>
      <c r="Z528" s="24">
        <v>21</v>
      </c>
      <c r="AA528" s="13">
        <f>(1+'10. Whatif Control pannel'!$B$10)*Z528</f>
        <v>25.2</v>
      </c>
      <c r="AB528" s="3">
        <f t="shared" si="128"/>
        <v>2146.55805</v>
      </c>
      <c r="AC528" s="3">
        <f t="shared" si="133"/>
        <v>2884.9740192</v>
      </c>
      <c r="AD528" s="3">
        <f t="shared" si="129"/>
        <v>1904.28</v>
      </c>
      <c r="AE528" s="3">
        <f t="shared" si="130"/>
        <v>242.27805</v>
      </c>
      <c r="AF528" s="3">
        <f t="shared" si="134"/>
        <v>980.6940192</v>
      </c>
      <c r="AG528">
        <f t="shared" si="131"/>
        <v>0.112868156535529</v>
      </c>
    </row>
    <row r="529" spans="1:33">
      <c r="A529" t="s">
        <v>1155</v>
      </c>
      <c r="B529" s="20">
        <v>44938</v>
      </c>
      <c r="C529" s="2">
        <f t="shared" si="120"/>
        <v>1</v>
      </c>
      <c r="D529" s="21">
        <f t="shared" si="132"/>
        <v>44938</v>
      </c>
      <c r="E529" s="19" t="str">
        <f t="shared" si="121"/>
        <v>Quarter 1</v>
      </c>
      <c r="F529" s="19">
        <v>44952</v>
      </c>
      <c r="G529" s="19">
        <f t="shared" si="122"/>
        <v>44952</v>
      </c>
      <c r="H529" s="22">
        <f t="shared" si="123"/>
        <v>14</v>
      </c>
      <c r="I529" t="str">
        <f t="shared" si="124"/>
        <v>Delayed </v>
      </c>
      <c r="J529" t="s">
        <v>45</v>
      </c>
      <c r="K529" t="s">
        <v>116</v>
      </c>
      <c r="L529" t="s">
        <v>117</v>
      </c>
      <c r="M529" t="s">
        <v>39</v>
      </c>
      <c r="N529" t="s">
        <v>20</v>
      </c>
      <c r="O529" t="s">
        <v>110</v>
      </c>
      <c r="P529" t="s">
        <v>30</v>
      </c>
      <c r="Q529" t="s">
        <v>1156</v>
      </c>
      <c r="R529" s="3">
        <v>1083.09</v>
      </c>
      <c r="S529" s="3">
        <v>1425.87</v>
      </c>
      <c r="T529" s="3">
        <f t="shared" si="125"/>
        <v>1425.87</v>
      </c>
      <c r="U529" s="3">
        <f>(1+'10. Whatif Control pannel'!$B$6)*T529</f>
        <v>1596.9744</v>
      </c>
      <c r="V529" s="3" t="str">
        <f t="shared" si="126"/>
        <v>Medium</v>
      </c>
      <c r="W529" s="34">
        <v>0</v>
      </c>
      <c r="X529" s="24" t="str">
        <f t="shared" si="127"/>
        <v>Okay</v>
      </c>
      <c r="Y529" s="36">
        <f>IF(W529&lt;=0.25,W529,'10. Whatif Control pannel'!$B$2)</f>
        <v>0</v>
      </c>
      <c r="Z529" s="24">
        <v>8</v>
      </c>
      <c r="AA529" s="13">
        <f>(1+'10. Whatif Control pannel'!$B$10)*Z529</f>
        <v>9.6</v>
      </c>
      <c r="AB529" s="3">
        <f t="shared" si="128"/>
        <v>11406.96</v>
      </c>
      <c r="AC529" s="3">
        <f t="shared" si="133"/>
        <v>15330.95424</v>
      </c>
      <c r="AD529" s="3">
        <f t="shared" si="129"/>
        <v>8664.72</v>
      </c>
      <c r="AE529" s="3">
        <f t="shared" si="130"/>
        <v>2742.24</v>
      </c>
      <c r="AF529" s="3">
        <f t="shared" si="134"/>
        <v>6666.23424</v>
      </c>
      <c r="AG529">
        <f t="shared" si="131"/>
        <v>0.240400597529929</v>
      </c>
    </row>
    <row r="530" spans="1:33">
      <c r="A530" t="s">
        <v>1157</v>
      </c>
      <c r="B530" s="20">
        <v>45448</v>
      </c>
      <c r="C530" s="2">
        <f t="shared" si="120"/>
        <v>6</v>
      </c>
      <c r="D530" s="21">
        <f t="shared" si="132"/>
        <v>45448</v>
      </c>
      <c r="E530" s="19" t="str">
        <f t="shared" si="121"/>
        <v>Quarter 2</v>
      </c>
      <c r="F530" s="19">
        <v>45466</v>
      </c>
      <c r="G530" s="19">
        <f t="shared" si="122"/>
        <v>45466</v>
      </c>
      <c r="H530" s="22">
        <f t="shared" si="123"/>
        <v>18</v>
      </c>
      <c r="I530" t="str">
        <f t="shared" si="124"/>
        <v>Delayed </v>
      </c>
      <c r="J530" t="s">
        <v>16</v>
      </c>
      <c r="K530" t="s">
        <v>17</v>
      </c>
      <c r="L530" t="s">
        <v>33</v>
      </c>
      <c r="M530" t="s">
        <v>48</v>
      </c>
      <c r="N530" t="s">
        <v>55</v>
      </c>
      <c r="O530" t="s">
        <v>145</v>
      </c>
      <c r="P530" t="s">
        <v>57</v>
      </c>
      <c r="Q530" t="s">
        <v>1158</v>
      </c>
      <c r="R530" s="3">
        <v>1208.74</v>
      </c>
      <c r="S530" s="3">
        <v>1594.78</v>
      </c>
      <c r="T530" s="3">
        <f t="shared" si="125"/>
        <v>1594.78</v>
      </c>
      <c r="U530" s="3">
        <f>(1+'10. Whatif Control pannel'!$B$6)*T530</f>
        <v>1786.1536</v>
      </c>
      <c r="V530" s="3" t="str">
        <f t="shared" si="126"/>
        <v>Medium</v>
      </c>
      <c r="W530" s="34">
        <v>0.059</v>
      </c>
      <c r="X530" s="24" t="str">
        <f t="shared" si="127"/>
        <v>Okay</v>
      </c>
      <c r="Y530" s="36">
        <f>IF(W530&lt;=0.25,W530,'10. Whatif Control pannel'!$B$2)</f>
        <v>0.059</v>
      </c>
      <c r="Z530" s="24">
        <v>39</v>
      </c>
      <c r="AA530" s="13">
        <f>(1+'10. Whatif Control pannel'!$B$10)*Z530</f>
        <v>46.8</v>
      </c>
      <c r="AB530" s="3">
        <f t="shared" si="128"/>
        <v>58526.83122</v>
      </c>
      <c r="AC530" s="3">
        <f t="shared" si="133"/>
        <v>78660.06115968</v>
      </c>
      <c r="AD530" s="3">
        <f t="shared" si="129"/>
        <v>47140.86</v>
      </c>
      <c r="AE530" s="3">
        <f t="shared" si="130"/>
        <v>11385.97122</v>
      </c>
      <c r="AF530" s="3">
        <f t="shared" si="134"/>
        <v>31519.20115968</v>
      </c>
      <c r="AG530">
        <f t="shared" si="131"/>
        <v>0.194542758981784</v>
      </c>
    </row>
    <row r="531" spans="1:33">
      <c r="A531" t="s">
        <v>1159</v>
      </c>
      <c r="B531" s="20">
        <v>45162</v>
      </c>
      <c r="C531" s="2">
        <f t="shared" si="120"/>
        <v>8</v>
      </c>
      <c r="D531" s="21">
        <f t="shared" si="132"/>
        <v>45162</v>
      </c>
      <c r="E531" s="19" t="str">
        <f t="shared" si="121"/>
        <v>Quarter 3</v>
      </c>
      <c r="F531" s="19">
        <v>45189</v>
      </c>
      <c r="G531" s="19">
        <f t="shared" si="122"/>
        <v>45189</v>
      </c>
      <c r="H531" s="22">
        <f t="shared" si="123"/>
        <v>27</v>
      </c>
      <c r="I531" t="str">
        <f t="shared" si="124"/>
        <v>Delayed </v>
      </c>
      <c r="J531" t="s">
        <v>16</v>
      </c>
      <c r="K531" t="s">
        <v>148</v>
      </c>
      <c r="L531" t="s">
        <v>172</v>
      </c>
      <c r="M531" t="s">
        <v>62</v>
      </c>
      <c r="N531" t="s">
        <v>40</v>
      </c>
      <c r="O531" t="s">
        <v>110</v>
      </c>
      <c r="P531" t="s">
        <v>30</v>
      </c>
      <c r="Q531" t="s">
        <v>1160</v>
      </c>
      <c r="R531" s="3">
        <v>1399.64</v>
      </c>
      <c r="S531" s="3">
        <v>3342.11</v>
      </c>
      <c r="T531" s="3">
        <f t="shared" si="125"/>
        <v>3342.11</v>
      </c>
      <c r="U531" s="3">
        <f>(1+'10. Whatif Control pannel'!$B$6)*T531</f>
        <v>3743.1632</v>
      </c>
      <c r="V531" s="3" t="str">
        <f t="shared" si="126"/>
        <v>High</v>
      </c>
      <c r="W531" s="34">
        <v>0</v>
      </c>
      <c r="X531" s="24" t="str">
        <f t="shared" si="127"/>
        <v>Okay</v>
      </c>
      <c r="Y531" s="36">
        <f>IF(W531&lt;=0.25,W531,'10. Whatif Control pannel'!$B$2)</f>
        <v>0</v>
      </c>
      <c r="Z531" s="24">
        <v>10</v>
      </c>
      <c r="AA531" s="13">
        <f>(1+'10. Whatif Control pannel'!$B$10)*Z531</f>
        <v>12</v>
      </c>
      <c r="AB531" s="3">
        <f t="shared" si="128"/>
        <v>33421.1</v>
      </c>
      <c r="AC531" s="3">
        <f t="shared" si="133"/>
        <v>44917.9584</v>
      </c>
      <c r="AD531" s="3">
        <f t="shared" si="129"/>
        <v>13996.4</v>
      </c>
      <c r="AE531" s="3">
        <f t="shared" si="130"/>
        <v>19424.7</v>
      </c>
      <c r="AF531" s="3">
        <f t="shared" si="134"/>
        <v>30921.5584</v>
      </c>
      <c r="AG531">
        <f t="shared" si="131"/>
        <v>0.581210672299834</v>
      </c>
    </row>
    <row r="532" spans="1:33">
      <c r="A532" t="s">
        <v>1161</v>
      </c>
      <c r="B532" s="20">
        <v>45316</v>
      </c>
      <c r="C532" s="2">
        <f t="shared" si="120"/>
        <v>1</v>
      </c>
      <c r="D532" s="21">
        <f t="shared" si="132"/>
        <v>45316</v>
      </c>
      <c r="E532" s="19" t="str">
        <f t="shared" si="121"/>
        <v>Quarter 1</v>
      </c>
      <c r="F532" s="19">
        <v>45330</v>
      </c>
      <c r="G532" s="19">
        <f t="shared" si="122"/>
        <v>45330</v>
      </c>
      <c r="H532" s="22">
        <f t="shared" si="123"/>
        <v>14</v>
      </c>
      <c r="I532" t="str">
        <f t="shared" si="124"/>
        <v>Delayed </v>
      </c>
      <c r="J532" t="s">
        <v>45</v>
      </c>
      <c r="K532" t="s">
        <v>46</v>
      </c>
      <c r="L532" t="s">
        <v>47</v>
      </c>
      <c r="M532" t="s">
        <v>48</v>
      </c>
      <c r="N532" t="s">
        <v>40</v>
      </c>
      <c r="O532" t="s">
        <v>34</v>
      </c>
      <c r="P532" t="s">
        <v>35</v>
      </c>
      <c r="Q532" t="s">
        <v>1162</v>
      </c>
      <c r="R532" s="3">
        <v>937.16</v>
      </c>
      <c r="S532" s="3">
        <v>1069.77</v>
      </c>
      <c r="T532" s="3">
        <f t="shared" si="125"/>
        <v>1069.77</v>
      </c>
      <c r="U532" s="3">
        <f>(1+'10. Whatif Control pannel'!$B$6)*T532</f>
        <v>1198.1424</v>
      </c>
      <c r="V532" s="3" t="str">
        <f t="shared" si="126"/>
        <v>Medium</v>
      </c>
      <c r="W532" s="34">
        <v>0.038</v>
      </c>
      <c r="X532" s="24" t="str">
        <f t="shared" si="127"/>
        <v>Okay</v>
      </c>
      <c r="Y532" s="36">
        <f>IF(W532&lt;=0.25,W532,'10. Whatif Control pannel'!$B$2)</f>
        <v>0.038</v>
      </c>
      <c r="Z532" s="24">
        <v>9</v>
      </c>
      <c r="AA532" s="13">
        <f>(1+'10. Whatif Control pannel'!$B$10)*Z532</f>
        <v>10.8</v>
      </c>
      <c r="AB532" s="3">
        <f t="shared" si="128"/>
        <v>9262.06866</v>
      </c>
      <c r="AC532" s="3">
        <f t="shared" si="133"/>
        <v>12448.22027904</v>
      </c>
      <c r="AD532" s="3">
        <f t="shared" si="129"/>
        <v>8434.44</v>
      </c>
      <c r="AE532" s="3">
        <f t="shared" si="130"/>
        <v>827.62866</v>
      </c>
      <c r="AF532" s="3">
        <f t="shared" si="134"/>
        <v>4013.78027904</v>
      </c>
      <c r="AG532">
        <f t="shared" si="131"/>
        <v>0.089356783066646</v>
      </c>
    </row>
    <row r="533" spans="1:33">
      <c r="A533" t="s">
        <v>1163</v>
      </c>
      <c r="B533" s="20">
        <v>45727</v>
      </c>
      <c r="C533" s="2">
        <f t="shared" si="120"/>
        <v>3</v>
      </c>
      <c r="D533" s="21">
        <f t="shared" si="132"/>
        <v>45727</v>
      </c>
      <c r="E533" s="19" t="str">
        <f t="shared" si="121"/>
        <v>Quarter 1</v>
      </c>
      <c r="F533" s="19">
        <v>45742</v>
      </c>
      <c r="G533" s="19">
        <f t="shared" si="122"/>
        <v>45742</v>
      </c>
      <c r="H533" s="22">
        <f t="shared" si="123"/>
        <v>15</v>
      </c>
      <c r="I533" t="str">
        <f t="shared" si="124"/>
        <v>Delayed </v>
      </c>
      <c r="J533" t="s">
        <v>78</v>
      </c>
      <c r="K533" t="s">
        <v>79</v>
      </c>
      <c r="L533" t="s">
        <v>80</v>
      </c>
      <c r="M533" t="s">
        <v>62</v>
      </c>
      <c r="N533" t="s">
        <v>28</v>
      </c>
      <c r="O533" t="s">
        <v>34</v>
      </c>
      <c r="P533" t="s">
        <v>42</v>
      </c>
      <c r="Q533" t="s">
        <v>1164</v>
      </c>
      <c r="R533" s="3">
        <v>116.97</v>
      </c>
      <c r="S533" s="3">
        <v>140.82</v>
      </c>
      <c r="T533" s="3">
        <f t="shared" si="125"/>
        <v>140.82</v>
      </c>
      <c r="U533" s="3">
        <f>(1+'10. Whatif Control pannel'!$B$6)*T533</f>
        <v>157.7184</v>
      </c>
      <c r="V533" s="3" t="str">
        <f t="shared" si="126"/>
        <v>Low</v>
      </c>
      <c r="W533" s="34">
        <v>0.122</v>
      </c>
      <c r="X533" s="24" t="str">
        <f t="shared" si="127"/>
        <v>Okay</v>
      </c>
      <c r="Y533" s="36">
        <f>IF(W533&lt;=0.25,W533,'10. Whatif Control pannel'!$B$2)</f>
        <v>0.122</v>
      </c>
      <c r="Z533" s="24">
        <v>5</v>
      </c>
      <c r="AA533" s="13">
        <f>(1+'10. Whatif Control pannel'!$B$10)*Z533</f>
        <v>6</v>
      </c>
      <c r="AB533" s="3">
        <f t="shared" si="128"/>
        <v>618.1998</v>
      </c>
      <c r="AC533" s="3">
        <f t="shared" si="133"/>
        <v>830.8605312</v>
      </c>
      <c r="AD533" s="3">
        <f t="shared" si="129"/>
        <v>584.85</v>
      </c>
      <c r="AE533" s="3">
        <f t="shared" si="130"/>
        <v>33.3497999999998</v>
      </c>
      <c r="AF533" s="3">
        <f t="shared" si="134"/>
        <v>246.0105312</v>
      </c>
      <c r="AG533">
        <f t="shared" si="131"/>
        <v>0.0539466366698919</v>
      </c>
    </row>
    <row r="534" spans="1:33">
      <c r="A534" t="s">
        <v>1165</v>
      </c>
      <c r="B534" s="20">
        <v>45769</v>
      </c>
      <c r="C534" s="2">
        <f t="shared" si="120"/>
        <v>4</v>
      </c>
      <c r="D534" s="21">
        <f t="shared" si="132"/>
        <v>45769</v>
      </c>
      <c r="E534" s="19" t="str">
        <f t="shared" si="121"/>
        <v>Quarter 2</v>
      </c>
      <c r="F534" s="19">
        <v>45789</v>
      </c>
      <c r="G534" s="19">
        <f t="shared" si="122"/>
        <v>45789</v>
      </c>
      <c r="H534" s="22">
        <f t="shared" si="123"/>
        <v>20</v>
      </c>
      <c r="I534" t="str">
        <f t="shared" si="124"/>
        <v>Delayed </v>
      </c>
      <c r="J534" t="s">
        <v>78</v>
      </c>
      <c r="K534" t="s">
        <v>90</v>
      </c>
      <c r="L534" t="s">
        <v>138</v>
      </c>
      <c r="M534" t="s">
        <v>105</v>
      </c>
      <c r="N534" t="s">
        <v>40</v>
      </c>
      <c r="O534" t="s">
        <v>95</v>
      </c>
      <c r="P534" t="s">
        <v>64</v>
      </c>
      <c r="Q534" t="s">
        <v>1166</v>
      </c>
      <c r="R534" s="3">
        <v>59.51</v>
      </c>
      <c r="S534" s="3">
        <v>67.04</v>
      </c>
      <c r="T534" s="3">
        <f t="shared" si="125"/>
        <v>67.04</v>
      </c>
      <c r="U534" s="3">
        <f>(1+'10. Whatif Control pannel'!$B$6)*T534</f>
        <v>75.0848</v>
      </c>
      <c r="V534" s="3" t="str">
        <f t="shared" si="126"/>
        <v>Low</v>
      </c>
      <c r="W534" s="34">
        <v>0.114</v>
      </c>
      <c r="X534" s="24" t="str">
        <f t="shared" si="127"/>
        <v>Okay</v>
      </c>
      <c r="Y534" s="36">
        <f>IF(W534&lt;=0.25,W534,'10. Whatif Control pannel'!$B$2)</f>
        <v>0.114</v>
      </c>
      <c r="Z534" s="24">
        <v>9</v>
      </c>
      <c r="AA534" s="13">
        <f>(1+'10. Whatif Control pannel'!$B$10)*Z534</f>
        <v>10.8</v>
      </c>
      <c r="AB534" s="3">
        <f t="shared" si="128"/>
        <v>534.57696</v>
      </c>
      <c r="AC534" s="3">
        <f t="shared" si="133"/>
        <v>718.47143424</v>
      </c>
      <c r="AD534" s="3">
        <f t="shared" si="129"/>
        <v>535.59</v>
      </c>
      <c r="AE534" s="3">
        <f t="shared" si="130"/>
        <v>-1.01304000000005</v>
      </c>
      <c r="AF534" s="3">
        <f t="shared" si="134"/>
        <v>182.88143424</v>
      </c>
      <c r="AG534">
        <f t="shared" si="131"/>
        <v>-0.00189503116632645</v>
      </c>
    </row>
    <row r="535" spans="1:33">
      <c r="A535" t="s">
        <v>1167</v>
      </c>
      <c r="B535" s="20">
        <v>45155</v>
      </c>
      <c r="C535" s="2">
        <f t="shared" si="120"/>
        <v>8</v>
      </c>
      <c r="D535" s="21">
        <f t="shared" si="132"/>
        <v>45155</v>
      </c>
      <c r="E535" s="19" t="str">
        <f t="shared" si="121"/>
        <v>Quarter 3</v>
      </c>
      <c r="F535" s="19">
        <v>45172</v>
      </c>
      <c r="G535" s="19">
        <f t="shared" si="122"/>
        <v>45172</v>
      </c>
      <c r="H535" s="22">
        <f t="shared" si="123"/>
        <v>17</v>
      </c>
      <c r="I535" t="str">
        <f t="shared" si="124"/>
        <v>Delayed </v>
      </c>
      <c r="J535" t="s">
        <v>16</v>
      </c>
      <c r="K535" t="s">
        <v>148</v>
      </c>
      <c r="L535" t="s">
        <v>172</v>
      </c>
      <c r="M535" t="s">
        <v>105</v>
      </c>
      <c r="N535" t="s">
        <v>20</v>
      </c>
      <c r="O535" t="s">
        <v>75</v>
      </c>
      <c r="P535" t="s">
        <v>42</v>
      </c>
      <c r="Q535" t="s">
        <v>1168</v>
      </c>
      <c r="R535" s="3">
        <v>676.37</v>
      </c>
      <c r="S535" s="3">
        <v>1276.67</v>
      </c>
      <c r="T535" s="3">
        <f t="shared" si="125"/>
        <v>1276.67</v>
      </c>
      <c r="U535" s="3">
        <f>(1+'10. Whatif Control pannel'!$B$6)*T535</f>
        <v>1429.8704</v>
      </c>
      <c r="V535" s="3" t="str">
        <f t="shared" si="126"/>
        <v>Medium</v>
      </c>
      <c r="W535" s="34">
        <v>0.066</v>
      </c>
      <c r="X535" s="24" t="str">
        <f t="shared" si="127"/>
        <v>Okay</v>
      </c>
      <c r="Y535" s="36">
        <f>IF(W535&lt;=0.25,W535,'10. Whatif Control pannel'!$B$2)</f>
        <v>0.066</v>
      </c>
      <c r="Z535" s="24">
        <v>10</v>
      </c>
      <c r="AA535" s="13">
        <f>(1+'10. Whatif Control pannel'!$B$10)*Z535</f>
        <v>12</v>
      </c>
      <c r="AB535" s="3">
        <f t="shared" si="128"/>
        <v>11924.0978</v>
      </c>
      <c r="AC535" s="3">
        <f t="shared" si="133"/>
        <v>16025.9874432</v>
      </c>
      <c r="AD535" s="3">
        <f t="shared" si="129"/>
        <v>6763.7</v>
      </c>
      <c r="AE535" s="3">
        <f t="shared" si="130"/>
        <v>5160.3978</v>
      </c>
      <c r="AF535" s="3">
        <f t="shared" si="134"/>
        <v>9262.2874432</v>
      </c>
      <c r="AG535">
        <f t="shared" si="131"/>
        <v>0.432770502771287</v>
      </c>
    </row>
    <row r="536" spans="1:33">
      <c r="A536" t="s">
        <v>1169</v>
      </c>
      <c r="B536" s="20">
        <v>45832</v>
      </c>
      <c r="C536" s="2">
        <f t="shared" si="120"/>
        <v>6</v>
      </c>
      <c r="D536" s="21">
        <f t="shared" si="132"/>
        <v>45832</v>
      </c>
      <c r="E536" s="19" t="str">
        <f t="shared" si="121"/>
        <v>Quarter 2</v>
      </c>
      <c r="F536" s="19">
        <v>45852</v>
      </c>
      <c r="G536" s="19">
        <f t="shared" si="122"/>
        <v>45852</v>
      </c>
      <c r="H536" s="22">
        <f t="shared" si="123"/>
        <v>20</v>
      </c>
      <c r="I536" t="str">
        <f t="shared" si="124"/>
        <v>Delayed </v>
      </c>
      <c r="J536" t="s">
        <v>16</v>
      </c>
      <c r="K536" t="s">
        <v>148</v>
      </c>
      <c r="L536" t="s">
        <v>149</v>
      </c>
      <c r="M536" t="s">
        <v>105</v>
      </c>
      <c r="N536" t="s">
        <v>40</v>
      </c>
      <c r="O536" t="s">
        <v>29</v>
      </c>
      <c r="P536" t="s">
        <v>57</v>
      </c>
      <c r="Q536" t="s">
        <v>1170</v>
      </c>
      <c r="R536" s="3">
        <v>1151.06</v>
      </c>
      <c r="S536" s="3">
        <v>2821.36</v>
      </c>
      <c r="T536" s="3">
        <f t="shared" si="125"/>
        <v>2821.36</v>
      </c>
      <c r="U536" s="3">
        <f>(1+'10. Whatif Control pannel'!$B$6)*T536</f>
        <v>3159.9232</v>
      </c>
      <c r="V536" s="3" t="str">
        <f t="shared" si="126"/>
        <v>High</v>
      </c>
      <c r="W536" s="34">
        <v>0.248</v>
      </c>
      <c r="X536" s="24" t="str">
        <f t="shared" si="127"/>
        <v>High Discount</v>
      </c>
      <c r="Y536" s="36">
        <f>IF(W536&lt;=0.25,W536,'10. Whatif Control pannel'!$B$2)</f>
        <v>0.248</v>
      </c>
      <c r="Z536" s="24">
        <v>20</v>
      </c>
      <c r="AA536" s="13">
        <f>(1+'10. Whatif Control pannel'!$B$10)*Z536</f>
        <v>24</v>
      </c>
      <c r="AB536" s="3">
        <f t="shared" si="128"/>
        <v>42433.2544</v>
      </c>
      <c r="AC536" s="3">
        <f t="shared" si="133"/>
        <v>57030.2939136</v>
      </c>
      <c r="AD536" s="3">
        <f t="shared" si="129"/>
        <v>23021.2</v>
      </c>
      <c r="AE536" s="3">
        <f t="shared" si="130"/>
        <v>19412.0544</v>
      </c>
      <c r="AF536" s="3">
        <f t="shared" si="134"/>
        <v>34009.0939136</v>
      </c>
      <c r="AG536">
        <f t="shared" si="131"/>
        <v>0.457472675015942</v>
      </c>
    </row>
    <row r="537" spans="1:33">
      <c r="A537" t="s">
        <v>1171</v>
      </c>
      <c r="B537" s="20">
        <v>45667</v>
      </c>
      <c r="C537" s="2">
        <f t="shared" si="120"/>
        <v>1</v>
      </c>
      <c r="D537" s="21">
        <f t="shared" si="132"/>
        <v>45667</v>
      </c>
      <c r="E537" s="19" t="str">
        <f t="shared" si="121"/>
        <v>Quarter 1</v>
      </c>
      <c r="F537" s="19">
        <v>45694</v>
      </c>
      <c r="G537" s="19">
        <f t="shared" si="122"/>
        <v>45694</v>
      </c>
      <c r="H537" s="22">
        <f t="shared" si="123"/>
        <v>27</v>
      </c>
      <c r="I537" t="str">
        <f t="shared" si="124"/>
        <v>Delayed </v>
      </c>
      <c r="J537" t="s">
        <v>52</v>
      </c>
      <c r="K537" t="s">
        <v>73</v>
      </c>
      <c r="L537" t="s">
        <v>87</v>
      </c>
      <c r="M537" t="s">
        <v>39</v>
      </c>
      <c r="N537" t="s">
        <v>20</v>
      </c>
      <c r="O537" t="s">
        <v>56</v>
      </c>
      <c r="P537" t="s">
        <v>57</v>
      </c>
      <c r="Q537" t="s">
        <v>1172</v>
      </c>
      <c r="R537" s="3">
        <v>725.62</v>
      </c>
      <c r="S537" s="3">
        <v>1559.19</v>
      </c>
      <c r="T537" s="3">
        <f t="shared" si="125"/>
        <v>1559.19</v>
      </c>
      <c r="U537" s="3">
        <f>(1+'10. Whatif Control pannel'!$B$6)*T537</f>
        <v>1746.2928</v>
      </c>
      <c r="V537" s="3" t="str">
        <f t="shared" si="126"/>
        <v>Medium</v>
      </c>
      <c r="W537" s="34">
        <v>0.19</v>
      </c>
      <c r="X537" s="24" t="str">
        <f t="shared" si="127"/>
        <v>Okay</v>
      </c>
      <c r="Y537" s="36">
        <f>IF(W537&lt;=0.25,W537,'10. Whatif Control pannel'!$B$2)</f>
        <v>0.19</v>
      </c>
      <c r="Z537" s="24">
        <v>12</v>
      </c>
      <c r="AA537" s="13">
        <f>(1+'10. Whatif Control pannel'!$B$10)*Z537</f>
        <v>14.4</v>
      </c>
      <c r="AB537" s="3">
        <f t="shared" si="128"/>
        <v>15155.3268</v>
      </c>
      <c r="AC537" s="3">
        <f t="shared" si="133"/>
        <v>20368.7592192</v>
      </c>
      <c r="AD537" s="3">
        <f t="shared" si="129"/>
        <v>8707.44</v>
      </c>
      <c r="AE537" s="3">
        <f t="shared" si="130"/>
        <v>6447.8868</v>
      </c>
      <c r="AF537" s="3">
        <f t="shared" si="134"/>
        <v>11661.3192192</v>
      </c>
      <c r="AG537">
        <f t="shared" si="131"/>
        <v>0.425453497974059</v>
      </c>
    </row>
    <row r="538" spans="1:33">
      <c r="A538" t="s">
        <v>1173</v>
      </c>
      <c r="B538" s="20">
        <v>45108</v>
      </c>
      <c r="C538" s="2">
        <f t="shared" si="120"/>
        <v>7</v>
      </c>
      <c r="D538" s="21">
        <f t="shared" si="132"/>
        <v>45108</v>
      </c>
      <c r="E538" s="19" t="str">
        <f t="shared" si="121"/>
        <v>Quarter 3</v>
      </c>
      <c r="F538" s="19">
        <v>45118</v>
      </c>
      <c r="G538" s="19">
        <f t="shared" si="122"/>
        <v>45118</v>
      </c>
      <c r="H538" s="22">
        <f t="shared" si="123"/>
        <v>10</v>
      </c>
      <c r="I538" t="str">
        <f t="shared" si="124"/>
        <v>Delayed </v>
      </c>
      <c r="J538" t="s">
        <v>78</v>
      </c>
      <c r="K538" t="s">
        <v>90</v>
      </c>
      <c r="L538" t="s">
        <v>217</v>
      </c>
      <c r="M538" t="s">
        <v>19</v>
      </c>
      <c r="N538" t="s">
        <v>98</v>
      </c>
      <c r="O538" t="s">
        <v>84</v>
      </c>
      <c r="P538" t="s">
        <v>35</v>
      </c>
      <c r="Q538" t="s">
        <v>1174</v>
      </c>
      <c r="R538" s="3">
        <v>479.5</v>
      </c>
      <c r="S538" s="3">
        <v>656.66</v>
      </c>
      <c r="T538" s="3">
        <f t="shared" si="125"/>
        <v>656.66</v>
      </c>
      <c r="U538" s="3">
        <f>(1+'10. Whatif Control pannel'!$B$6)*T538</f>
        <v>735.4592</v>
      </c>
      <c r="V538" s="3" t="str">
        <f t="shared" si="126"/>
        <v>Low</v>
      </c>
      <c r="W538" s="34">
        <v>0.149</v>
      </c>
      <c r="X538" s="24" t="str">
        <f t="shared" si="127"/>
        <v>Okay</v>
      </c>
      <c r="Y538" s="36">
        <f>IF(W538&lt;=0.25,W538,'10. Whatif Control pannel'!$B$2)</f>
        <v>0.149</v>
      </c>
      <c r="Z538" s="24">
        <v>14</v>
      </c>
      <c r="AA538" s="13">
        <f>(1+'10. Whatif Control pannel'!$B$10)*Z538</f>
        <v>16.8</v>
      </c>
      <c r="AB538" s="3">
        <f t="shared" si="128"/>
        <v>7823.44724</v>
      </c>
      <c r="AC538" s="3">
        <f t="shared" si="133"/>
        <v>10514.71309056</v>
      </c>
      <c r="AD538" s="3">
        <f t="shared" si="129"/>
        <v>6713</v>
      </c>
      <c r="AE538" s="3">
        <f t="shared" si="130"/>
        <v>1110.44724</v>
      </c>
      <c r="AF538" s="3">
        <f t="shared" si="134"/>
        <v>3801.71309056</v>
      </c>
      <c r="AG538">
        <f t="shared" si="131"/>
        <v>0.141938356064123</v>
      </c>
    </row>
    <row r="539" spans="1:33">
      <c r="A539" t="s">
        <v>1175</v>
      </c>
      <c r="B539" s="20">
        <v>45520</v>
      </c>
      <c r="C539" s="2">
        <f t="shared" si="120"/>
        <v>8</v>
      </c>
      <c r="D539" s="21">
        <f t="shared" si="132"/>
        <v>45520</v>
      </c>
      <c r="E539" s="19" t="str">
        <f t="shared" si="121"/>
        <v>Quarter 3</v>
      </c>
      <c r="F539" s="19">
        <v>45530</v>
      </c>
      <c r="G539" s="19">
        <f t="shared" si="122"/>
        <v>45530</v>
      </c>
      <c r="H539" s="22">
        <f t="shared" si="123"/>
        <v>10</v>
      </c>
      <c r="I539" t="str">
        <f t="shared" si="124"/>
        <v>Delayed </v>
      </c>
      <c r="J539" t="s">
        <v>52</v>
      </c>
      <c r="K539" t="s">
        <v>122</v>
      </c>
      <c r="L539" t="s">
        <v>123</v>
      </c>
      <c r="M539" t="s">
        <v>19</v>
      </c>
      <c r="N539" t="s">
        <v>55</v>
      </c>
      <c r="O539" t="s">
        <v>49</v>
      </c>
      <c r="P539" t="s">
        <v>57</v>
      </c>
      <c r="Q539" t="s">
        <v>878</v>
      </c>
      <c r="R539" s="3">
        <v>1291.7</v>
      </c>
      <c r="S539" s="3">
        <v>2657.84</v>
      </c>
      <c r="T539" s="3">
        <f t="shared" si="125"/>
        <v>2657.84</v>
      </c>
      <c r="U539" s="3">
        <f>(1+'10. Whatif Control pannel'!$B$6)*T539</f>
        <v>2976.7808</v>
      </c>
      <c r="V539" s="3" t="str">
        <f t="shared" si="126"/>
        <v>High</v>
      </c>
      <c r="W539" s="34">
        <v>0.087</v>
      </c>
      <c r="X539" s="24" t="str">
        <f t="shared" si="127"/>
        <v>Okay</v>
      </c>
      <c r="Y539" s="36">
        <f>IF(W539&lt;=0.25,W539,'10. Whatif Control pannel'!$B$2)</f>
        <v>0.087</v>
      </c>
      <c r="Z539" s="24">
        <v>21</v>
      </c>
      <c r="AA539" s="13">
        <f>(1+'10. Whatif Control pannel'!$B$10)*Z539</f>
        <v>25.2</v>
      </c>
      <c r="AB539" s="3">
        <f t="shared" si="128"/>
        <v>50958.76632</v>
      </c>
      <c r="AC539" s="3">
        <f t="shared" si="133"/>
        <v>68488.58193408</v>
      </c>
      <c r="AD539" s="3">
        <f t="shared" si="129"/>
        <v>27125.7</v>
      </c>
      <c r="AE539" s="3">
        <f t="shared" si="130"/>
        <v>23833.06632</v>
      </c>
      <c r="AF539" s="3">
        <f t="shared" si="134"/>
        <v>41362.88193408</v>
      </c>
      <c r="AG539">
        <f t="shared" si="131"/>
        <v>0.467693157450834</v>
      </c>
    </row>
    <row r="540" spans="1:33">
      <c r="A540" t="s">
        <v>1176</v>
      </c>
      <c r="B540" s="20">
        <v>45114</v>
      </c>
      <c r="C540" s="2">
        <f t="shared" si="120"/>
        <v>7</v>
      </c>
      <c r="D540" s="21">
        <f t="shared" si="132"/>
        <v>45114</v>
      </c>
      <c r="E540" s="19" t="str">
        <f t="shared" si="121"/>
        <v>Quarter 3</v>
      </c>
      <c r="F540" s="19">
        <v>45120</v>
      </c>
      <c r="G540" s="19">
        <f t="shared" si="122"/>
        <v>45120</v>
      </c>
      <c r="H540" s="22">
        <f t="shared" si="123"/>
        <v>6</v>
      </c>
      <c r="I540" t="str">
        <f t="shared" si="124"/>
        <v>Ontime</v>
      </c>
      <c r="J540" t="s">
        <v>16</v>
      </c>
      <c r="K540" t="s">
        <v>148</v>
      </c>
      <c r="L540" t="s">
        <v>258</v>
      </c>
      <c r="M540" t="s">
        <v>62</v>
      </c>
      <c r="N540" t="s">
        <v>40</v>
      </c>
      <c r="O540" t="s">
        <v>56</v>
      </c>
      <c r="P540" t="s">
        <v>81</v>
      </c>
      <c r="Q540" t="s">
        <v>1177</v>
      </c>
      <c r="R540" s="3">
        <v>612.59</v>
      </c>
      <c r="S540" s="3">
        <v>1424.74</v>
      </c>
      <c r="T540" s="3">
        <f t="shared" si="125"/>
        <v>1424.74</v>
      </c>
      <c r="U540" s="3">
        <f>(1+'10. Whatif Control pannel'!$B$6)*T540</f>
        <v>1595.7088</v>
      </c>
      <c r="V540" s="3" t="str">
        <f t="shared" si="126"/>
        <v>Medium</v>
      </c>
      <c r="W540" s="34">
        <v>0.044</v>
      </c>
      <c r="X540" s="24" t="str">
        <f t="shared" si="127"/>
        <v>Okay</v>
      </c>
      <c r="Y540" s="36">
        <f>IF(W540&lt;=0.25,W540,'10. Whatif Control pannel'!$B$2)</f>
        <v>0.044</v>
      </c>
      <c r="Z540" s="24">
        <v>15</v>
      </c>
      <c r="AA540" s="13">
        <f>(1+'10. Whatif Control pannel'!$B$10)*Z540</f>
        <v>18</v>
      </c>
      <c r="AB540" s="3">
        <f t="shared" si="128"/>
        <v>20430.7716</v>
      </c>
      <c r="AC540" s="3">
        <f t="shared" si="133"/>
        <v>27458.9570304</v>
      </c>
      <c r="AD540" s="3">
        <f t="shared" si="129"/>
        <v>9188.85</v>
      </c>
      <c r="AE540" s="3">
        <f t="shared" si="130"/>
        <v>11241.9216</v>
      </c>
      <c r="AF540" s="3">
        <f t="shared" si="134"/>
        <v>18270.1070304</v>
      </c>
      <c r="AG540">
        <f t="shared" si="131"/>
        <v>0.550244592818022</v>
      </c>
    </row>
    <row r="541" spans="1:33">
      <c r="A541" t="s">
        <v>1178</v>
      </c>
      <c r="B541" s="20">
        <v>45288</v>
      </c>
      <c r="C541" s="2">
        <f t="shared" si="120"/>
        <v>12</v>
      </c>
      <c r="D541" s="21">
        <f t="shared" si="132"/>
        <v>45288</v>
      </c>
      <c r="E541" s="19" t="str">
        <f t="shared" si="121"/>
        <v>Quarter 4</v>
      </c>
      <c r="F541" s="19">
        <v>45292</v>
      </c>
      <c r="G541" s="19">
        <f t="shared" si="122"/>
        <v>45292</v>
      </c>
      <c r="H541" s="22">
        <f t="shared" si="123"/>
        <v>4</v>
      </c>
      <c r="I541" t="str">
        <f t="shared" si="124"/>
        <v>Ontime</v>
      </c>
      <c r="J541" t="s">
        <v>16</v>
      </c>
      <c r="K541" t="s">
        <v>148</v>
      </c>
      <c r="L541" t="s">
        <v>258</v>
      </c>
      <c r="M541" t="s">
        <v>27</v>
      </c>
      <c r="N541" t="s">
        <v>55</v>
      </c>
      <c r="O541" t="s">
        <v>75</v>
      </c>
      <c r="P541" t="s">
        <v>30</v>
      </c>
      <c r="Q541" t="s">
        <v>1179</v>
      </c>
      <c r="R541" s="3">
        <v>1141.8</v>
      </c>
      <c r="S541" s="3">
        <v>2318.74</v>
      </c>
      <c r="T541" s="3">
        <f t="shared" si="125"/>
        <v>2318.74</v>
      </c>
      <c r="U541" s="3">
        <f>(1+'10. Whatif Control pannel'!$B$6)*T541</f>
        <v>2596.9888</v>
      </c>
      <c r="V541" s="3" t="str">
        <f t="shared" si="126"/>
        <v>High</v>
      </c>
      <c r="W541" s="34">
        <v>0.107</v>
      </c>
      <c r="X541" s="24" t="str">
        <f t="shared" si="127"/>
        <v>Okay</v>
      </c>
      <c r="Y541" s="36">
        <f>IF(W541&lt;=0.25,W541,'10. Whatif Control pannel'!$B$2)</f>
        <v>0.107</v>
      </c>
      <c r="Z541" s="24">
        <v>32</v>
      </c>
      <c r="AA541" s="13">
        <f>(1+'10. Whatif Control pannel'!$B$10)*Z541</f>
        <v>38.4</v>
      </c>
      <c r="AB541" s="3">
        <f t="shared" si="128"/>
        <v>66260.31424</v>
      </c>
      <c r="AC541" s="3">
        <f t="shared" si="133"/>
        <v>89053.86233856</v>
      </c>
      <c r="AD541" s="3">
        <f t="shared" si="129"/>
        <v>36537.6</v>
      </c>
      <c r="AE541" s="3">
        <f t="shared" si="130"/>
        <v>29722.71424</v>
      </c>
      <c r="AF541" s="3">
        <f t="shared" si="134"/>
        <v>52516.26233856</v>
      </c>
      <c r="AG541">
        <f t="shared" si="131"/>
        <v>0.448574906124683</v>
      </c>
    </row>
    <row r="542" spans="1:33">
      <c r="A542" t="s">
        <v>1180</v>
      </c>
      <c r="B542" s="20">
        <v>44952</v>
      </c>
      <c r="C542" s="2">
        <f t="shared" si="120"/>
        <v>1</v>
      </c>
      <c r="D542" s="21">
        <f t="shared" si="132"/>
        <v>44952</v>
      </c>
      <c r="E542" s="19" t="str">
        <f t="shared" si="121"/>
        <v>Quarter 1</v>
      </c>
      <c r="F542" s="19">
        <v>44972</v>
      </c>
      <c r="G542" s="19">
        <f t="shared" si="122"/>
        <v>44972</v>
      </c>
      <c r="H542" s="22">
        <f t="shared" si="123"/>
        <v>20</v>
      </c>
      <c r="I542" t="str">
        <f t="shared" si="124"/>
        <v>Delayed </v>
      </c>
      <c r="J542" t="s">
        <v>78</v>
      </c>
      <c r="K542" t="s">
        <v>79</v>
      </c>
      <c r="L542" t="s">
        <v>80</v>
      </c>
      <c r="M542" t="s">
        <v>62</v>
      </c>
      <c r="N542" t="s">
        <v>28</v>
      </c>
      <c r="O542" t="s">
        <v>68</v>
      </c>
      <c r="P542" t="s">
        <v>35</v>
      </c>
      <c r="Q542" t="s">
        <v>1181</v>
      </c>
      <c r="R542" s="3">
        <v>492.62</v>
      </c>
      <c r="S542" s="3">
        <v>366.7</v>
      </c>
      <c r="T542" s="3">
        <f t="shared" si="125"/>
        <v>366.7</v>
      </c>
      <c r="U542" s="3">
        <f>(1+'10. Whatif Control pannel'!$B$6)*T542</f>
        <v>410.704</v>
      </c>
      <c r="V542" s="3" t="str">
        <f t="shared" si="126"/>
        <v>Low</v>
      </c>
      <c r="W542" s="34">
        <v>0.089</v>
      </c>
      <c r="X542" s="24" t="str">
        <f t="shared" si="127"/>
        <v>Okay</v>
      </c>
      <c r="Y542" s="36">
        <f>IF(W542&lt;=0.25,W542,'10. Whatif Control pannel'!$B$2)</f>
        <v>0.089</v>
      </c>
      <c r="Z542" s="24">
        <v>10</v>
      </c>
      <c r="AA542" s="13">
        <f>(1+'10. Whatif Control pannel'!$B$10)*Z542</f>
        <v>12</v>
      </c>
      <c r="AB542" s="3">
        <f t="shared" si="128"/>
        <v>3340.637</v>
      </c>
      <c r="AC542" s="3">
        <f t="shared" si="133"/>
        <v>4489.816128</v>
      </c>
      <c r="AD542" s="3">
        <f t="shared" si="129"/>
        <v>4926.2</v>
      </c>
      <c r="AE542" s="3">
        <f t="shared" si="130"/>
        <v>-1585.563</v>
      </c>
      <c r="AF542" s="3">
        <f t="shared" si="134"/>
        <v>-436.383871999999</v>
      </c>
      <c r="AG542">
        <f t="shared" si="131"/>
        <v>-0.474628940528408</v>
      </c>
    </row>
    <row r="543" spans="1:33">
      <c r="A543" t="s">
        <v>1182</v>
      </c>
      <c r="B543" s="20">
        <v>45115</v>
      </c>
      <c r="C543" s="2">
        <f t="shared" si="120"/>
        <v>7</v>
      </c>
      <c r="D543" s="21">
        <f t="shared" si="132"/>
        <v>45115</v>
      </c>
      <c r="E543" s="19" t="str">
        <f t="shared" si="121"/>
        <v>Quarter 3</v>
      </c>
      <c r="F543" s="19">
        <v>45116</v>
      </c>
      <c r="G543" s="19">
        <f t="shared" si="122"/>
        <v>45116</v>
      </c>
      <c r="H543" s="22">
        <f t="shared" si="123"/>
        <v>1</v>
      </c>
      <c r="I543" t="str">
        <f t="shared" si="124"/>
        <v>Ontime</v>
      </c>
      <c r="J543" t="s">
        <v>16</v>
      </c>
      <c r="K543" t="s">
        <v>17</v>
      </c>
      <c r="L543" t="s">
        <v>33</v>
      </c>
      <c r="M543" t="s">
        <v>48</v>
      </c>
      <c r="N543" t="s">
        <v>28</v>
      </c>
      <c r="O543" t="s">
        <v>145</v>
      </c>
      <c r="P543" t="s">
        <v>57</v>
      </c>
      <c r="Q543" t="s">
        <v>1183</v>
      </c>
      <c r="R543" s="3">
        <v>1258.72</v>
      </c>
      <c r="S543" s="3">
        <v>2797.41</v>
      </c>
      <c r="T543" s="3">
        <f t="shared" si="125"/>
        <v>2797.41</v>
      </c>
      <c r="U543" s="3">
        <f>(1+'10. Whatif Control pannel'!$B$6)*T543</f>
        <v>3133.0992</v>
      </c>
      <c r="V543" s="3" t="str">
        <f t="shared" si="126"/>
        <v>High</v>
      </c>
      <c r="W543" s="34">
        <v>0</v>
      </c>
      <c r="X543" s="24" t="str">
        <f t="shared" si="127"/>
        <v>Okay</v>
      </c>
      <c r="Y543" s="36">
        <f>IF(W543&lt;=0.25,W543,'10. Whatif Control pannel'!$B$2)</f>
        <v>0</v>
      </c>
      <c r="Z543" s="24">
        <v>7</v>
      </c>
      <c r="AA543" s="13">
        <f>(1+'10. Whatif Control pannel'!$B$10)*Z543</f>
        <v>8.4</v>
      </c>
      <c r="AB543" s="3">
        <f t="shared" si="128"/>
        <v>19581.87</v>
      </c>
      <c r="AC543" s="3">
        <f t="shared" si="133"/>
        <v>26318.03328</v>
      </c>
      <c r="AD543" s="3">
        <f t="shared" si="129"/>
        <v>8811.04</v>
      </c>
      <c r="AE543" s="3">
        <f t="shared" si="130"/>
        <v>10770.83</v>
      </c>
      <c r="AF543" s="3">
        <f t="shared" si="134"/>
        <v>17506.99328</v>
      </c>
      <c r="AG543">
        <f t="shared" si="131"/>
        <v>0.550040930718057</v>
      </c>
    </row>
    <row r="544" spans="1:33">
      <c r="A544" t="s">
        <v>1184</v>
      </c>
      <c r="B544" s="20">
        <v>45450</v>
      </c>
      <c r="C544" s="2">
        <f t="shared" si="120"/>
        <v>6</v>
      </c>
      <c r="D544" s="21">
        <f t="shared" si="132"/>
        <v>45450</v>
      </c>
      <c r="E544" s="19" t="str">
        <f t="shared" si="121"/>
        <v>Quarter 2</v>
      </c>
      <c r="F544" s="19">
        <v>45452</v>
      </c>
      <c r="G544" s="19">
        <f t="shared" si="122"/>
        <v>45452</v>
      </c>
      <c r="H544" s="22">
        <f t="shared" si="123"/>
        <v>2</v>
      </c>
      <c r="I544" t="str">
        <f t="shared" si="124"/>
        <v>Ontime</v>
      </c>
      <c r="J544" t="s">
        <v>45</v>
      </c>
      <c r="K544" t="s">
        <v>116</v>
      </c>
      <c r="L544" t="s">
        <v>162</v>
      </c>
      <c r="M544" t="s">
        <v>19</v>
      </c>
      <c r="N544" t="s">
        <v>20</v>
      </c>
      <c r="O544" t="s">
        <v>68</v>
      </c>
      <c r="P544" t="s">
        <v>64</v>
      </c>
      <c r="Q544" t="s">
        <v>1185</v>
      </c>
      <c r="R544" s="3">
        <v>1370.28</v>
      </c>
      <c r="S544" s="3">
        <v>2209.66</v>
      </c>
      <c r="T544" s="3">
        <f t="shared" si="125"/>
        <v>2209.66</v>
      </c>
      <c r="U544" s="3">
        <f>(1+'10. Whatif Control pannel'!$B$6)*T544</f>
        <v>2474.8192</v>
      </c>
      <c r="V544" s="3" t="str">
        <f t="shared" si="126"/>
        <v>High</v>
      </c>
      <c r="W544" s="34">
        <v>0.133</v>
      </c>
      <c r="X544" s="24" t="str">
        <f t="shared" si="127"/>
        <v>Okay</v>
      </c>
      <c r="Y544" s="36">
        <f>IF(W544&lt;=0.25,W544,'10. Whatif Control pannel'!$B$2)</f>
        <v>0.133</v>
      </c>
      <c r="Z544" s="24">
        <v>16</v>
      </c>
      <c r="AA544" s="13">
        <f>(1+'10. Whatif Control pannel'!$B$10)*Z544</f>
        <v>19.2</v>
      </c>
      <c r="AB544" s="3">
        <f t="shared" si="128"/>
        <v>30652.40352</v>
      </c>
      <c r="AC544" s="3">
        <f t="shared" si="133"/>
        <v>41196.83033088</v>
      </c>
      <c r="AD544" s="3">
        <f t="shared" si="129"/>
        <v>21924.48</v>
      </c>
      <c r="AE544" s="3">
        <f t="shared" si="130"/>
        <v>8727.92352</v>
      </c>
      <c r="AF544" s="3">
        <f t="shared" si="134"/>
        <v>19272.35033088</v>
      </c>
      <c r="AG544">
        <f t="shared" si="131"/>
        <v>0.284738634420796</v>
      </c>
    </row>
    <row r="545" spans="1:33">
      <c r="A545" t="s">
        <v>1186</v>
      </c>
      <c r="B545" s="20">
        <v>44968</v>
      </c>
      <c r="C545" s="2">
        <f t="shared" si="120"/>
        <v>2</v>
      </c>
      <c r="D545" s="21">
        <f t="shared" si="132"/>
        <v>44968</v>
      </c>
      <c r="E545" s="19" t="str">
        <f t="shared" si="121"/>
        <v>Quarter 1</v>
      </c>
      <c r="F545" s="19">
        <v>44969</v>
      </c>
      <c r="G545" s="19">
        <f t="shared" si="122"/>
        <v>44969</v>
      </c>
      <c r="H545" s="22">
        <f t="shared" si="123"/>
        <v>1</v>
      </c>
      <c r="I545" t="str">
        <f t="shared" si="124"/>
        <v>Ontime</v>
      </c>
      <c r="J545" t="s">
        <v>16</v>
      </c>
      <c r="K545" t="s">
        <v>25</v>
      </c>
      <c r="L545" t="s">
        <v>26</v>
      </c>
      <c r="M545" t="s">
        <v>39</v>
      </c>
      <c r="N545" t="s">
        <v>98</v>
      </c>
      <c r="O545" t="s">
        <v>145</v>
      </c>
      <c r="P545" t="s">
        <v>81</v>
      </c>
      <c r="Q545" t="s">
        <v>1187</v>
      </c>
      <c r="R545" s="3">
        <v>944.61</v>
      </c>
      <c r="S545" s="3">
        <v>839.04</v>
      </c>
      <c r="T545" s="3">
        <f t="shared" si="125"/>
        <v>839.04</v>
      </c>
      <c r="U545" s="3">
        <f>(1+'10. Whatif Control pannel'!$B$6)*T545</f>
        <v>939.7248</v>
      </c>
      <c r="V545" s="3" t="str">
        <f t="shared" si="126"/>
        <v>Low</v>
      </c>
      <c r="W545" s="34">
        <v>0.059</v>
      </c>
      <c r="X545" s="24" t="str">
        <f t="shared" si="127"/>
        <v>Okay</v>
      </c>
      <c r="Y545" s="36">
        <f>IF(W545&lt;=0.25,W545,'10. Whatif Control pannel'!$B$2)</f>
        <v>0.059</v>
      </c>
      <c r="Z545" s="24">
        <v>6</v>
      </c>
      <c r="AA545" s="13">
        <f>(1+'10. Whatif Control pannel'!$B$10)*Z545</f>
        <v>7.2</v>
      </c>
      <c r="AB545" s="3">
        <f t="shared" si="128"/>
        <v>4737.21984</v>
      </c>
      <c r="AC545" s="3">
        <f t="shared" si="133"/>
        <v>6366.82346496</v>
      </c>
      <c r="AD545" s="3">
        <f t="shared" si="129"/>
        <v>5667.66</v>
      </c>
      <c r="AE545" s="3">
        <f t="shared" si="130"/>
        <v>-930.44016</v>
      </c>
      <c r="AF545" s="3">
        <f t="shared" si="134"/>
        <v>699.16346496</v>
      </c>
      <c r="AG545">
        <f t="shared" si="131"/>
        <v>-0.196410593433637</v>
      </c>
    </row>
    <row r="546" spans="1:33">
      <c r="A546" t="s">
        <v>1188</v>
      </c>
      <c r="B546" s="20">
        <v>45108</v>
      </c>
      <c r="C546" s="2">
        <f t="shared" si="120"/>
        <v>7</v>
      </c>
      <c r="D546" s="21">
        <f t="shared" si="132"/>
        <v>45108</v>
      </c>
      <c r="E546" s="19" t="str">
        <f t="shared" si="121"/>
        <v>Quarter 3</v>
      </c>
      <c r="F546" s="19">
        <v>45115</v>
      </c>
      <c r="G546" s="19">
        <f t="shared" si="122"/>
        <v>45115</v>
      </c>
      <c r="H546" s="22">
        <f t="shared" si="123"/>
        <v>7</v>
      </c>
      <c r="I546" t="str">
        <f t="shared" si="124"/>
        <v>Ontime</v>
      </c>
      <c r="J546" t="s">
        <v>78</v>
      </c>
      <c r="K546" t="s">
        <v>79</v>
      </c>
      <c r="L546" t="s">
        <v>335</v>
      </c>
      <c r="M546" t="s">
        <v>62</v>
      </c>
      <c r="N546" t="s">
        <v>55</v>
      </c>
      <c r="O546" t="s">
        <v>126</v>
      </c>
      <c r="P546" t="s">
        <v>57</v>
      </c>
      <c r="Q546" t="s">
        <v>1189</v>
      </c>
      <c r="R546" s="3">
        <v>460.21</v>
      </c>
      <c r="S546" s="3">
        <v>1139.15</v>
      </c>
      <c r="T546" s="3">
        <f t="shared" si="125"/>
        <v>1139.15</v>
      </c>
      <c r="U546" s="3">
        <f>(1+'10. Whatif Control pannel'!$B$6)*T546</f>
        <v>1275.848</v>
      </c>
      <c r="V546" s="3" t="str">
        <f t="shared" si="126"/>
        <v>Medium</v>
      </c>
      <c r="W546" s="34">
        <v>0.115</v>
      </c>
      <c r="X546" s="24" t="str">
        <f t="shared" si="127"/>
        <v>Okay</v>
      </c>
      <c r="Y546" s="36">
        <f>IF(W546&lt;=0.25,W546,'10. Whatif Control pannel'!$B$2)</f>
        <v>0.115</v>
      </c>
      <c r="Z546" s="24">
        <v>14</v>
      </c>
      <c r="AA546" s="13">
        <f>(1+'10. Whatif Control pannel'!$B$10)*Z546</f>
        <v>16.8</v>
      </c>
      <c r="AB546" s="3">
        <f t="shared" si="128"/>
        <v>14114.0685</v>
      </c>
      <c r="AC546" s="3">
        <f t="shared" si="133"/>
        <v>18969.308064</v>
      </c>
      <c r="AD546" s="3">
        <f t="shared" si="129"/>
        <v>6442.94</v>
      </c>
      <c r="AE546" s="3">
        <f t="shared" si="130"/>
        <v>7671.1285</v>
      </c>
      <c r="AF546" s="3">
        <f t="shared" si="134"/>
        <v>12526.368064</v>
      </c>
      <c r="AG546">
        <f t="shared" si="131"/>
        <v>0.543509371518213</v>
      </c>
    </row>
    <row r="547" spans="1:33">
      <c r="A547" t="s">
        <v>1190</v>
      </c>
      <c r="B547" s="20">
        <v>45889</v>
      </c>
      <c r="C547" s="2">
        <f t="shared" si="120"/>
        <v>8</v>
      </c>
      <c r="D547" s="21">
        <f t="shared" si="132"/>
        <v>45889</v>
      </c>
      <c r="E547" s="19" t="str">
        <f t="shared" si="121"/>
        <v>Quarter 3</v>
      </c>
      <c r="F547" s="19">
        <v>45895</v>
      </c>
      <c r="G547" s="19">
        <f t="shared" si="122"/>
        <v>45895</v>
      </c>
      <c r="H547" s="22">
        <f t="shared" si="123"/>
        <v>6</v>
      </c>
      <c r="I547" t="str">
        <f t="shared" si="124"/>
        <v>Ontime</v>
      </c>
      <c r="J547" t="s">
        <v>52</v>
      </c>
      <c r="K547" t="s">
        <v>122</v>
      </c>
      <c r="L547" t="s">
        <v>387</v>
      </c>
      <c r="M547" t="s">
        <v>19</v>
      </c>
      <c r="N547" t="s">
        <v>20</v>
      </c>
      <c r="O547" t="s">
        <v>110</v>
      </c>
      <c r="P547" t="s">
        <v>35</v>
      </c>
      <c r="Q547" t="s">
        <v>1191</v>
      </c>
      <c r="R547" s="3">
        <v>1304.95</v>
      </c>
      <c r="S547" s="3">
        <v>1712.03</v>
      </c>
      <c r="T547" s="3">
        <f t="shared" si="125"/>
        <v>1712.03</v>
      </c>
      <c r="U547" s="3">
        <f>(1+'10. Whatif Control pannel'!$B$6)*T547</f>
        <v>1917.4736</v>
      </c>
      <c r="V547" s="3" t="str">
        <f t="shared" si="126"/>
        <v>High</v>
      </c>
      <c r="W547" s="34">
        <v>0.212</v>
      </c>
      <c r="X547" s="24" t="str">
        <f t="shared" si="127"/>
        <v>High Discount</v>
      </c>
      <c r="Y547" s="36">
        <f>IF(W547&lt;=0.25,W547,'10. Whatif Control pannel'!$B$2)</f>
        <v>0.212</v>
      </c>
      <c r="Z547" s="24">
        <v>8</v>
      </c>
      <c r="AA547" s="13">
        <f>(1+'10. Whatif Control pannel'!$B$10)*Z547</f>
        <v>9.6</v>
      </c>
      <c r="AB547" s="3">
        <f t="shared" si="128"/>
        <v>10792.63712</v>
      </c>
      <c r="AC547" s="3">
        <f t="shared" si="133"/>
        <v>14505.30428928</v>
      </c>
      <c r="AD547" s="3">
        <f t="shared" si="129"/>
        <v>10439.6</v>
      </c>
      <c r="AE547" s="3">
        <f t="shared" si="130"/>
        <v>353.037119999999</v>
      </c>
      <c r="AF547" s="3">
        <f t="shared" si="134"/>
        <v>4065.70428928</v>
      </c>
      <c r="AG547">
        <f t="shared" si="131"/>
        <v>0.0327109228332879</v>
      </c>
    </row>
    <row r="548" spans="1:33">
      <c r="A548" t="s">
        <v>1192</v>
      </c>
      <c r="B548" s="20">
        <v>45355</v>
      </c>
      <c r="C548" s="2">
        <f t="shared" si="120"/>
        <v>3</v>
      </c>
      <c r="D548" s="21">
        <f t="shared" si="132"/>
        <v>45355</v>
      </c>
      <c r="E548" s="19" t="str">
        <f t="shared" si="121"/>
        <v>Quarter 1</v>
      </c>
      <c r="F548" s="19">
        <v>45367</v>
      </c>
      <c r="G548" s="19">
        <f t="shared" si="122"/>
        <v>45367</v>
      </c>
      <c r="H548" s="22">
        <f t="shared" si="123"/>
        <v>12</v>
      </c>
      <c r="I548" t="str">
        <f t="shared" si="124"/>
        <v>Delayed </v>
      </c>
      <c r="J548" t="s">
        <v>16</v>
      </c>
      <c r="K548" t="s">
        <v>148</v>
      </c>
      <c r="L548" t="s">
        <v>149</v>
      </c>
      <c r="M548" t="s">
        <v>105</v>
      </c>
      <c r="N548" t="s">
        <v>55</v>
      </c>
      <c r="O548" t="s">
        <v>110</v>
      </c>
      <c r="P548" t="s">
        <v>64</v>
      </c>
      <c r="Q548" t="s">
        <v>1193</v>
      </c>
      <c r="R548" s="3">
        <v>441.08</v>
      </c>
      <c r="S548" s="3">
        <v>1054.29</v>
      </c>
      <c r="T548" s="3">
        <f t="shared" si="125"/>
        <v>1054.29</v>
      </c>
      <c r="U548" s="3">
        <f>(1+'10. Whatif Control pannel'!$B$6)*T548</f>
        <v>1180.8048</v>
      </c>
      <c r="V548" s="3" t="str">
        <f t="shared" si="126"/>
        <v>Medium</v>
      </c>
      <c r="W548" s="34">
        <v>0.237</v>
      </c>
      <c r="X548" s="24" t="str">
        <f t="shared" si="127"/>
        <v>High Discount</v>
      </c>
      <c r="Y548" s="36">
        <f>IF(W548&lt;=0.25,W548,'10. Whatif Control pannel'!$B$2)</f>
        <v>0.237</v>
      </c>
      <c r="Z548" s="24">
        <v>6</v>
      </c>
      <c r="AA548" s="13">
        <f>(1+'10. Whatif Control pannel'!$B$10)*Z548</f>
        <v>7.2</v>
      </c>
      <c r="AB548" s="3">
        <f t="shared" si="128"/>
        <v>4826.53962</v>
      </c>
      <c r="AC548" s="3">
        <f t="shared" si="133"/>
        <v>6486.86924928</v>
      </c>
      <c r="AD548" s="3">
        <f t="shared" si="129"/>
        <v>2646.48</v>
      </c>
      <c r="AE548" s="3">
        <f t="shared" si="130"/>
        <v>2180.05962</v>
      </c>
      <c r="AF548" s="3">
        <f t="shared" si="134"/>
        <v>3840.38924928</v>
      </c>
      <c r="AG548">
        <f t="shared" si="131"/>
        <v>0.451681699859329</v>
      </c>
    </row>
    <row r="549" spans="1:33">
      <c r="A549" t="s">
        <v>1194</v>
      </c>
      <c r="B549" s="20">
        <v>45177</v>
      </c>
      <c r="C549" s="2">
        <f t="shared" si="120"/>
        <v>9</v>
      </c>
      <c r="D549" s="21">
        <f t="shared" si="132"/>
        <v>45177</v>
      </c>
      <c r="E549" s="19" t="str">
        <f t="shared" si="121"/>
        <v>Quarter 3</v>
      </c>
      <c r="F549" s="19">
        <v>45201</v>
      </c>
      <c r="G549" s="19">
        <f t="shared" si="122"/>
        <v>45201</v>
      </c>
      <c r="H549" s="22">
        <f t="shared" si="123"/>
        <v>24</v>
      </c>
      <c r="I549" t="str">
        <f t="shared" si="124"/>
        <v>Delayed </v>
      </c>
      <c r="J549" t="s">
        <v>52</v>
      </c>
      <c r="K549" t="s">
        <v>53</v>
      </c>
      <c r="L549" t="s">
        <v>54</v>
      </c>
      <c r="M549" t="s">
        <v>27</v>
      </c>
      <c r="N549" t="s">
        <v>98</v>
      </c>
      <c r="O549" t="s">
        <v>75</v>
      </c>
      <c r="P549" t="s">
        <v>81</v>
      </c>
      <c r="Q549" t="s">
        <v>1195</v>
      </c>
      <c r="R549" s="3">
        <v>1299.03</v>
      </c>
      <c r="S549" s="3">
        <v>2451.22</v>
      </c>
      <c r="T549" s="3">
        <f t="shared" si="125"/>
        <v>2451.22</v>
      </c>
      <c r="U549" s="3">
        <f>(1+'10. Whatif Control pannel'!$B$6)*T549</f>
        <v>2745.3664</v>
      </c>
      <c r="V549" s="3" t="str">
        <f t="shared" si="126"/>
        <v>High</v>
      </c>
      <c r="W549" s="34">
        <v>0.208</v>
      </c>
      <c r="X549" s="24" t="str">
        <f t="shared" si="127"/>
        <v>High Discount</v>
      </c>
      <c r="Y549" s="36">
        <f>IF(W549&lt;=0.25,W549,'10. Whatif Control pannel'!$B$2)</f>
        <v>0.208</v>
      </c>
      <c r="Z549" s="24">
        <v>8</v>
      </c>
      <c r="AA549" s="13">
        <f>(1+'10. Whatif Control pannel'!$B$10)*Z549</f>
        <v>9.6</v>
      </c>
      <c r="AB549" s="3">
        <f t="shared" si="128"/>
        <v>15530.92992</v>
      </c>
      <c r="AC549" s="3">
        <f t="shared" si="133"/>
        <v>20873.56981248</v>
      </c>
      <c r="AD549" s="3">
        <f t="shared" si="129"/>
        <v>10392.24</v>
      </c>
      <c r="AE549" s="3">
        <f t="shared" si="130"/>
        <v>5138.68992</v>
      </c>
      <c r="AF549" s="3">
        <f t="shared" si="134"/>
        <v>10481.32981248</v>
      </c>
      <c r="AG549">
        <f t="shared" si="131"/>
        <v>0.330868141603204</v>
      </c>
    </row>
    <row r="550" spans="1:33">
      <c r="A550" t="s">
        <v>1196</v>
      </c>
      <c r="B550" s="20">
        <v>44985</v>
      </c>
      <c r="C550" s="2">
        <f t="shared" si="120"/>
        <v>2</v>
      </c>
      <c r="D550" s="21">
        <f t="shared" si="132"/>
        <v>44985</v>
      </c>
      <c r="E550" s="19" t="str">
        <f t="shared" si="121"/>
        <v>Quarter 1</v>
      </c>
      <c r="F550" s="19">
        <v>44991</v>
      </c>
      <c r="G550" s="19">
        <f t="shared" si="122"/>
        <v>44991</v>
      </c>
      <c r="H550" s="22">
        <f t="shared" si="123"/>
        <v>6</v>
      </c>
      <c r="I550" t="str">
        <f t="shared" si="124"/>
        <v>Ontime</v>
      </c>
      <c r="J550" t="s">
        <v>78</v>
      </c>
      <c r="K550" t="s">
        <v>79</v>
      </c>
      <c r="L550" t="s">
        <v>335</v>
      </c>
      <c r="M550" t="s">
        <v>62</v>
      </c>
      <c r="N550" t="s">
        <v>40</v>
      </c>
      <c r="O550" t="s">
        <v>145</v>
      </c>
      <c r="P550" t="s">
        <v>30</v>
      </c>
      <c r="Q550" t="s">
        <v>1197</v>
      </c>
      <c r="R550" s="3">
        <v>880.02</v>
      </c>
      <c r="S550" s="3">
        <v>1251.21</v>
      </c>
      <c r="T550" s="3">
        <f t="shared" si="125"/>
        <v>1251.21</v>
      </c>
      <c r="U550" s="3">
        <f>(1+'10. Whatif Control pannel'!$B$6)*T550</f>
        <v>1401.3552</v>
      </c>
      <c r="V550" s="3" t="str">
        <f t="shared" si="126"/>
        <v>Medium</v>
      </c>
      <c r="W550" s="34">
        <v>0.123</v>
      </c>
      <c r="X550" s="24" t="str">
        <f t="shared" si="127"/>
        <v>Okay</v>
      </c>
      <c r="Y550" s="36">
        <f>IF(W550&lt;=0.25,W550,'10. Whatif Control pannel'!$B$2)</f>
        <v>0.123</v>
      </c>
      <c r="Z550" s="24">
        <v>29</v>
      </c>
      <c r="AA550" s="13">
        <f>(1+'10. Whatif Control pannel'!$B$10)*Z550</f>
        <v>34.8</v>
      </c>
      <c r="AB550" s="3">
        <f t="shared" si="128"/>
        <v>31822.02393</v>
      </c>
      <c r="AC550" s="3">
        <f t="shared" si="133"/>
        <v>42768.80016192</v>
      </c>
      <c r="AD550" s="3">
        <f t="shared" si="129"/>
        <v>25520.58</v>
      </c>
      <c r="AE550" s="3">
        <f t="shared" si="130"/>
        <v>6301.44393</v>
      </c>
      <c r="AF550" s="3">
        <f t="shared" si="134"/>
        <v>17248.22016192</v>
      </c>
      <c r="AG550">
        <f t="shared" si="131"/>
        <v>0.198021469151727</v>
      </c>
    </row>
    <row r="551" spans="1:33">
      <c r="A551" t="s">
        <v>1198</v>
      </c>
      <c r="B551" s="20">
        <v>45486</v>
      </c>
      <c r="C551" s="2">
        <f t="shared" si="120"/>
        <v>7</v>
      </c>
      <c r="D551" s="21">
        <f t="shared" si="132"/>
        <v>45486</v>
      </c>
      <c r="E551" s="19" t="str">
        <f t="shared" si="121"/>
        <v>Quarter 3</v>
      </c>
      <c r="F551" s="19">
        <v>45507</v>
      </c>
      <c r="G551" s="19">
        <f t="shared" si="122"/>
        <v>45507</v>
      </c>
      <c r="H551" s="22">
        <f t="shared" si="123"/>
        <v>21</v>
      </c>
      <c r="I551" t="str">
        <f t="shared" si="124"/>
        <v>Delayed </v>
      </c>
      <c r="J551" t="s">
        <v>52</v>
      </c>
      <c r="K551" t="s">
        <v>73</v>
      </c>
      <c r="L551" t="s">
        <v>225</v>
      </c>
      <c r="M551" t="s">
        <v>19</v>
      </c>
      <c r="N551" t="s">
        <v>40</v>
      </c>
      <c r="O551" t="s">
        <v>110</v>
      </c>
      <c r="P551" t="s">
        <v>64</v>
      </c>
      <c r="Q551" t="s">
        <v>1199</v>
      </c>
      <c r="R551" s="3">
        <v>702.98</v>
      </c>
      <c r="S551" s="3">
        <v>1104.8</v>
      </c>
      <c r="T551" s="3">
        <f t="shared" si="125"/>
        <v>1104.8</v>
      </c>
      <c r="U551" s="3">
        <f>(1+'10. Whatif Control pannel'!$B$6)*T551</f>
        <v>1237.376</v>
      </c>
      <c r="V551" s="3" t="str">
        <f t="shared" si="126"/>
        <v>Medium</v>
      </c>
      <c r="W551" s="34">
        <v>0.175</v>
      </c>
      <c r="X551" s="24" t="str">
        <f t="shared" si="127"/>
        <v>Okay</v>
      </c>
      <c r="Y551" s="36">
        <f>IF(W551&lt;=0.25,W551,'10. Whatif Control pannel'!$B$2)</f>
        <v>0.175</v>
      </c>
      <c r="Z551" s="24">
        <v>12</v>
      </c>
      <c r="AA551" s="13">
        <f>(1+'10. Whatif Control pannel'!$B$10)*Z551</f>
        <v>14.4</v>
      </c>
      <c r="AB551" s="3">
        <f t="shared" si="128"/>
        <v>10937.52</v>
      </c>
      <c r="AC551" s="3">
        <f t="shared" si="133"/>
        <v>14700.02688</v>
      </c>
      <c r="AD551" s="3">
        <f t="shared" si="129"/>
        <v>8435.76</v>
      </c>
      <c r="AE551" s="3">
        <f t="shared" si="130"/>
        <v>2501.76</v>
      </c>
      <c r="AF551" s="3">
        <f t="shared" si="134"/>
        <v>6264.26688</v>
      </c>
      <c r="AG551">
        <f t="shared" si="131"/>
        <v>0.228731924604481</v>
      </c>
    </row>
    <row r="552" spans="1:33">
      <c r="A552" t="s">
        <v>1200</v>
      </c>
      <c r="B552" s="20">
        <v>45633</v>
      </c>
      <c r="C552" s="2">
        <f t="shared" si="120"/>
        <v>12</v>
      </c>
      <c r="D552" s="21">
        <f t="shared" si="132"/>
        <v>45633</v>
      </c>
      <c r="E552" s="19" t="str">
        <f t="shared" si="121"/>
        <v>Quarter 4</v>
      </c>
      <c r="F552" s="19">
        <v>45652</v>
      </c>
      <c r="G552" s="19">
        <f t="shared" si="122"/>
        <v>45652</v>
      </c>
      <c r="H552" s="22">
        <f t="shared" si="123"/>
        <v>19</v>
      </c>
      <c r="I552" t="str">
        <f t="shared" si="124"/>
        <v>Delayed </v>
      </c>
      <c r="J552" t="s">
        <v>78</v>
      </c>
      <c r="K552" t="s">
        <v>108</v>
      </c>
      <c r="L552" t="s">
        <v>152</v>
      </c>
      <c r="M552" t="s">
        <v>105</v>
      </c>
      <c r="N552" t="s">
        <v>28</v>
      </c>
      <c r="O552" t="s">
        <v>145</v>
      </c>
      <c r="P552" t="s">
        <v>35</v>
      </c>
      <c r="Q552" t="s">
        <v>1201</v>
      </c>
      <c r="R552" s="3">
        <v>1035.24</v>
      </c>
      <c r="S552" s="3">
        <v>2383.41</v>
      </c>
      <c r="T552" s="3">
        <f t="shared" si="125"/>
        <v>2383.41</v>
      </c>
      <c r="U552" s="3">
        <f>(1+'10. Whatif Control pannel'!$B$6)*T552</f>
        <v>2669.4192</v>
      </c>
      <c r="V552" s="3" t="str">
        <f t="shared" si="126"/>
        <v>High</v>
      </c>
      <c r="W552" s="34">
        <v>0.17</v>
      </c>
      <c r="X552" s="24" t="str">
        <f t="shared" si="127"/>
        <v>Okay</v>
      </c>
      <c r="Y552" s="36">
        <f>IF(W552&lt;=0.25,W552,'10. Whatif Control pannel'!$B$2)</f>
        <v>0.17</v>
      </c>
      <c r="Z552" s="24">
        <v>15</v>
      </c>
      <c r="AA552" s="13">
        <f>(1+'10. Whatif Control pannel'!$B$10)*Z552</f>
        <v>18</v>
      </c>
      <c r="AB552" s="3">
        <f t="shared" si="128"/>
        <v>29673.4545</v>
      </c>
      <c r="AC552" s="3">
        <f t="shared" si="133"/>
        <v>39881.122848</v>
      </c>
      <c r="AD552" s="3">
        <f t="shared" si="129"/>
        <v>15528.6</v>
      </c>
      <c r="AE552" s="3">
        <f t="shared" si="130"/>
        <v>14144.8545</v>
      </c>
      <c r="AF552" s="3">
        <f t="shared" si="134"/>
        <v>24352.522848</v>
      </c>
      <c r="AG552">
        <f t="shared" si="131"/>
        <v>0.47668378145861</v>
      </c>
    </row>
    <row r="553" spans="1:33">
      <c r="A553" t="s">
        <v>1202</v>
      </c>
      <c r="B553" s="20">
        <v>45875</v>
      </c>
      <c r="C553" s="2">
        <f t="shared" si="120"/>
        <v>8</v>
      </c>
      <c r="D553" s="21">
        <f t="shared" si="132"/>
        <v>45875</v>
      </c>
      <c r="E553" s="19" t="str">
        <f t="shared" si="121"/>
        <v>Quarter 3</v>
      </c>
      <c r="F553" s="19">
        <v>45892</v>
      </c>
      <c r="G553" s="19">
        <f t="shared" si="122"/>
        <v>45892</v>
      </c>
      <c r="H553" s="22">
        <f t="shared" si="123"/>
        <v>17</v>
      </c>
      <c r="I553" t="str">
        <f t="shared" si="124"/>
        <v>Delayed </v>
      </c>
      <c r="J553" t="s">
        <v>52</v>
      </c>
      <c r="K553" t="s">
        <v>73</v>
      </c>
      <c r="L553" t="s">
        <v>87</v>
      </c>
      <c r="M553" t="s">
        <v>48</v>
      </c>
      <c r="N553" t="s">
        <v>55</v>
      </c>
      <c r="O553" t="s">
        <v>75</v>
      </c>
      <c r="P553" t="s">
        <v>64</v>
      </c>
      <c r="Q553" t="s">
        <v>1203</v>
      </c>
      <c r="R553" s="3">
        <v>86.64</v>
      </c>
      <c r="S553" s="3">
        <v>213.06</v>
      </c>
      <c r="T553" s="3">
        <f t="shared" si="125"/>
        <v>213.06</v>
      </c>
      <c r="U553" s="3">
        <f>(1+'10. Whatif Control pannel'!$B$6)*T553</f>
        <v>238.6272</v>
      </c>
      <c r="V553" s="3" t="str">
        <f t="shared" si="126"/>
        <v>Low</v>
      </c>
      <c r="W553" s="34">
        <v>0.212</v>
      </c>
      <c r="X553" s="24" t="str">
        <f t="shared" si="127"/>
        <v>High Discount</v>
      </c>
      <c r="Y553" s="36">
        <f>IF(W553&lt;=0.25,W553,'10. Whatif Control pannel'!$B$2)</f>
        <v>0.212</v>
      </c>
      <c r="Z553" s="24">
        <v>11</v>
      </c>
      <c r="AA553" s="13">
        <f>(1+'10. Whatif Control pannel'!$B$10)*Z553</f>
        <v>13.2</v>
      </c>
      <c r="AB553" s="3">
        <f t="shared" si="128"/>
        <v>1846.80408</v>
      </c>
      <c r="AC553" s="3">
        <f t="shared" si="133"/>
        <v>2482.10468352</v>
      </c>
      <c r="AD553" s="3">
        <f t="shared" si="129"/>
        <v>953.04</v>
      </c>
      <c r="AE553" s="3">
        <f t="shared" si="130"/>
        <v>893.76408</v>
      </c>
      <c r="AF553" s="3">
        <f t="shared" si="134"/>
        <v>1529.06468352</v>
      </c>
      <c r="AG553">
        <f t="shared" si="131"/>
        <v>0.483951757351543</v>
      </c>
    </row>
    <row r="554" spans="1:33">
      <c r="A554" t="s">
        <v>1204</v>
      </c>
      <c r="B554" s="20">
        <v>44988</v>
      </c>
      <c r="C554" s="2">
        <f t="shared" si="120"/>
        <v>3</v>
      </c>
      <c r="D554" s="21">
        <f t="shared" si="132"/>
        <v>44988</v>
      </c>
      <c r="E554" s="19" t="str">
        <f t="shared" si="121"/>
        <v>Quarter 1</v>
      </c>
      <c r="F554" s="19">
        <v>45005</v>
      </c>
      <c r="G554" s="19">
        <f t="shared" si="122"/>
        <v>45005</v>
      </c>
      <c r="H554" s="22">
        <f t="shared" si="123"/>
        <v>17</v>
      </c>
      <c r="I554" t="str">
        <f t="shared" si="124"/>
        <v>Delayed </v>
      </c>
      <c r="J554" t="s">
        <v>45</v>
      </c>
      <c r="K554" t="s">
        <v>46</v>
      </c>
      <c r="L554" t="s">
        <v>231</v>
      </c>
      <c r="M554" t="s">
        <v>62</v>
      </c>
      <c r="N554" t="s">
        <v>28</v>
      </c>
      <c r="O554" t="s">
        <v>145</v>
      </c>
      <c r="P554" t="s">
        <v>35</v>
      </c>
      <c r="Q554" t="s">
        <v>1205</v>
      </c>
      <c r="R554" s="3">
        <v>1171.17</v>
      </c>
      <c r="S554" s="3">
        <v>2030.64</v>
      </c>
      <c r="T554" s="3">
        <f t="shared" si="125"/>
        <v>2030.64</v>
      </c>
      <c r="U554" s="3">
        <f>(1+'10. Whatif Control pannel'!$B$6)*T554</f>
        <v>2274.3168</v>
      </c>
      <c r="V554" s="3" t="str">
        <f t="shared" si="126"/>
        <v>High</v>
      </c>
      <c r="W554" s="34">
        <v>0.157</v>
      </c>
      <c r="X554" s="24" t="str">
        <f t="shared" si="127"/>
        <v>Okay</v>
      </c>
      <c r="Y554" s="36">
        <f>IF(W554&lt;=0.25,W554,'10. Whatif Control pannel'!$B$2)</f>
        <v>0.157</v>
      </c>
      <c r="Z554" s="24">
        <v>11</v>
      </c>
      <c r="AA554" s="13">
        <f>(1+'10. Whatif Control pannel'!$B$10)*Z554</f>
        <v>13.2</v>
      </c>
      <c r="AB554" s="3">
        <f t="shared" si="128"/>
        <v>18830.12472</v>
      </c>
      <c r="AC554" s="3">
        <f t="shared" si="133"/>
        <v>25307.68762368</v>
      </c>
      <c r="AD554" s="3">
        <f t="shared" si="129"/>
        <v>12882.87</v>
      </c>
      <c r="AE554" s="3">
        <f t="shared" si="130"/>
        <v>5947.25472</v>
      </c>
      <c r="AF554" s="3">
        <f t="shared" si="134"/>
        <v>12424.81762368</v>
      </c>
      <c r="AG554">
        <f t="shared" si="131"/>
        <v>0.315837245288304</v>
      </c>
    </row>
    <row r="555" spans="1:33">
      <c r="A555" t="s">
        <v>1206</v>
      </c>
      <c r="B555" s="20">
        <v>45704</v>
      </c>
      <c r="C555" s="2">
        <f t="shared" si="120"/>
        <v>2</v>
      </c>
      <c r="D555" s="21">
        <f t="shared" si="132"/>
        <v>45704</v>
      </c>
      <c r="E555" s="19" t="str">
        <f t="shared" si="121"/>
        <v>Quarter 1</v>
      </c>
      <c r="F555" s="19">
        <v>45733</v>
      </c>
      <c r="G555" s="19">
        <f t="shared" si="122"/>
        <v>45733</v>
      </c>
      <c r="H555" s="22">
        <f t="shared" si="123"/>
        <v>29</v>
      </c>
      <c r="I555" t="str">
        <f t="shared" si="124"/>
        <v>Delayed </v>
      </c>
      <c r="J555" t="s">
        <v>78</v>
      </c>
      <c r="K555" t="s">
        <v>79</v>
      </c>
      <c r="L555" t="s">
        <v>159</v>
      </c>
      <c r="M555" t="s">
        <v>48</v>
      </c>
      <c r="N555" t="s">
        <v>20</v>
      </c>
      <c r="O555" t="s">
        <v>49</v>
      </c>
      <c r="P555" t="s">
        <v>81</v>
      </c>
      <c r="Q555" t="s">
        <v>1207</v>
      </c>
      <c r="R555" s="3">
        <v>730.42</v>
      </c>
      <c r="S555" s="3">
        <v>956.7</v>
      </c>
      <c r="T555" s="3">
        <f t="shared" si="125"/>
        <v>956.7</v>
      </c>
      <c r="U555" s="3">
        <f>(1+'10. Whatif Control pannel'!$B$6)*T555</f>
        <v>1071.504</v>
      </c>
      <c r="V555" s="3" t="str">
        <f t="shared" si="126"/>
        <v>Medium</v>
      </c>
      <c r="W555" s="34">
        <v>0.042</v>
      </c>
      <c r="X555" s="24" t="str">
        <f t="shared" si="127"/>
        <v>Okay</v>
      </c>
      <c r="Y555" s="36">
        <f>IF(W555&lt;=0.25,W555,'10. Whatif Control pannel'!$B$2)</f>
        <v>0.042</v>
      </c>
      <c r="Z555" s="24">
        <v>22</v>
      </c>
      <c r="AA555" s="13">
        <f>(1+'10. Whatif Control pannel'!$B$10)*Z555</f>
        <v>26.4</v>
      </c>
      <c r="AB555" s="3">
        <f t="shared" si="128"/>
        <v>20163.4092</v>
      </c>
      <c r="AC555" s="3">
        <f t="shared" si="133"/>
        <v>27099.6219648</v>
      </c>
      <c r="AD555" s="3">
        <f t="shared" si="129"/>
        <v>16069.24</v>
      </c>
      <c r="AE555" s="3">
        <f t="shared" si="130"/>
        <v>4094.1692</v>
      </c>
      <c r="AF555" s="3">
        <f t="shared" si="134"/>
        <v>11030.3819648</v>
      </c>
      <c r="AG555">
        <f t="shared" si="131"/>
        <v>0.203049452569757</v>
      </c>
    </row>
    <row r="556" spans="1:33">
      <c r="A556" t="s">
        <v>1208</v>
      </c>
      <c r="B556" s="20">
        <v>45703</v>
      </c>
      <c r="C556" s="2">
        <f t="shared" si="120"/>
        <v>2</v>
      </c>
      <c r="D556" s="21">
        <f t="shared" si="132"/>
        <v>45703</v>
      </c>
      <c r="E556" s="19" t="str">
        <f t="shared" si="121"/>
        <v>Quarter 1</v>
      </c>
      <c r="F556" s="19">
        <v>45717</v>
      </c>
      <c r="G556" s="19">
        <f t="shared" si="122"/>
        <v>45717</v>
      </c>
      <c r="H556" s="22">
        <f t="shared" si="123"/>
        <v>14</v>
      </c>
      <c r="I556" t="str">
        <f t="shared" si="124"/>
        <v>Delayed </v>
      </c>
      <c r="J556" t="s">
        <v>16</v>
      </c>
      <c r="K556" t="s">
        <v>17</v>
      </c>
      <c r="L556" t="s">
        <v>113</v>
      </c>
      <c r="M556" t="s">
        <v>27</v>
      </c>
      <c r="N556" t="s">
        <v>98</v>
      </c>
      <c r="O556" t="s">
        <v>49</v>
      </c>
      <c r="P556" t="s">
        <v>81</v>
      </c>
      <c r="Q556" t="s">
        <v>1209</v>
      </c>
      <c r="R556" s="3">
        <v>1162.86</v>
      </c>
      <c r="S556" s="3">
        <v>1447.68</v>
      </c>
      <c r="T556" s="3">
        <f t="shared" si="125"/>
        <v>1447.68</v>
      </c>
      <c r="U556" s="3">
        <f>(1+'10. Whatif Control pannel'!$B$6)*T556</f>
        <v>1621.4016</v>
      </c>
      <c r="V556" s="3" t="str">
        <f t="shared" si="126"/>
        <v>Medium</v>
      </c>
      <c r="W556" s="34">
        <v>0.087</v>
      </c>
      <c r="X556" s="24" t="str">
        <f t="shared" si="127"/>
        <v>Okay</v>
      </c>
      <c r="Y556" s="36">
        <f>IF(W556&lt;=0.25,W556,'10. Whatif Control pannel'!$B$2)</f>
        <v>0.087</v>
      </c>
      <c r="Z556" s="24">
        <v>12</v>
      </c>
      <c r="AA556" s="13">
        <f>(1+'10. Whatif Control pannel'!$B$10)*Z556</f>
        <v>14.4</v>
      </c>
      <c r="AB556" s="3">
        <f t="shared" si="128"/>
        <v>15860.78208</v>
      </c>
      <c r="AC556" s="3">
        <f t="shared" si="133"/>
        <v>21316.89111552</v>
      </c>
      <c r="AD556" s="3">
        <f t="shared" si="129"/>
        <v>13954.32</v>
      </c>
      <c r="AE556" s="3">
        <f t="shared" si="130"/>
        <v>1906.46208</v>
      </c>
      <c r="AF556" s="3">
        <f t="shared" si="134"/>
        <v>7362.57111552</v>
      </c>
      <c r="AG556">
        <f t="shared" si="131"/>
        <v>0.120199752470214</v>
      </c>
    </row>
    <row r="557" spans="1:33">
      <c r="A557" t="s">
        <v>1210</v>
      </c>
      <c r="B557" s="20">
        <v>45535</v>
      </c>
      <c r="C557" s="2">
        <f t="shared" si="120"/>
        <v>8</v>
      </c>
      <c r="D557" s="21">
        <f t="shared" si="132"/>
        <v>45535</v>
      </c>
      <c r="E557" s="19" t="str">
        <f t="shared" si="121"/>
        <v>Quarter 3</v>
      </c>
      <c r="F557" s="19">
        <v>45561</v>
      </c>
      <c r="G557" s="19">
        <f t="shared" si="122"/>
        <v>45561</v>
      </c>
      <c r="H557" s="22">
        <f t="shared" si="123"/>
        <v>26</v>
      </c>
      <c r="I557" t="str">
        <f t="shared" si="124"/>
        <v>Delayed </v>
      </c>
      <c r="J557" t="s">
        <v>45</v>
      </c>
      <c r="K557" t="s">
        <v>46</v>
      </c>
      <c r="L557" t="s">
        <v>214</v>
      </c>
      <c r="M557" t="s">
        <v>27</v>
      </c>
      <c r="N557" t="s">
        <v>28</v>
      </c>
      <c r="O557" t="s">
        <v>34</v>
      </c>
      <c r="P557" t="s">
        <v>42</v>
      </c>
      <c r="Q557" t="s">
        <v>1211</v>
      </c>
      <c r="R557" s="3">
        <v>1189.03</v>
      </c>
      <c r="S557" s="3">
        <v>2949.62</v>
      </c>
      <c r="T557" s="3">
        <f t="shared" si="125"/>
        <v>2949.62</v>
      </c>
      <c r="U557" s="3">
        <f>(1+'10. Whatif Control pannel'!$B$6)*T557</f>
        <v>3303.5744</v>
      </c>
      <c r="V557" s="3" t="str">
        <f t="shared" si="126"/>
        <v>High</v>
      </c>
      <c r="W557" s="34">
        <v>0.125</v>
      </c>
      <c r="X557" s="24" t="str">
        <f t="shared" si="127"/>
        <v>Okay</v>
      </c>
      <c r="Y557" s="36">
        <f>IF(W557&lt;=0.25,W557,'10. Whatif Control pannel'!$B$2)</f>
        <v>0.125</v>
      </c>
      <c r="Z557" s="24">
        <v>13</v>
      </c>
      <c r="AA557" s="13">
        <f>(1+'10. Whatif Control pannel'!$B$10)*Z557</f>
        <v>15.6</v>
      </c>
      <c r="AB557" s="3">
        <f t="shared" si="128"/>
        <v>33551.9275</v>
      </c>
      <c r="AC557" s="3">
        <f t="shared" si="133"/>
        <v>45093.79056</v>
      </c>
      <c r="AD557" s="3">
        <f t="shared" si="129"/>
        <v>15457.39</v>
      </c>
      <c r="AE557" s="3">
        <f t="shared" si="130"/>
        <v>18094.5375</v>
      </c>
      <c r="AF557" s="3">
        <f t="shared" si="134"/>
        <v>29636.40056</v>
      </c>
      <c r="AG557">
        <f t="shared" si="131"/>
        <v>0.539299493300348</v>
      </c>
    </row>
    <row r="558" spans="1:33">
      <c r="A558" t="s">
        <v>1212</v>
      </c>
      <c r="B558" s="20">
        <v>45053</v>
      </c>
      <c r="C558" s="2">
        <f t="shared" si="120"/>
        <v>5</v>
      </c>
      <c r="D558" s="21">
        <f t="shared" si="132"/>
        <v>45053</v>
      </c>
      <c r="E558" s="19" t="str">
        <f t="shared" si="121"/>
        <v>Quarter 2</v>
      </c>
      <c r="F558" s="19">
        <v>45066</v>
      </c>
      <c r="G558" s="19">
        <f t="shared" si="122"/>
        <v>45066</v>
      </c>
      <c r="H558" s="22">
        <f t="shared" si="123"/>
        <v>13</v>
      </c>
      <c r="I558" t="str">
        <f t="shared" si="124"/>
        <v>Delayed </v>
      </c>
      <c r="J558" t="s">
        <v>45</v>
      </c>
      <c r="K558" t="s">
        <v>60</v>
      </c>
      <c r="L558" t="s">
        <v>220</v>
      </c>
      <c r="M558" t="s">
        <v>105</v>
      </c>
      <c r="N558" t="s">
        <v>20</v>
      </c>
      <c r="O558" t="s">
        <v>145</v>
      </c>
      <c r="P558" t="s">
        <v>81</v>
      </c>
      <c r="Q558" t="s">
        <v>1213</v>
      </c>
      <c r="R558" s="3">
        <v>1443.28</v>
      </c>
      <c r="S558" s="3">
        <v>2580.57</v>
      </c>
      <c r="T558" s="3">
        <f t="shared" si="125"/>
        <v>2580.57</v>
      </c>
      <c r="U558" s="3">
        <f>(1+'10. Whatif Control pannel'!$B$6)*T558</f>
        <v>2890.2384</v>
      </c>
      <c r="V558" s="3" t="str">
        <f t="shared" si="126"/>
        <v>High</v>
      </c>
      <c r="W558" s="34">
        <v>0</v>
      </c>
      <c r="X558" s="24" t="str">
        <f t="shared" si="127"/>
        <v>Okay</v>
      </c>
      <c r="Y558" s="36">
        <f>IF(W558&lt;=0.25,W558,'10. Whatif Control pannel'!$B$2)</f>
        <v>0</v>
      </c>
      <c r="Z558" s="24">
        <v>18</v>
      </c>
      <c r="AA558" s="13">
        <f>(1+'10. Whatif Control pannel'!$B$10)*Z558</f>
        <v>21.6</v>
      </c>
      <c r="AB558" s="3">
        <f t="shared" si="128"/>
        <v>46450.26</v>
      </c>
      <c r="AC558" s="3">
        <f t="shared" si="133"/>
        <v>62429.14944</v>
      </c>
      <c r="AD558" s="3">
        <f t="shared" si="129"/>
        <v>25979.04</v>
      </c>
      <c r="AE558" s="3">
        <f t="shared" si="130"/>
        <v>20471.22</v>
      </c>
      <c r="AF558" s="3">
        <f t="shared" si="134"/>
        <v>36450.10944</v>
      </c>
      <c r="AG558">
        <f t="shared" si="131"/>
        <v>0.440712710757701</v>
      </c>
    </row>
    <row r="559" spans="1:33">
      <c r="A559" t="s">
        <v>1214</v>
      </c>
      <c r="B559" s="20">
        <v>45791</v>
      </c>
      <c r="C559" s="2">
        <f t="shared" si="120"/>
        <v>5</v>
      </c>
      <c r="D559" s="21">
        <f t="shared" si="132"/>
        <v>45791</v>
      </c>
      <c r="E559" s="19" t="str">
        <f t="shared" si="121"/>
        <v>Quarter 2</v>
      </c>
      <c r="F559" s="19">
        <v>45789</v>
      </c>
      <c r="G559" s="19">
        <f t="shared" si="122"/>
        <v>45798</v>
      </c>
      <c r="H559" s="22">
        <f t="shared" si="123"/>
        <v>7</v>
      </c>
      <c r="I559" t="str">
        <f t="shared" si="124"/>
        <v>Ontime</v>
      </c>
      <c r="J559" t="s">
        <v>52</v>
      </c>
      <c r="K559" t="s">
        <v>53</v>
      </c>
      <c r="L559" t="s">
        <v>179</v>
      </c>
      <c r="M559" t="s">
        <v>39</v>
      </c>
      <c r="N559" t="s">
        <v>55</v>
      </c>
      <c r="O559" t="s">
        <v>84</v>
      </c>
      <c r="P559" t="s">
        <v>30</v>
      </c>
      <c r="Q559" t="s">
        <v>1215</v>
      </c>
      <c r="R559" s="3">
        <v>883.5</v>
      </c>
      <c r="S559" s="3">
        <v>1978.91</v>
      </c>
      <c r="T559" s="3">
        <f t="shared" si="125"/>
        <v>1978.91</v>
      </c>
      <c r="U559" s="3">
        <f>(1+'10. Whatif Control pannel'!$B$6)*T559</f>
        <v>2216.3792</v>
      </c>
      <c r="V559" s="3" t="str">
        <f t="shared" si="126"/>
        <v>High</v>
      </c>
      <c r="W559" s="34">
        <v>0.054</v>
      </c>
      <c r="X559" s="24" t="str">
        <f t="shared" si="127"/>
        <v>Okay</v>
      </c>
      <c r="Y559" s="36">
        <f>IF(W559&lt;=0.25,W559,'10. Whatif Control pannel'!$B$2)</f>
        <v>0.054</v>
      </c>
      <c r="Z559" s="24">
        <v>27</v>
      </c>
      <c r="AA559" s="13">
        <f>(1+'10. Whatif Control pannel'!$B$10)*Z559</f>
        <v>32.4</v>
      </c>
      <c r="AB559" s="3">
        <f t="shared" si="128"/>
        <v>50545.31922</v>
      </c>
      <c r="AC559" s="3">
        <f t="shared" si="133"/>
        <v>67932.90903168</v>
      </c>
      <c r="AD559" s="3">
        <f t="shared" si="129"/>
        <v>23854.5</v>
      </c>
      <c r="AE559" s="3">
        <f t="shared" si="130"/>
        <v>26690.81922</v>
      </c>
      <c r="AF559" s="3">
        <f t="shared" si="134"/>
        <v>44078.40903168</v>
      </c>
      <c r="AG559">
        <f t="shared" si="131"/>
        <v>0.528057189703905</v>
      </c>
    </row>
    <row r="560" spans="1:33">
      <c r="A560" t="s">
        <v>1216</v>
      </c>
      <c r="B560" s="20">
        <v>45362</v>
      </c>
      <c r="C560" s="2">
        <f t="shared" si="120"/>
        <v>3</v>
      </c>
      <c r="D560" s="21">
        <f t="shared" si="132"/>
        <v>45362</v>
      </c>
      <c r="E560" s="19" t="str">
        <f t="shared" si="121"/>
        <v>Quarter 1</v>
      </c>
      <c r="F560" s="19">
        <v>45380</v>
      </c>
      <c r="G560" s="19">
        <f t="shared" si="122"/>
        <v>45380</v>
      </c>
      <c r="H560" s="22">
        <f t="shared" si="123"/>
        <v>18</v>
      </c>
      <c r="I560" t="str">
        <f t="shared" si="124"/>
        <v>Delayed </v>
      </c>
      <c r="J560" t="s">
        <v>52</v>
      </c>
      <c r="K560" t="s">
        <v>122</v>
      </c>
      <c r="L560" t="s">
        <v>387</v>
      </c>
      <c r="M560" t="s">
        <v>19</v>
      </c>
      <c r="N560" t="s">
        <v>20</v>
      </c>
      <c r="O560" t="s">
        <v>110</v>
      </c>
      <c r="P560" t="s">
        <v>64</v>
      </c>
      <c r="Q560" t="s">
        <v>1217</v>
      </c>
      <c r="R560" s="3">
        <v>710.98</v>
      </c>
      <c r="S560" s="3">
        <v>1481.45</v>
      </c>
      <c r="T560" s="3">
        <f t="shared" si="125"/>
        <v>1481.45</v>
      </c>
      <c r="U560" s="3">
        <f>(1+'10. Whatif Control pannel'!$B$6)*T560</f>
        <v>1659.224</v>
      </c>
      <c r="V560" s="3" t="str">
        <f t="shared" si="126"/>
        <v>Medium</v>
      </c>
      <c r="W560" s="34">
        <v>0.211</v>
      </c>
      <c r="X560" s="24" t="str">
        <f t="shared" si="127"/>
        <v>High Discount</v>
      </c>
      <c r="Y560" s="36">
        <f>IF(W560&lt;=0.25,W560,'10. Whatif Control pannel'!$B$2)</f>
        <v>0.211</v>
      </c>
      <c r="Z560" s="24">
        <v>9</v>
      </c>
      <c r="AA560" s="13">
        <f>(1+'10. Whatif Control pannel'!$B$10)*Z560</f>
        <v>10.8</v>
      </c>
      <c r="AB560" s="3">
        <f t="shared" si="128"/>
        <v>10519.77645</v>
      </c>
      <c r="AC560" s="3">
        <f t="shared" si="133"/>
        <v>14138.5795488</v>
      </c>
      <c r="AD560" s="3">
        <f t="shared" si="129"/>
        <v>6398.82</v>
      </c>
      <c r="AE560" s="3">
        <f t="shared" si="130"/>
        <v>4120.95645</v>
      </c>
      <c r="AF560" s="3">
        <f t="shared" si="134"/>
        <v>7739.7595488</v>
      </c>
      <c r="AG560">
        <f t="shared" si="131"/>
        <v>0.391734222641205</v>
      </c>
    </row>
    <row r="561" spans="1:33">
      <c r="A561" t="s">
        <v>1218</v>
      </c>
      <c r="B561" s="20">
        <v>45430</v>
      </c>
      <c r="C561" s="2">
        <f t="shared" si="120"/>
        <v>5</v>
      </c>
      <c r="D561" s="21">
        <f t="shared" si="132"/>
        <v>45430</v>
      </c>
      <c r="E561" s="19" t="str">
        <f t="shared" si="121"/>
        <v>Quarter 2</v>
      </c>
      <c r="F561" s="19">
        <v>45434</v>
      </c>
      <c r="G561" s="19">
        <f t="shared" si="122"/>
        <v>45434</v>
      </c>
      <c r="H561" s="22">
        <f t="shared" si="123"/>
        <v>4</v>
      </c>
      <c r="I561" t="str">
        <f t="shared" si="124"/>
        <v>Ontime</v>
      </c>
      <c r="J561" t="s">
        <v>16</v>
      </c>
      <c r="K561" t="s">
        <v>17</v>
      </c>
      <c r="L561" t="s">
        <v>33</v>
      </c>
      <c r="M561" t="s">
        <v>19</v>
      </c>
      <c r="N561" t="s">
        <v>98</v>
      </c>
      <c r="O561" t="s">
        <v>92</v>
      </c>
      <c r="P561" t="s">
        <v>81</v>
      </c>
      <c r="Q561" t="s">
        <v>1219</v>
      </c>
      <c r="R561" s="3">
        <v>857.42</v>
      </c>
      <c r="S561" s="3">
        <v>1658.92</v>
      </c>
      <c r="T561" s="3">
        <f t="shared" si="125"/>
        <v>1658.92</v>
      </c>
      <c r="U561" s="3">
        <f>(1+'10. Whatif Control pannel'!$B$6)*T561</f>
        <v>1857.9904</v>
      </c>
      <c r="V561" s="3" t="str">
        <f t="shared" si="126"/>
        <v>High</v>
      </c>
      <c r="W561" s="34">
        <v>0.122</v>
      </c>
      <c r="X561" s="24" t="str">
        <f t="shared" si="127"/>
        <v>Okay</v>
      </c>
      <c r="Y561" s="36">
        <f>IF(W561&lt;=0.25,W561,'10. Whatif Control pannel'!$B$2)</f>
        <v>0.122</v>
      </c>
      <c r="Z561" s="24">
        <v>9</v>
      </c>
      <c r="AA561" s="13">
        <f>(1+'10. Whatif Control pannel'!$B$10)*Z561</f>
        <v>10.8</v>
      </c>
      <c r="AB561" s="3">
        <f t="shared" si="128"/>
        <v>13108.78584</v>
      </c>
      <c r="AC561" s="3">
        <f t="shared" si="133"/>
        <v>17618.20816896</v>
      </c>
      <c r="AD561" s="3">
        <f t="shared" si="129"/>
        <v>7716.78</v>
      </c>
      <c r="AE561" s="3">
        <f t="shared" si="130"/>
        <v>5392.00584</v>
      </c>
      <c r="AF561" s="3">
        <f t="shared" si="134"/>
        <v>9901.42816896</v>
      </c>
      <c r="AG561">
        <f t="shared" si="131"/>
        <v>0.411327632155443</v>
      </c>
    </row>
    <row r="562" spans="1:33">
      <c r="A562" t="s">
        <v>1220</v>
      </c>
      <c r="B562" s="20">
        <v>45299</v>
      </c>
      <c r="C562" s="2">
        <f t="shared" si="120"/>
        <v>1</v>
      </c>
      <c r="D562" s="21">
        <f t="shared" si="132"/>
        <v>45299</v>
      </c>
      <c r="E562" s="19" t="str">
        <f t="shared" si="121"/>
        <v>Quarter 1</v>
      </c>
      <c r="F562" s="19">
        <v>45303</v>
      </c>
      <c r="G562" s="19">
        <f t="shared" si="122"/>
        <v>45303</v>
      </c>
      <c r="H562" s="22">
        <f t="shared" si="123"/>
        <v>4</v>
      </c>
      <c r="I562" t="str">
        <f t="shared" si="124"/>
        <v>Ontime</v>
      </c>
      <c r="J562" t="s">
        <v>45</v>
      </c>
      <c r="K562" t="s">
        <v>60</v>
      </c>
      <c r="L562" t="s">
        <v>61</v>
      </c>
      <c r="M562" t="s">
        <v>19</v>
      </c>
      <c r="N562" t="s">
        <v>98</v>
      </c>
      <c r="O562" t="s">
        <v>63</v>
      </c>
      <c r="P562" t="s">
        <v>30</v>
      </c>
      <c r="Q562" t="s">
        <v>1221</v>
      </c>
      <c r="R562" s="3">
        <v>802.32</v>
      </c>
      <c r="S562" s="3">
        <v>602.34</v>
      </c>
      <c r="T562" s="3">
        <f t="shared" si="125"/>
        <v>602.34</v>
      </c>
      <c r="U562" s="3">
        <f>(1+'10. Whatif Control pannel'!$B$6)*T562</f>
        <v>674.6208</v>
      </c>
      <c r="V562" s="3" t="str">
        <f t="shared" si="126"/>
        <v>Low</v>
      </c>
      <c r="W562" s="34">
        <v>0.12</v>
      </c>
      <c r="X562" s="24" t="str">
        <f t="shared" si="127"/>
        <v>Okay</v>
      </c>
      <c r="Y562" s="36">
        <f>IF(W562&lt;=0.25,W562,'10. Whatif Control pannel'!$B$2)</f>
        <v>0.12</v>
      </c>
      <c r="Z562" s="24">
        <v>25</v>
      </c>
      <c r="AA562" s="13">
        <f>(1+'10. Whatif Control pannel'!$B$10)*Z562</f>
        <v>30</v>
      </c>
      <c r="AB562" s="3">
        <f t="shared" si="128"/>
        <v>13251.48</v>
      </c>
      <c r="AC562" s="3">
        <f t="shared" si="133"/>
        <v>17809.98912</v>
      </c>
      <c r="AD562" s="3">
        <f t="shared" si="129"/>
        <v>20058</v>
      </c>
      <c r="AE562" s="3">
        <f t="shared" si="130"/>
        <v>-6806.52</v>
      </c>
      <c r="AF562" s="3">
        <f t="shared" si="134"/>
        <v>-2248.01088</v>
      </c>
      <c r="AG562">
        <f t="shared" si="131"/>
        <v>-0.513642249771346</v>
      </c>
    </row>
    <row r="563" spans="1:33">
      <c r="A563" t="s">
        <v>1222</v>
      </c>
      <c r="B563" s="20">
        <v>45590</v>
      </c>
      <c r="C563" s="2">
        <f t="shared" si="120"/>
        <v>10</v>
      </c>
      <c r="D563" s="21">
        <f t="shared" si="132"/>
        <v>45590</v>
      </c>
      <c r="E563" s="19" t="str">
        <f t="shared" si="121"/>
        <v>Quarter 4</v>
      </c>
      <c r="F563" s="19">
        <v>45601</v>
      </c>
      <c r="G563" s="19">
        <f t="shared" si="122"/>
        <v>45601</v>
      </c>
      <c r="H563" s="22">
        <f t="shared" si="123"/>
        <v>11</v>
      </c>
      <c r="I563" t="str">
        <f t="shared" si="124"/>
        <v>Delayed </v>
      </c>
      <c r="J563" t="s">
        <v>52</v>
      </c>
      <c r="K563" t="s">
        <v>122</v>
      </c>
      <c r="L563" t="s">
        <v>387</v>
      </c>
      <c r="M563" t="s">
        <v>19</v>
      </c>
      <c r="N563" t="s">
        <v>55</v>
      </c>
      <c r="O563" t="s">
        <v>126</v>
      </c>
      <c r="P563" t="s">
        <v>22</v>
      </c>
      <c r="Q563" t="s">
        <v>1223</v>
      </c>
      <c r="R563" s="3">
        <v>446.66</v>
      </c>
      <c r="S563" s="3">
        <v>527.64</v>
      </c>
      <c r="T563" s="3">
        <f t="shared" si="125"/>
        <v>527.64</v>
      </c>
      <c r="U563" s="3">
        <f>(1+'10. Whatif Control pannel'!$B$6)*T563</f>
        <v>590.9568</v>
      </c>
      <c r="V563" s="3" t="str">
        <f t="shared" si="126"/>
        <v>Low</v>
      </c>
      <c r="W563" s="34">
        <v>0.145</v>
      </c>
      <c r="X563" s="24" t="str">
        <f t="shared" si="127"/>
        <v>Okay</v>
      </c>
      <c r="Y563" s="36">
        <f>IF(W563&lt;=0.25,W563,'10. Whatif Control pannel'!$B$2)</f>
        <v>0.145</v>
      </c>
      <c r="Z563" s="24">
        <v>15</v>
      </c>
      <c r="AA563" s="13">
        <f>(1+'10. Whatif Control pannel'!$B$10)*Z563</f>
        <v>18</v>
      </c>
      <c r="AB563" s="3">
        <f t="shared" si="128"/>
        <v>6766.983</v>
      </c>
      <c r="AC563" s="3">
        <f t="shared" si="133"/>
        <v>9094.825152</v>
      </c>
      <c r="AD563" s="3">
        <f t="shared" si="129"/>
        <v>6699.9</v>
      </c>
      <c r="AE563" s="3">
        <f t="shared" si="130"/>
        <v>67.0829999999987</v>
      </c>
      <c r="AF563" s="3">
        <f t="shared" si="134"/>
        <v>2394.925152</v>
      </c>
      <c r="AG563">
        <f t="shared" si="131"/>
        <v>0.00991328040871371</v>
      </c>
    </row>
    <row r="564" spans="1:33">
      <c r="A564" t="s">
        <v>1224</v>
      </c>
      <c r="B564" s="20">
        <v>45626</v>
      </c>
      <c r="C564" s="2">
        <f t="shared" si="120"/>
        <v>11</v>
      </c>
      <c r="D564" s="21">
        <f t="shared" si="132"/>
        <v>45626</v>
      </c>
      <c r="E564" s="19" t="str">
        <f t="shared" si="121"/>
        <v>Quarter 4</v>
      </c>
      <c r="F564" s="19">
        <v>45645</v>
      </c>
      <c r="G564" s="19">
        <f t="shared" si="122"/>
        <v>45645</v>
      </c>
      <c r="H564" s="22">
        <f t="shared" si="123"/>
        <v>19</v>
      </c>
      <c r="I564" t="str">
        <f t="shared" si="124"/>
        <v>Delayed </v>
      </c>
      <c r="J564" t="s">
        <v>16</v>
      </c>
      <c r="K564" t="s">
        <v>17</v>
      </c>
      <c r="L564" t="s">
        <v>18</v>
      </c>
      <c r="M564" t="s">
        <v>19</v>
      </c>
      <c r="N564" t="s">
        <v>28</v>
      </c>
      <c r="O564" t="s">
        <v>49</v>
      </c>
      <c r="P564" t="s">
        <v>42</v>
      </c>
      <c r="Q564" t="s">
        <v>1225</v>
      </c>
      <c r="R564" s="3">
        <v>1195.98</v>
      </c>
      <c r="S564" s="3">
        <v>1841.9</v>
      </c>
      <c r="T564" s="3">
        <f t="shared" si="125"/>
        <v>1841.9</v>
      </c>
      <c r="U564" s="3">
        <f>(1+'10. Whatif Control pannel'!$B$6)*T564</f>
        <v>2062.928</v>
      </c>
      <c r="V564" s="3" t="str">
        <f t="shared" si="126"/>
        <v>High</v>
      </c>
      <c r="W564" s="34">
        <v>0.055</v>
      </c>
      <c r="X564" s="24" t="str">
        <f t="shared" si="127"/>
        <v>Okay</v>
      </c>
      <c r="Y564" s="36">
        <f>IF(W564&lt;=0.25,W564,'10. Whatif Control pannel'!$B$2)</f>
        <v>0.055</v>
      </c>
      <c r="Z564" s="24">
        <v>19</v>
      </c>
      <c r="AA564" s="13">
        <f>(1+'10. Whatif Control pannel'!$B$10)*Z564</f>
        <v>22.8</v>
      </c>
      <c r="AB564" s="3">
        <f t="shared" si="128"/>
        <v>33071.3145</v>
      </c>
      <c r="AC564" s="3">
        <f t="shared" si="133"/>
        <v>44447.846688</v>
      </c>
      <c r="AD564" s="3">
        <f t="shared" si="129"/>
        <v>22723.62</v>
      </c>
      <c r="AE564" s="3">
        <f t="shared" si="130"/>
        <v>10347.6945</v>
      </c>
      <c r="AF564" s="3">
        <f t="shared" si="134"/>
        <v>21724.226688</v>
      </c>
      <c r="AG564">
        <f t="shared" si="131"/>
        <v>0.312890329775068</v>
      </c>
    </row>
    <row r="565" spans="1:33">
      <c r="A565" t="s">
        <v>1226</v>
      </c>
      <c r="B565" s="20">
        <v>45029</v>
      </c>
      <c r="C565" s="2">
        <f t="shared" si="120"/>
        <v>4</v>
      </c>
      <c r="D565" s="21">
        <f t="shared" si="132"/>
        <v>45029</v>
      </c>
      <c r="E565" s="19" t="str">
        <f t="shared" si="121"/>
        <v>Quarter 2</v>
      </c>
      <c r="F565" s="19">
        <v>45048</v>
      </c>
      <c r="G565" s="19">
        <f t="shared" si="122"/>
        <v>45048</v>
      </c>
      <c r="H565" s="22">
        <f t="shared" si="123"/>
        <v>19</v>
      </c>
      <c r="I565" t="str">
        <f t="shared" si="124"/>
        <v>Delayed </v>
      </c>
      <c r="J565" t="s">
        <v>52</v>
      </c>
      <c r="K565" t="s">
        <v>53</v>
      </c>
      <c r="L565" t="s">
        <v>144</v>
      </c>
      <c r="M565" t="s">
        <v>48</v>
      </c>
      <c r="N565" t="s">
        <v>55</v>
      </c>
      <c r="O565" t="s">
        <v>63</v>
      </c>
      <c r="P565" t="s">
        <v>64</v>
      </c>
      <c r="Q565" t="s">
        <v>1227</v>
      </c>
      <c r="R565" s="3">
        <v>671.05</v>
      </c>
      <c r="S565" s="3">
        <v>1645.48</v>
      </c>
      <c r="T565" s="3">
        <f t="shared" si="125"/>
        <v>1645.48</v>
      </c>
      <c r="U565" s="3">
        <f>(1+'10. Whatif Control pannel'!$B$6)*T565</f>
        <v>1842.9376</v>
      </c>
      <c r="V565" s="3" t="str">
        <f t="shared" si="126"/>
        <v>High</v>
      </c>
      <c r="W565" s="34">
        <v>0.137</v>
      </c>
      <c r="X565" s="24" t="str">
        <f t="shared" si="127"/>
        <v>Okay</v>
      </c>
      <c r="Y565" s="36">
        <f>IF(W565&lt;=0.25,W565,'10. Whatif Control pannel'!$B$2)</f>
        <v>0.137</v>
      </c>
      <c r="Z565" s="24">
        <v>6</v>
      </c>
      <c r="AA565" s="13">
        <f>(1+'10. Whatif Control pannel'!$B$10)*Z565</f>
        <v>7.2</v>
      </c>
      <c r="AB565" s="3">
        <f t="shared" si="128"/>
        <v>8520.29544</v>
      </c>
      <c r="AC565" s="3">
        <f t="shared" si="133"/>
        <v>11451.27707136</v>
      </c>
      <c r="AD565" s="3">
        <f t="shared" si="129"/>
        <v>4026.3</v>
      </c>
      <c r="AE565" s="3">
        <f t="shared" si="130"/>
        <v>4493.99544</v>
      </c>
      <c r="AF565" s="3">
        <f t="shared" si="134"/>
        <v>7424.97707136</v>
      </c>
      <c r="AG565">
        <f t="shared" si="131"/>
        <v>0.527445963775172</v>
      </c>
    </row>
    <row r="566" spans="1:33">
      <c r="A566" t="s">
        <v>1228</v>
      </c>
      <c r="B566" s="20">
        <v>45692</v>
      </c>
      <c r="C566" s="2">
        <f t="shared" si="120"/>
        <v>2</v>
      </c>
      <c r="D566" s="21">
        <f t="shared" si="132"/>
        <v>45692</v>
      </c>
      <c r="E566" s="19" t="str">
        <f t="shared" si="121"/>
        <v>Quarter 1</v>
      </c>
      <c r="F566" s="19">
        <v>45696</v>
      </c>
      <c r="G566" s="19">
        <f t="shared" si="122"/>
        <v>45696</v>
      </c>
      <c r="H566" s="22">
        <f t="shared" si="123"/>
        <v>4</v>
      </c>
      <c r="I566" t="str">
        <f t="shared" si="124"/>
        <v>Ontime</v>
      </c>
      <c r="J566" t="s">
        <v>78</v>
      </c>
      <c r="K566" t="s">
        <v>108</v>
      </c>
      <c r="L566" t="s">
        <v>228</v>
      </c>
      <c r="M566" t="s">
        <v>105</v>
      </c>
      <c r="N566" t="s">
        <v>40</v>
      </c>
      <c r="O566" t="s">
        <v>49</v>
      </c>
      <c r="P566" t="s">
        <v>35</v>
      </c>
      <c r="Q566" t="s">
        <v>1229</v>
      </c>
      <c r="R566" s="3">
        <v>586.21</v>
      </c>
      <c r="S566" s="3">
        <v>727.22</v>
      </c>
      <c r="T566" s="3">
        <f t="shared" si="125"/>
        <v>727.22</v>
      </c>
      <c r="U566" s="3">
        <f>(1+'10. Whatif Control pannel'!$B$6)*T566</f>
        <v>814.4864</v>
      </c>
      <c r="V566" s="3" t="str">
        <f t="shared" si="126"/>
        <v>Low</v>
      </c>
      <c r="W566" s="34">
        <v>0.068</v>
      </c>
      <c r="X566" s="24" t="str">
        <f t="shared" si="127"/>
        <v>Okay</v>
      </c>
      <c r="Y566" s="36">
        <f>IF(W566&lt;=0.25,W566,'10. Whatif Control pannel'!$B$2)</f>
        <v>0.068</v>
      </c>
      <c r="Z566" s="24">
        <v>15</v>
      </c>
      <c r="AA566" s="13">
        <f>(1+'10. Whatif Control pannel'!$B$10)*Z566</f>
        <v>18</v>
      </c>
      <c r="AB566" s="3">
        <f t="shared" si="128"/>
        <v>10166.5356</v>
      </c>
      <c r="AC566" s="3">
        <f t="shared" si="133"/>
        <v>13663.8238464</v>
      </c>
      <c r="AD566" s="3">
        <f t="shared" si="129"/>
        <v>8793.15</v>
      </c>
      <c r="AE566" s="3">
        <f t="shared" si="130"/>
        <v>1373.3856</v>
      </c>
      <c r="AF566" s="3">
        <f t="shared" si="134"/>
        <v>4870.6738464</v>
      </c>
      <c r="AG566">
        <f t="shared" si="131"/>
        <v>0.135088849735597</v>
      </c>
    </row>
    <row r="567" spans="1:33">
      <c r="A567" t="s">
        <v>1230</v>
      </c>
      <c r="B567" s="20">
        <v>45315</v>
      </c>
      <c r="C567" s="2">
        <f t="shared" si="120"/>
        <v>1</v>
      </c>
      <c r="D567" s="21">
        <f t="shared" si="132"/>
        <v>45315</v>
      </c>
      <c r="E567" s="19" t="str">
        <f t="shared" si="121"/>
        <v>Quarter 1</v>
      </c>
      <c r="F567" s="19">
        <v>45326</v>
      </c>
      <c r="G567" s="19">
        <f t="shared" si="122"/>
        <v>45326</v>
      </c>
      <c r="H567" s="22">
        <f t="shared" si="123"/>
        <v>11</v>
      </c>
      <c r="I567" t="str">
        <f t="shared" si="124"/>
        <v>Delayed </v>
      </c>
      <c r="J567" t="s">
        <v>78</v>
      </c>
      <c r="K567" t="s">
        <v>108</v>
      </c>
      <c r="L567" t="s">
        <v>228</v>
      </c>
      <c r="M567" t="s">
        <v>48</v>
      </c>
      <c r="N567" t="s">
        <v>20</v>
      </c>
      <c r="O567" t="s">
        <v>56</v>
      </c>
      <c r="P567" t="s">
        <v>57</v>
      </c>
      <c r="Q567" t="s">
        <v>1231</v>
      </c>
      <c r="R567" s="3">
        <v>525.34</v>
      </c>
      <c r="S567" s="3">
        <v>1233.79</v>
      </c>
      <c r="T567" s="3">
        <f t="shared" si="125"/>
        <v>1233.79</v>
      </c>
      <c r="U567" s="3">
        <f>(1+'10. Whatif Control pannel'!$B$6)*T567</f>
        <v>1381.8448</v>
      </c>
      <c r="V567" s="3" t="str">
        <f t="shared" si="126"/>
        <v>Medium</v>
      </c>
      <c r="W567" s="34">
        <v>0.143</v>
      </c>
      <c r="X567" s="24" t="str">
        <f t="shared" si="127"/>
        <v>Okay</v>
      </c>
      <c r="Y567" s="36">
        <f>IF(W567&lt;=0.25,W567,'10. Whatif Control pannel'!$B$2)</f>
        <v>0.143</v>
      </c>
      <c r="Z567" s="24">
        <v>4</v>
      </c>
      <c r="AA567" s="13">
        <f>(1+'10. Whatif Control pannel'!$B$10)*Z567</f>
        <v>4.8</v>
      </c>
      <c r="AB567" s="3">
        <f t="shared" si="128"/>
        <v>4229.43212</v>
      </c>
      <c r="AC567" s="3">
        <f t="shared" si="133"/>
        <v>5684.35676928</v>
      </c>
      <c r="AD567" s="3">
        <f t="shared" si="129"/>
        <v>2101.36</v>
      </c>
      <c r="AE567" s="3">
        <f t="shared" si="130"/>
        <v>2128.07212</v>
      </c>
      <c r="AF567" s="3">
        <f t="shared" si="134"/>
        <v>3582.99676928</v>
      </c>
      <c r="AG567">
        <f t="shared" si="131"/>
        <v>0.503157884940827</v>
      </c>
    </row>
    <row r="568" spans="1:33">
      <c r="A568" t="s">
        <v>1232</v>
      </c>
      <c r="B568" s="20">
        <v>45330</v>
      </c>
      <c r="C568" s="2">
        <f t="shared" si="120"/>
        <v>2</v>
      </c>
      <c r="D568" s="21">
        <f t="shared" si="132"/>
        <v>45330</v>
      </c>
      <c r="E568" s="19" t="str">
        <f t="shared" si="121"/>
        <v>Quarter 1</v>
      </c>
      <c r="F568" s="19">
        <v>45331</v>
      </c>
      <c r="G568" s="19">
        <f t="shared" si="122"/>
        <v>45331</v>
      </c>
      <c r="H568" s="22">
        <f t="shared" si="123"/>
        <v>1</v>
      </c>
      <c r="I568" t="str">
        <f t="shared" si="124"/>
        <v>Ontime</v>
      </c>
      <c r="J568" t="s">
        <v>16</v>
      </c>
      <c r="K568" t="s">
        <v>17</v>
      </c>
      <c r="L568" t="s">
        <v>113</v>
      </c>
      <c r="M568" t="s">
        <v>19</v>
      </c>
      <c r="N568" t="s">
        <v>98</v>
      </c>
      <c r="O568" t="s">
        <v>84</v>
      </c>
      <c r="P568" t="s">
        <v>22</v>
      </c>
      <c r="Q568" t="s">
        <v>1233</v>
      </c>
      <c r="R568" s="3">
        <v>1233.52</v>
      </c>
      <c r="S568" s="3">
        <v>1543.76</v>
      </c>
      <c r="T568" s="3">
        <f t="shared" si="125"/>
        <v>1543.76</v>
      </c>
      <c r="U568" s="3">
        <f>(1+'10. Whatif Control pannel'!$B$6)*T568</f>
        <v>1729.0112</v>
      </c>
      <c r="V568" s="3" t="str">
        <f t="shared" si="126"/>
        <v>Medium</v>
      </c>
      <c r="W568" s="34">
        <v>0.126</v>
      </c>
      <c r="X568" s="24" t="str">
        <f t="shared" si="127"/>
        <v>Okay</v>
      </c>
      <c r="Y568" s="36">
        <f>IF(W568&lt;=0.25,W568,'10. Whatif Control pannel'!$B$2)</f>
        <v>0.126</v>
      </c>
      <c r="Z568" s="24">
        <v>13</v>
      </c>
      <c r="AA568" s="13">
        <f>(1+'10. Whatif Control pannel'!$B$10)*Z568</f>
        <v>15.6</v>
      </c>
      <c r="AB568" s="3">
        <f t="shared" si="128"/>
        <v>17540.20112</v>
      </c>
      <c r="AC568" s="3">
        <f t="shared" si="133"/>
        <v>23574.03030528</v>
      </c>
      <c r="AD568" s="3">
        <f t="shared" si="129"/>
        <v>16035.76</v>
      </c>
      <c r="AE568" s="3">
        <f t="shared" si="130"/>
        <v>1504.44112</v>
      </c>
      <c r="AF568" s="3">
        <f t="shared" si="134"/>
        <v>7538.27030528</v>
      </c>
      <c r="AG568">
        <f t="shared" si="131"/>
        <v>0.0857710302012775</v>
      </c>
    </row>
    <row r="569" spans="1:33">
      <c r="A569" t="s">
        <v>1234</v>
      </c>
      <c r="B569" s="20">
        <v>45834</v>
      </c>
      <c r="C569" s="2">
        <f t="shared" si="120"/>
        <v>6</v>
      </c>
      <c r="D569" s="21">
        <f t="shared" si="132"/>
        <v>45834</v>
      </c>
      <c r="E569" s="19" t="str">
        <f t="shared" si="121"/>
        <v>Quarter 2</v>
      </c>
      <c r="F569" s="19">
        <v>45849</v>
      </c>
      <c r="G569" s="19">
        <f t="shared" si="122"/>
        <v>45849</v>
      </c>
      <c r="H569" s="22">
        <f t="shared" si="123"/>
        <v>15</v>
      </c>
      <c r="I569" t="str">
        <f t="shared" si="124"/>
        <v>Delayed </v>
      </c>
      <c r="J569" t="s">
        <v>16</v>
      </c>
      <c r="K569" t="s">
        <v>25</v>
      </c>
      <c r="L569" t="s">
        <v>26</v>
      </c>
      <c r="M569" t="s">
        <v>62</v>
      </c>
      <c r="N569" t="s">
        <v>28</v>
      </c>
      <c r="O569" t="s">
        <v>75</v>
      </c>
      <c r="P569" t="s">
        <v>57</v>
      </c>
      <c r="Q569" t="s">
        <v>1235</v>
      </c>
      <c r="R569" s="3">
        <v>1170.15</v>
      </c>
      <c r="S569" s="3">
        <v>2115.19</v>
      </c>
      <c r="T569" s="3">
        <f t="shared" si="125"/>
        <v>2115.19</v>
      </c>
      <c r="U569" s="3">
        <f>(1+'10. Whatif Control pannel'!$B$6)*T569</f>
        <v>2369.0128</v>
      </c>
      <c r="V569" s="3" t="str">
        <f t="shared" si="126"/>
        <v>High</v>
      </c>
      <c r="W569" s="34">
        <v>0.092</v>
      </c>
      <c r="X569" s="24" t="str">
        <f t="shared" si="127"/>
        <v>Okay</v>
      </c>
      <c r="Y569" s="36">
        <f>IF(W569&lt;=0.25,W569,'10. Whatif Control pannel'!$B$2)</f>
        <v>0.092</v>
      </c>
      <c r="Z569" s="24">
        <v>23</v>
      </c>
      <c r="AA569" s="13">
        <f>(1+'10. Whatif Control pannel'!$B$10)*Z569</f>
        <v>27.6</v>
      </c>
      <c r="AB569" s="3">
        <f t="shared" si="128"/>
        <v>44173.62796</v>
      </c>
      <c r="AC569" s="3">
        <f t="shared" si="133"/>
        <v>59369.35597824</v>
      </c>
      <c r="AD569" s="3">
        <f t="shared" si="129"/>
        <v>26913.45</v>
      </c>
      <c r="AE569" s="3">
        <f t="shared" si="130"/>
        <v>17260.17796</v>
      </c>
      <c r="AF569" s="3">
        <f t="shared" si="134"/>
        <v>32455.90597824</v>
      </c>
      <c r="AG569">
        <f t="shared" si="131"/>
        <v>0.390734896749468</v>
      </c>
    </row>
    <row r="570" spans="1:33">
      <c r="A570" t="s">
        <v>1236</v>
      </c>
      <c r="B570" s="20">
        <v>45600</v>
      </c>
      <c r="C570" s="2">
        <f t="shared" si="120"/>
        <v>11</v>
      </c>
      <c r="D570" s="21">
        <f t="shared" si="132"/>
        <v>45600</v>
      </c>
      <c r="E570" s="19" t="str">
        <f t="shared" si="121"/>
        <v>Quarter 4</v>
      </c>
      <c r="F570" s="19">
        <v>45603</v>
      </c>
      <c r="G570" s="19">
        <f t="shared" si="122"/>
        <v>45603</v>
      </c>
      <c r="H570" s="22">
        <f t="shared" si="123"/>
        <v>3</v>
      </c>
      <c r="I570" t="str">
        <f t="shared" si="124"/>
        <v>Ontime</v>
      </c>
      <c r="J570" t="s">
        <v>78</v>
      </c>
      <c r="K570" t="s">
        <v>90</v>
      </c>
      <c r="L570" t="s">
        <v>138</v>
      </c>
      <c r="M570" t="s">
        <v>19</v>
      </c>
      <c r="N570" t="s">
        <v>28</v>
      </c>
      <c r="O570" t="s">
        <v>68</v>
      </c>
      <c r="P570" t="s">
        <v>64</v>
      </c>
      <c r="Q570" t="s">
        <v>1237</v>
      </c>
      <c r="R570" s="3">
        <v>740.68</v>
      </c>
      <c r="S570" s="3">
        <v>1837.19</v>
      </c>
      <c r="T570" s="3">
        <f t="shared" si="125"/>
        <v>1837.19</v>
      </c>
      <c r="U570" s="3">
        <f>(1+'10. Whatif Control pannel'!$B$6)*T570</f>
        <v>2057.6528</v>
      </c>
      <c r="V570" s="3" t="str">
        <f t="shared" si="126"/>
        <v>High</v>
      </c>
      <c r="W570" s="34">
        <v>0.197</v>
      </c>
      <c r="X570" s="24" t="str">
        <f t="shared" si="127"/>
        <v>Okay</v>
      </c>
      <c r="Y570" s="36">
        <f>IF(W570&lt;=0.25,W570,'10. Whatif Control pannel'!$B$2)</f>
        <v>0.197</v>
      </c>
      <c r="Z570" s="24">
        <v>17</v>
      </c>
      <c r="AA570" s="13">
        <f>(1+'10. Whatif Control pannel'!$B$10)*Z570</f>
        <v>20.4</v>
      </c>
      <c r="AB570" s="3">
        <f t="shared" si="128"/>
        <v>25079.48069</v>
      </c>
      <c r="AC570" s="3">
        <f t="shared" si="133"/>
        <v>33706.82204736</v>
      </c>
      <c r="AD570" s="3">
        <f t="shared" si="129"/>
        <v>12591.56</v>
      </c>
      <c r="AE570" s="3">
        <f t="shared" si="130"/>
        <v>12487.92069</v>
      </c>
      <c r="AF570" s="3">
        <f t="shared" si="134"/>
        <v>21115.26204736</v>
      </c>
      <c r="AG570">
        <f t="shared" si="131"/>
        <v>0.49793378277483</v>
      </c>
    </row>
    <row r="571" spans="1:33">
      <c r="A571" t="s">
        <v>1238</v>
      </c>
      <c r="B571" s="20">
        <v>45342</v>
      </c>
      <c r="C571" s="2">
        <f t="shared" si="120"/>
        <v>2</v>
      </c>
      <c r="D571" s="21">
        <f t="shared" si="132"/>
        <v>45342</v>
      </c>
      <c r="E571" s="19" t="str">
        <f t="shared" si="121"/>
        <v>Quarter 1</v>
      </c>
      <c r="F571" s="19">
        <v>45342</v>
      </c>
      <c r="G571" s="19">
        <f t="shared" si="122"/>
        <v>45342</v>
      </c>
      <c r="H571" s="22">
        <f t="shared" si="123"/>
        <v>0</v>
      </c>
      <c r="I571" t="str">
        <f t="shared" si="124"/>
        <v>Ontime</v>
      </c>
      <c r="J571" t="s">
        <v>52</v>
      </c>
      <c r="K571" t="s">
        <v>122</v>
      </c>
      <c r="L571" t="s">
        <v>387</v>
      </c>
      <c r="M571" t="s">
        <v>105</v>
      </c>
      <c r="N571" t="s">
        <v>28</v>
      </c>
      <c r="O571" t="s">
        <v>21</v>
      </c>
      <c r="P571" t="s">
        <v>35</v>
      </c>
      <c r="Q571" t="s">
        <v>1239</v>
      </c>
      <c r="R571" s="3">
        <v>1407.05</v>
      </c>
      <c r="S571" s="3">
        <v>2858.93</v>
      </c>
      <c r="T571" s="3">
        <f t="shared" si="125"/>
        <v>2858.93</v>
      </c>
      <c r="U571" s="3">
        <f>(1+'10. Whatif Control pannel'!$B$6)*T571</f>
        <v>3202.0016</v>
      </c>
      <c r="V571" s="3" t="str">
        <f t="shared" si="126"/>
        <v>High</v>
      </c>
      <c r="W571" s="34">
        <v>0</v>
      </c>
      <c r="X571" s="24" t="str">
        <f t="shared" si="127"/>
        <v>Okay</v>
      </c>
      <c r="Y571" s="36">
        <f>IF(W571&lt;=0.25,W571,'10. Whatif Control pannel'!$B$2)</f>
        <v>0</v>
      </c>
      <c r="Z571" s="24">
        <v>12</v>
      </c>
      <c r="AA571" s="13">
        <f>(1+'10. Whatif Control pannel'!$B$10)*Z571</f>
        <v>14.4</v>
      </c>
      <c r="AB571" s="3">
        <f t="shared" si="128"/>
        <v>34307.16</v>
      </c>
      <c r="AC571" s="3">
        <f t="shared" si="133"/>
        <v>46108.82304</v>
      </c>
      <c r="AD571" s="3">
        <f t="shared" si="129"/>
        <v>16884.6</v>
      </c>
      <c r="AE571" s="3">
        <f t="shared" si="130"/>
        <v>17422.56</v>
      </c>
      <c r="AF571" s="3">
        <f t="shared" si="134"/>
        <v>29224.22304</v>
      </c>
      <c r="AG571">
        <f t="shared" si="131"/>
        <v>0.507840345863662</v>
      </c>
    </row>
    <row r="572" spans="1:33">
      <c r="A572" t="s">
        <v>1240</v>
      </c>
      <c r="B572" s="20">
        <v>45760</v>
      </c>
      <c r="C572" s="2">
        <f t="shared" si="120"/>
        <v>4</v>
      </c>
      <c r="D572" s="21">
        <f t="shared" si="132"/>
        <v>45760</v>
      </c>
      <c r="E572" s="19" t="str">
        <f t="shared" si="121"/>
        <v>Quarter 2</v>
      </c>
      <c r="F572" s="19">
        <v>45761</v>
      </c>
      <c r="G572" s="19">
        <f t="shared" si="122"/>
        <v>45761</v>
      </c>
      <c r="H572" s="22">
        <f t="shared" si="123"/>
        <v>1</v>
      </c>
      <c r="I572" t="str">
        <f t="shared" si="124"/>
        <v>Ontime</v>
      </c>
      <c r="J572" t="s">
        <v>45</v>
      </c>
      <c r="K572" t="s">
        <v>46</v>
      </c>
      <c r="L572" t="s">
        <v>47</v>
      </c>
      <c r="M572" t="s">
        <v>105</v>
      </c>
      <c r="N572" t="s">
        <v>28</v>
      </c>
      <c r="O572" t="s">
        <v>41</v>
      </c>
      <c r="P572" t="s">
        <v>22</v>
      </c>
      <c r="Q572" t="s">
        <v>1241</v>
      </c>
      <c r="R572" s="3">
        <v>138.9</v>
      </c>
      <c r="S572" s="3">
        <v>289.92</v>
      </c>
      <c r="T572" s="3">
        <f t="shared" si="125"/>
        <v>289.92</v>
      </c>
      <c r="U572" s="3">
        <f>(1+'10. Whatif Control pannel'!$B$6)*T572</f>
        <v>324.7104</v>
      </c>
      <c r="V572" s="3" t="str">
        <f t="shared" si="126"/>
        <v>Low</v>
      </c>
      <c r="W572" s="34">
        <v>0.029</v>
      </c>
      <c r="X572" s="24" t="str">
        <f t="shared" si="127"/>
        <v>Okay</v>
      </c>
      <c r="Y572" s="36">
        <f>IF(W572&lt;=0.25,W572,'10. Whatif Control pannel'!$B$2)</f>
        <v>0.029</v>
      </c>
      <c r="Z572" s="24">
        <v>12</v>
      </c>
      <c r="AA572" s="13">
        <f>(1+'10. Whatif Control pannel'!$B$10)*Z572</f>
        <v>14.4</v>
      </c>
      <c r="AB572" s="3">
        <f t="shared" si="128"/>
        <v>3378.14784</v>
      </c>
      <c r="AC572" s="3">
        <f t="shared" si="133"/>
        <v>4540.23069696</v>
      </c>
      <c r="AD572" s="3">
        <f t="shared" si="129"/>
        <v>1666.8</v>
      </c>
      <c r="AE572" s="3">
        <f t="shared" si="130"/>
        <v>1711.34784</v>
      </c>
      <c r="AF572" s="3">
        <f t="shared" si="134"/>
        <v>2873.43069696</v>
      </c>
      <c r="AG572">
        <f t="shared" si="131"/>
        <v>0.506593530258285</v>
      </c>
    </row>
    <row r="573" spans="1:33">
      <c r="A573" t="s">
        <v>1242</v>
      </c>
      <c r="B573" s="20">
        <v>45078</v>
      </c>
      <c r="C573" s="2">
        <f t="shared" si="120"/>
        <v>6</v>
      </c>
      <c r="D573" s="21">
        <f t="shared" si="132"/>
        <v>45078</v>
      </c>
      <c r="E573" s="19" t="str">
        <f t="shared" si="121"/>
        <v>Quarter 2</v>
      </c>
      <c r="F573" s="19">
        <v>45078</v>
      </c>
      <c r="G573" s="19">
        <f t="shared" si="122"/>
        <v>45078</v>
      </c>
      <c r="H573" s="22">
        <f t="shared" si="123"/>
        <v>0</v>
      </c>
      <c r="I573" t="str">
        <f t="shared" si="124"/>
        <v>Ontime</v>
      </c>
      <c r="J573" t="s">
        <v>45</v>
      </c>
      <c r="K573" t="s">
        <v>60</v>
      </c>
      <c r="L573" t="s">
        <v>61</v>
      </c>
      <c r="M573" t="s">
        <v>19</v>
      </c>
      <c r="N573" t="s">
        <v>20</v>
      </c>
      <c r="O573" t="s">
        <v>63</v>
      </c>
      <c r="P573" t="s">
        <v>81</v>
      </c>
      <c r="Q573" t="s">
        <v>1243</v>
      </c>
      <c r="R573" s="3">
        <v>669.37</v>
      </c>
      <c r="S573" s="3">
        <v>997.2</v>
      </c>
      <c r="T573" s="3">
        <f t="shared" si="125"/>
        <v>997.2</v>
      </c>
      <c r="U573" s="3">
        <f>(1+'10. Whatif Control pannel'!$B$6)*T573</f>
        <v>1116.864</v>
      </c>
      <c r="V573" s="3" t="str">
        <f t="shared" si="126"/>
        <v>Medium</v>
      </c>
      <c r="W573" s="34">
        <v>0.082</v>
      </c>
      <c r="X573" s="24" t="str">
        <f t="shared" si="127"/>
        <v>Okay</v>
      </c>
      <c r="Y573" s="36">
        <f>IF(W573&lt;=0.25,W573,'10. Whatif Control pannel'!$B$2)</f>
        <v>0.082</v>
      </c>
      <c r="Z573" s="24">
        <v>5</v>
      </c>
      <c r="AA573" s="13">
        <f>(1+'10. Whatif Control pannel'!$B$10)*Z573</f>
        <v>6</v>
      </c>
      <c r="AB573" s="3">
        <f t="shared" si="128"/>
        <v>4577.148</v>
      </c>
      <c r="AC573" s="3">
        <f t="shared" si="133"/>
        <v>6151.686912</v>
      </c>
      <c r="AD573" s="3">
        <f t="shared" si="129"/>
        <v>3346.85</v>
      </c>
      <c r="AE573" s="3">
        <f t="shared" si="130"/>
        <v>1230.298</v>
      </c>
      <c r="AF573" s="3">
        <f t="shared" si="134"/>
        <v>2804.836912</v>
      </c>
      <c r="AG573">
        <f t="shared" si="131"/>
        <v>0.268791395864849</v>
      </c>
    </row>
    <row r="574" spans="1:33">
      <c r="A574" t="s">
        <v>1244</v>
      </c>
      <c r="B574" s="20">
        <v>45740</v>
      </c>
      <c r="C574" s="2">
        <f t="shared" si="120"/>
        <v>3</v>
      </c>
      <c r="D574" s="21">
        <f t="shared" si="132"/>
        <v>45740</v>
      </c>
      <c r="E574" s="19" t="str">
        <f t="shared" si="121"/>
        <v>Quarter 1</v>
      </c>
      <c r="F574" s="19">
        <v>45751</v>
      </c>
      <c r="G574" s="19">
        <f t="shared" si="122"/>
        <v>45751</v>
      </c>
      <c r="H574" s="22">
        <f t="shared" si="123"/>
        <v>11</v>
      </c>
      <c r="I574" t="str">
        <f t="shared" si="124"/>
        <v>Delayed </v>
      </c>
      <c r="J574" t="s">
        <v>45</v>
      </c>
      <c r="K574" t="s">
        <v>60</v>
      </c>
      <c r="L574" t="s">
        <v>220</v>
      </c>
      <c r="M574" t="s">
        <v>27</v>
      </c>
      <c r="N574" t="s">
        <v>40</v>
      </c>
      <c r="O574" t="s">
        <v>29</v>
      </c>
      <c r="P574" t="s">
        <v>42</v>
      </c>
      <c r="Q574" t="s">
        <v>1245</v>
      </c>
      <c r="R574" s="3">
        <v>23.83</v>
      </c>
      <c r="S574" s="3">
        <v>47.29</v>
      </c>
      <c r="T574" s="3">
        <f t="shared" si="125"/>
        <v>47.29</v>
      </c>
      <c r="U574" s="3">
        <f>(1+'10. Whatif Control pannel'!$B$6)*T574</f>
        <v>52.9648</v>
      </c>
      <c r="V574" s="3" t="str">
        <f t="shared" si="126"/>
        <v>Low</v>
      </c>
      <c r="W574" s="34">
        <v>0.064</v>
      </c>
      <c r="X574" s="24" t="str">
        <f t="shared" si="127"/>
        <v>Okay</v>
      </c>
      <c r="Y574" s="36">
        <f>IF(W574&lt;=0.25,W574,'10. Whatif Control pannel'!$B$2)</f>
        <v>0.064</v>
      </c>
      <c r="Z574" s="24">
        <v>19</v>
      </c>
      <c r="AA574" s="13">
        <f>(1+'10. Whatif Control pannel'!$B$10)*Z574</f>
        <v>22.8</v>
      </c>
      <c r="AB574" s="3">
        <f t="shared" si="128"/>
        <v>841.00536</v>
      </c>
      <c r="AC574" s="3">
        <f t="shared" si="133"/>
        <v>1130.31120384</v>
      </c>
      <c r="AD574" s="3">
        <f t="shared" si="129"/>
        <v>452.77</v>
      </c>
      <c r="AE574" s="3">
        <f t="shared" si="130"/>
        <v>388.23536</v>
      </c>
      <c r="AF574" s="3">
        <f t="shared" si="134"/>
        <v>677.54120384</v>
      </c>
      <c r="AG574">
        <f t="shared" si="131"/>
        <v>0.461632444292626</v>
      </c>
    </row>
    <row r="575" spans="1:33">
      <c r="A575" t="s">
        <v>1246</v>
      </c>
      <c r="B575" s="20">
        <v>45293</v>
      </c>
      <c r="C575" s="2">
        <f t="shared" si="120"/>
        <v>1</v>
      </c>
      <c r="D575" s="21">
        <f t="shared" si="132"/>
        <v>45293</v>
      </c>
      <c r="E575" s="19" t="str">
        <f t="shared" si="121"/>
        <v>Quarter 1</v>
      </c>
      <c r="F575" s="19">
        <v>45293</v>
      </c>
      <c r="G575" s="19">
        <f t="shared" si="122"/>
        <v>45293</v>
      </c>
      <c r="H575" s="22">
        <f t="shared" si="123"/>
        <v>0</v>
      </c>
      <c r="I575" t="str">
        <f t="shared" si="124"/>
        <v>Ontime</v>
      </c>
      <c r="J575" t="s">
        <v>52</v>
      </c>
      <c r="K575" t="s">
        <v>53</v>
      </c>
      <c r="L575" t="s">
        <v>179</v>
      </c>
      <c r="M575" t="s">
        <v>27</v>
      </c>
      <c r="N575" t="s">
        <v>98</v>
      </c>
      <c r="O575" t="s">
        <v>75</v>
      </c>
      <c r="P575" t="s">
        <v>57</v>
      </c>
      <c r="Q575" t="s">
        <v>1247</v>
      </c>
      <c r="R575" s="3">
        <v>444.41</v>
      </c>
      <c r="S575" s="3">
        <v>754.24</v>
      </c>
      <c r="T575" s="3">
        <f t="shared" si="125"/>
        <v>754.24</v>
      </c>
      <c r="U575" s="3">
        <f>(1+'10. Whatif Control pannel'!$B$6)*T575</f>
        <v>844.7488</v>
      </c>
      <c r="V575" s="3" t="str">
        <f t="shared" si="126"/>
        <v>Low</v>
      </c>
      <c r="W575" s="34">
        <v>0.207</v>
      </c>
      <c r="X575" s="24" t="str">
        <f t="shared" si="127"/>
        <v>High Discount</v>
      </c>
      <c r="Y575" s="36">
        <f>IF(W575&lt;=0.25,W575,'10. Whatif Control pannel'!$B$2)</f>
        <v>0.207</v>
      </c>
      <c r="Z575" s="24">
        <v>32</v>
      </c>
      <c r="AA575" s="13">
        <f>(1+'10. Whatif Control pannel'!$B$10)*Z575</f>
        <v>38.4</v>
      </c>
      <c r="AB575" s="3">
        <f t="shared" si="128"/>
        <v>19139.59424</v>
      </c>
      <c r="AC575" s="3">
        <f t="shared" si="133"/>
        <v>25723.61465856</v>
      </c>
      <c r="AD575" s="3">
        <f t="shared" si="129"/>
        <v>14221.12</v>
      </c>
      <c r="AE575" s="3">
        <f t="shared" si="130"/>
        <v>4918.47424</v>
      </c>
      <c r="AF575" s="3">
        <f t="shared" si="134"/>
        <v>11502.49465856</v>
      </c>
      <c r="AG575">
        <f t="shared" si="131"/>
        <v>0.256979023605466</v>
      </c>
    </row>
    <row r="576" spans="1:33">
      <c r="A576" t="s">
        <v>1248</v>
      </c>
      <c r="B576" s="20">
        <v>45279</v>
      </c>
      <c r="C576" s="2">
        <f t="shared" si="120"/>
        <v>12</v>
      </c>
      <c r="D576" s="21">
        <f t="shared" si="132"/>
        <v>45279</v>
      </c>
      <c r="E576" s="19" t="str">
        <f t="shared" si="121"/>
        <v>Quarter 4</v>
      </c>
      <c r="F576" s="19">
        <v>45292</v>
      </c>
      <c r="G576" s="19">
        <f t="shared" si="122"/>
        <v>45292</v>
      </c>
      <c r="H576" s="22">
        <f t="shared" si="123"/>
        <v>13</v>
      </c>
      <c r="I576" t="str">
        <f t="shared" si="124"/>
        <v>Delayed </v>
      </c>
      <c r="J576" t="s">
        <v>52</v>
      </c>
      <c r="K576" t="s">
        <v>53</v>
      </c>
      <c r="L576" t="s">
        <v>54</v>
      </c>
      <c r="M576" t="s">
        <v>105</v>
      </c>
      <c r="N576" t="s">
        <v>20</v>
      </c>
      <c r="O576" t="s">
        <v>95</v>
      </c>
      <c r="P576" t="s">
        <v>64</v>
      </c>
      <c r="Q576" t="s">
        <v>1249</v>
      </c>
      <c r="R576" s="3">
        <v>856.1</v>
      </c>
      <c r="S576" s="3">
        <v>901.48</v>
      </c>
      <c r="T576" s="3">
        <f t="shared" si="125"/>
        <v>901.48</v>
      </c>
      <c r="U576" s="3">
        <f>(1+'10. Whatif Control pannel'!$B$6)*T576</f>
        <v>1009.6576</v>
      </c>
      <c r="V576" s="3" t="str">
        <f t="shared" si="126"/>
        <v>Medium</v>
      </c>
      <c r="W576" s="34">
        <v>0.056</v>
      </c>
      <c r="X576" s="24" t="str">
        <f t="shared" si="127"/>
        <v>Okay</v>
      </c>
      <c r="Y576" s="36">
        <f>IF(W576&lt;=0.25,W576,'10. Whatif Control pannel'!$B$2)</f>
        <v>0.056</v>
      </c>
      <c r="Z576" s="24">
        <v>17</v>
      </c>
      <c r="AA576" s="13">
        <f>(1+'10. Whatif Control pannel'!$B$10)*Z576</f>
        <v>20.4</v>
      </c>
      <c r="AB576" s="3">
        <f t="shared" si="128"/>
        <v>14466.95104</v>
      </c>
      <c r="AC576" s="3">
        <f t="shared" si="133"/>
        <v>19443.58219776</v>
      </c>
      <c r="AD576" s="3">
        <f t="shared" si="129"/>
        <v>14553.7</v>
      </c>
      <c r="AE576" s="3">
        <f t="shared" si="130"/>
        <v>-86.7489600000008</v>
      </c>
      <c r="AF576" s="3">
        <f t="shared" si="134"/>
        <v>4889.88219776</v>
      </c>
      <c r="AG576">
        <f t="shared" si="131"/>
        <v>-0.00599635401821342</v>
      </c>
    </row>
    <row r="577" spans="1:33">
      <c r="A577" t="s">
        <v>1250</v>
      </c>
      <c r="B577" s="20">
        <v>45042</v>
      </c>
      <c r="C577" s="2">
        <f t="shared" si="120"/>
        <v>4</v>
      </c>
      <c r="D577" s="21">
        <f t="shared" si="132"/>
        <v>45042</v>
      </c>
      <c r="E577" s="19" t="str">
        <f t="shared" si="121"/>
        <v>Quarter 2</v>
      </c>
      <c r="F577" s="19">
        <v>45042</v>
      </c>
      <c r="G577" s="19">
        <f t="shared" si="122"/>
        <v>45042</v>
      </c>
      <c r="H577" s="22">
        <f t="shared" si="123"/>
        <v>0</v>
      </c>
      <c r="I577" t="str">
        <f t="shared" si="124"/>
        <v>Ontime</v>
      </c>
      <c r="J577" t="s">
        <v>78</v>
      </c>
      <c r="K577" t="s">
        <v>90</v>
      </c>
      <c r="L577" t="s">
        <v>91</v>
      </c>
      <c r="M577" t="s">
        <v>48</v>
      </c>
      <c r="N577" t="s">
        <v>98</v>
      </c>
      <c r="O577" t="s">
        <v>110</v>
      </c>
      <c r="P577" t="s">
        <v>22</v>
      </c>
      <c r="Q577" t="s">
        <v>1251</v>
      </c>
      <c r="R577" s="3">
        <v>81.49</v>
      </c>
      <c r="S577" s="3">
        <v>113.08</v>
      </c>
      <c r="T577" s="3">
        <f t="shared" si="125"/>
        <v>113.08</v>
      </c>
      <c r="U577" s="3">
        <f>(1+'10. Whatif Control pannel'!$B$6)*T577</f>
        <v>126.6496</v>
      </c>
      <c r="V577" s="3" t="str">
        <f t="shared" si="126"/>
        <v>Low</v>
      </c>
      <c r="W577" s="34">
        <v>0.121</v>
      </c>
      <c r="X577" s="24" t="str">
        <f t="shared" si="127"/>
        <v>Okay</v>
      </c>
      <c r="Y577" s="36">
        <f>IF(W577&lt;=0.25,W577,'10. Whatif Control pannel'!$B$2)</f>
        <v>0.121</v>
      </c>
      <c r="Z577" s="24">
        <v>5</v>
      </c>
      <c r="AA577" s="13">
        <f>(1+'10. Whatif Control pannel'!$B$10)*Z577</f>
        <v>6</v>
      </c>
      <c r="AB577" s="3">
        <f t="shared" si="128"/>
        <v>496.9866</v>
      </c>
      <c r="AC577" s="3">
        <f t="shared" si="133"/>
        <v>667.9499904</v>
      </c>
      <c r="AD577" s="3">
        <f t="shared" si="129"/>
        <v>407.45</v>
      </c>
      <c r="AE577" s="3">
        <f t="shared" si="130"/>
        <v>89.5366</v>
      </c>
      <c r="AF577" s="3">
        <f t="shared" si="134"/>
        <v>260.4999904</v>
      </c>
      <c r="AG577">
        <f t="shared" si="131"/>
        <v>0.180158982153644</v>
      </c>
    </row>
    <row r="578" spans="1:33">
      <c r="A578" t="s">
        <v>1252</v>
      </c>
      <c r="B578" s="20">
        <v>45872</v>
      </c>
      <c r="C578" s="2">
        <f t="shared" ref="C578:C633" si="135">MONTH(B578)</f>
        <v>8</v>
      </c>
      <c r="D578" s="21">
        <f t="shared" si="132"/>
        <v>45872</v>
      </c>
      <c r="E578" s="19" t="str">
        <f t="shared" ref="E578:E633" si="136">IF(AND(MONTH(B578)&gt;=1,MONTH(B578)&lt;=3),"Quarter 1",IF(AND(MONTH(B578)&gt;=4,MONTH(B578)&lt;=6),"Quarter 2",IF(AND(MONTH(B578)&gt;=7,MONTH(B578)&lt;=9),"Quarter 3",IF(AND(MONTH(B578)&gt;=10,MONTH(B578)&lt;=12),"Quarter 4"))))</f>
        <v>Quarter 3</v>
      </c>
      <c r="F578" s="19">
        <v>45885</v>
      </c>
      <c r="G578" s="19">
        <f t="shared" ref="G578:G633" si="137">IF(B578&gt;F578,B578+7,F578)</f>
        <v>45885</v>
      </c>
      <c r="H578" s="22">
        <f t="shared" ref="H578:H633" si="138">G578-B578</f>
        <v>13</v>
      </c>
      <c r="I578" t="str">
        <f t="shared" ref="I578:I633" si="139">IF(H578&lt;=7,"Ontime","Delayed ")</f>
        <v>Delayed </v>
      </c>
      <c r="J578" t="s">
        <v>52</v>
      </c>
      <c r="K578" t="s">
        <v>53</v>
      </c>
      <c r="L578" t="s">
        <v>144</v>
      </c>
      <c r="M578" t="s">
        <v>105</v>
      </c>
      <c r="N578" t="s">
        <v>55</v>
      </c>
      <c r="O578" t="s">
        <v>68</v>
      </c>
      <c r="P578" t="s">
        <v>35</v>
      </c>
      <c r="Q578" t="s">
        <v>1253</v>
      </c>
      <c r="R578" s="3">
        <v>698.66</v>
      </c>
      <c r="S578" s="3">
        <v>868.62</v>
      </c>
      <c r="T578" s="3">
        <f t="shared" ref="T578:T633" si="140">IF(S578&lt;=0,R578,S578)</f>
        <v>868.62</v>
      </c>
      <c r="U578" s="3">
        <f>(1+'10. Whatif Control pannel'!$B$6)*T578</f>
        <v>972.8544</v>
      </c>
      <c r="V578" s="3" t="str">
        <f t="shared" ref="V578:V633" si="141">IF(T578&lt;=_xlfn.PERCENTILE.INC(T578:T1209,33%),"Low",IF(T578&lt;=_xlfn.PERCENTILE.INC(T578:T1209,67%),"Medium","High"))</f>
        <v>Medium</v>
      </c>
      <c r="W578" s="34">
        <v>0.072</v>
      </c>
      <c r="X578" s="24" t="str">
        <f t="shared" ref="X578:X633" si="142">IF(W578&gt;0.2,"High Discount","Okay")</f>
        <v>Okay</v>
      </c>
      <c r="Y578" s="36">
        <f>IF(W578&lt;=0.25,W578,'10. Whatif Control pannel'!$B$2)</f>
        <v>0.072</v>
      </c>
      <c r="Z578" s="24">
        <v>15</v>
      </c>
      <c r="AA578" s="13">
        <f>(1+'10. Whatif Control pannel'!$B$10)*Z578</f>
        <v>18</v>
      </c>
      <c r="AB578" s="3">
        <f t="shared" ref="AB578:AB633" si="143">T578*Z578*(1-W578)</f>
        <v>12091.1904</v>
      </c>
      <c r="AC578" s="3">
        <f t="shared" si="133"/>
        <v>16250.5598976</v>
      </c>
      <c r="AD578" s="3">
        <f t="shared" ref="AD578:AD633" si="144">R578*Z578</f>
        <v>10479.9</v>
      </c>
      <c r="AE578" s="3">
        <f t="shared" ref="AE578:AE633" si="145">AB578-AD578</f>
        <v>1611.2904</v>
      </c>
      <c r="AF578" s="3">
        <f t="shared" si="134"/>
        <v>5770.6598976</v>
      </c>
      <c r="AG578">
        <f t="shared" ref="AG578:AG633" si="146">IF(AB578=0,0,AE578/AB578)</f>
        <v>0.133261519064326</v>
      </c>
    </row>
    <row r="579" spans="1:33">
      <c r="A579" t="s">
        <v>1254</v>
      </c>
      <c r="B579" s="20">
        <v>45140</v>
      </c>
      <c r="C579" s="2">
        <f t="shared" si="135"/>
        <v>8</v>
      </c>
      <c r="D579" s="21">
        <f t="shared" ref="D579:D633" si="147">B579</f>
        <v>45140</v>
      </c>
      <c r="E579" s="19" t="str">
        <f t="shared" si="136"/>
        <v>Quarter 3</v>
      </c>
      <c r="F579" s="19">
        <v>45157</v>
      </c>
      <c r="G579" s="19">
        <f t="shared" si="137"/>
        <v>45157</v>
      </c>
      <c r="H579" s="22">
        <f t="shared" si="138"/>
        <v>17</v>
      </c>
      <c r="I579" t="str">
        <f t="shared" si="139"/>
        <v>Delayed </v>
      </c>
      <c r="J579" t="s">
        <v>52</v>
      </c>
      <c r="K579" t="s">
        <v>53</v>
      </c>
      <c r="L579" t="s">
        <v>179</v>
      </c>
      <c r="M579" t="s">
        <v>19</v>
      </c>
      <c r="N579" t="s">
        <v>28</v>
      </c>
      <c r="O579" t="s">
        <v>84</v>
      </c>
      <c r="P579" t="s">
        <v>35</v>
      </c>
      <c r="Q579" t="s">
        <v>1255</v>
      </c>
      <c r="R579" s="3">
        <v>175.38</v>
      </c>
      <c r="S579" s="3">
        <v>347.9</v>
      </c>
      <c r="T579" s="3">
        <f t="shared" si="140"/>
        <v>347.9</v>
      </c>
      <c r="U579" s="3">
        <f>(1+'10. Whatif Control pannel'!$B$6)*T579</f>
        <v>389.648</v>
      </c>
      <c r="V579" s="3" t="str">
        <f t="shared" si="141"/>
        <v>Low</v>
      </c>
      <c r="W579" s="34">
        <v>0.072</v>
      </c>
      <c r="X579" s="24" t="str">
        <f t="shared" si="142"/>
        <v>Okay</v>
      </c>
      <c r="Y579" s="36">
        <f>IF(W579&lt;=0.25,W579,'10. Whatif Control pannel'!$B$2)</f>
        <v>0.072</v>
      </c>
      <c r="Z579" s="24">
        <v>43</v>
      </c>
      <c r="AA579" s="13">
        <f>(1+'10. Whatif Control pannel'!$B$10)*Z579</f>
        <v>51.6</v>
      </c>
      <c r="AB579" s="3">
        <f t="shared" si="143"/>
        <v>13882.6016</v>
      </c>
      <c r="AC579" s="3">
        <f t="shared" ref="AC579:AC633" si="148">U579*AA579*(1-Y579)</f>
        <v>18658.2165504</v>
      </c>
      <c r="AD579" s="3">
        <f t="shared" si="144"/>
        <v>7541.34</v>
      </c>
      <c r="AE579" s="3">
        <f t="shared" si="145"/>
        <v>6341.2616</v>
      </c>
      <c r="AF579" s="3">
        <f t="shared" ref="AF579:AF633" si="149">AC579-AD579</f>
        <v>11116.8765504</v>
      </c>
      <c r="AG579">
        <f t="shared" si="146"/>
        <v>0.456777611481698</v>
      </c>
    </row>
    <row r="580" spans="1:33">
      <c r="A580" t="s">
        <v>1256</v>
      </c>
      <c r="B580" s="20">
        <v>45092</v>
      </c>
      <c r="C580" s="2">
        <f t="shared" si="135"/>
        <v>6</v>
      </c>
      <c r="D580" s="21">
        <f t="shared" si="147"/>
        <v>45092</v>
      </c>
      <c r="E580" s="19" t="str">
        <f t="shared" si="136"/>
        <v>Quarter 2</v>
      </c>
      <c r="F580" s="19">
        <v>45119</v>
      </c>
      <c r="G580" s="19">
        <f t="shared" si="137"/>
        <v>45119</v>
      </c>
      <c r="H580" s="22">
        <f t="shared" si="138"/>
        <v>27</v>
      </c>
      <c r="I580" t="str">
        <f t="shared" si="139"/>
        <v>Delayed </v>
      </c>
      <c r="J580" t="s">
        <v>78</v>
      </c>
      <c r="K580" t="s">
        <v>108</v>
      </c>
      <c r="L580" t="s">
        <v>228</v>
      </c>
      <c r="M580" t="s">
        <v>48</v>
      </c>
      <c r="N580" t="s">
        <v>98</v>
      </c>
      <c r="O580" t="s">
        <v>34</v>
      </c>
      <c r="P580" t="s">
        <v>81</v>
      </c>
      <c r="Q580" t="s">
        <v>1257</v>
      </c>
      <c r="R580" s="3">
        <v>751.28</v>
      </c>
      <c r="S580" s="3">
        <v>1111.88</v>
      </c>
      <c r="T580" s="3">
        <f t="shared" si="140"/>
        <v>1111.88</v>
      </c>
      <c r="U580" s="3">
        <f>(1+'10. Whatif Control pannel'!$B$6)*T580</f>
        <v>1245.3056</v>
      </c>
      <c r="V580" s="3" t="str">
        <f t="shared" si="141"/>
        <v>Medium</v>
      </c>
      <c r="W580" s="34">
        <v>0.135</v>
      </c>
      <c r="X580" s="24" t="str">
        <f t="shared" si="142"/>
        <v>Okay</v>
      </c>
      <c r="Y580" s="36">
        <f>IF(W580&lt;=0.25,W580,'10. Whatif Control pannel'!$B$2)</f>
        <v>0.135</v>
      </c>
      <c r="Z580" s="24">
        <v>7</v>
      </c>
      <c r="AA580" s="13">
        <f>(1+'10. Whatif Control pannel'!$B$10)*Z580</f>
        <v>8.4</v>
      </c>
      <c r="AB580" s="3">
        <f t="shared" si="143"/>
        <v>6732.4334</v>
      </c>
      <c r="AC580" s="3">
        <f t="shared" si="148"/>
        <v>9048.3904896</v>
      </c>
      <c r="AD580" s="3">
        <f t="shared" si="144"/>
        <v>5258.96</v>
      </c>
      <c r="AE580" s="3">
        <f t="shared" si="145"/>
        <v>1473.4734</v>
      </c>
      <c r="AF580" s="3">
        <f t="shared" si="149"/>
        <v>3789.4304896</v>
      </c>
      <c r="AG580">
        <f t="shared" si="146"/>
        <v>0.218861934824339</v>
      </c>
    </row>
    <row r="581" spans="1:33">
      <c r="A581" t="s">
        <v>1258</v>
      </c>
      <c r="B581" s="20">
        <v>45607</v>
      </c>
      <c r="C581" s="2">
        <f t="shared" si="135"/>
        <v>11</v>
      </c>
      <c r="D581" s="21">
        <f t="shared" si="147"/>
        <v>45607</v>
      </c>
      <c r="E581" s="19" t="str">
        <f t="shared" si="136"/>
        <v>Quarter 4</v>
      </c>
      <c r="F581" s="19">
        <v>45620</v>
      </c>
      <c r="G581" s="19">
        <f t="shared" si="137"/>
        <v>45620</v>
      </c>
      <c r="H581" s="22">
        <f t="shared" si="138"/>
        <v>13</v>
      </c>
      <c r="I581" t="str">
        <f t="shared" si="139"/>
        <v>Delayed </v>
      </c>
      <c r="J581" t="s">
        <v>78</v>
      </c>
      <c r="K581" t="s">
        <v>108</v>
      </c>
      <c r="L581" t="s">
        <v>152</v>
      </c>
      <c r="M581" t="s">
        <v>19</v>
      </c>
      <c r="N581" t="s">
        <v>20</v>
      </c>
      <c r="O581" t="s">
        <v>63</v>
      </c>
      <c r="P581" t="s">
        <v>35</v>
      </c>
      <c r="Q581" t="s">
        <v>1259</v>
      </c>
      <c r="R581" s="3">
        <v>164.53</v>
      </c>
      <c r="S581" s="3">
        <v>327.72</v>
      </c>
      <c r="T581" s="3">
        <f t="shared" si="140"/>
        <v>327.72</v>
      </c>
      <c r="U581" s="3">
        <f>(1+'10. Whatif Control pannel'!$B$6)*T581</f>
        <v>367.0464</v>
      </c>
      <c r="V581" s="3" t="str">
        <f t="shared" si="141"/>
        <v>Low</v>
      </c>
      <c r="W581" s="34">
        <v>0.067</v>
      </c>
      <c r="X581" s="24" t="str">
        <f t="shared" si="142"/>
        <v>Okay</v>
      </c>
      <c r="Y581" s="36">
        <f>IF(W581&lt;=0.25,W581,'10. Whatif Control pannel'!$B$2)</f>
        <v>0.067</v>
      </c>
      <c r="Z581" s="24">
        <v>14</v>
      </c>
      <c r="AA581" s="13">
        <f>(1+'10. Whatif Control pannel'!$B$10)*Z581</f>
        <v>16.8</v>
      </c>
      <c r="AB581" s="3">
        <f t="shared" si="143"/>
        <v>4280.67864</v>
      </c>
      <c r="AC581" s="3">
        <f t="shared" si="148"/>
        <v>5753.23209216</v>
      </c>
      <c r="AD581" s="3">
        <f t="shared" si="144"/>
        <v>2303.42</v>
      </c>
      <c r="AE581" s="3">
        <f t="shared" si="145"/>
        <v>1977.25864</v>
      </c>
      <c r="AF581" s="3">
        <f t="shared" si="149"/>
        <v>3449.81209216</v>
      </c>
      <c r="AG581">
        <f t="shared" si="146"/>
        <v>0.461903078059604</v>
      </c>
    </row>
    <row r="582" spans="1:33">
      <c r="A582" t="s">
        <v>1260</v>
      </c>
      <c r="B582" s="20">
        <v>45849</v>
      </c>
      <c r="C582" s="2">
        <f t="shared" si="135"/>
        <v>7</v>
      </c>
      <c r="D582" s="21">
        <f t="shared" si="147"/>
        <v>45849</v>
      </c>
      <c r="E582" s="19" t="str">
        <f t="shared" si="136"/>
        <v>Quarter 3</v>
      </c>
      <c r="F582" s="19">
        <v>45872</v>
      </c>
      <c r="G582" s="19">
        <f t="shared" si="137"/>
        <v>45872</v>
      </c>
      <c r="H582" s="22">
        <f t="shared" si="138"/>
        <v>23</v>
      </c>
      <c r="I582" t="str">
        <f t="shared" si="139"/>
        <v>Delayed </v>
      </c>
      <c r="J582" t="s">
        <v>16</v>
      </c>
      <c r="K582" t="s">
        <v>17</v>
      </c>
      <c r="L582" t="s">
        <v>135</v>
      </c>
      <c r="M582" t="s">
        <v>62</v>
      </c>
      <c r="N582" t="s">
        <v>20</v>
      </c>
      <c r="O582" t="s">
        <v>21</v>
      </c>
      <c r="P582" t="s">
        <v>42</v>
      </c>
      <c r="Q582" t="s">
        <v>1261</v>
      </c>
      <c r="R582" s="3">
        <v>389.93</v>
      </c>
      <c r="S582" s="3">
        <v>486.13</v>
      </c>
      <c r="T582" s="3">
        <f t="shared" si="140"/>
        <v>486.13</v>
      </c>
      <c r="U582" s="3">
        <f>(1+'10. Whatif Control pannel'!$B$6)*T582</f>
        <v>544.4656</v>
      </c>
      <c r="V582" s="3" t="str">
        <f t="shared" si="141"/>
        <v>Low</v>
      </c>
      <c r="W582" s="34">
        <v>0.132</v>
      </c>
      <c r="X582" s="24" t="str">
        <f t="shared" si="142"/>
        <v>Okay</v>
      </c>
      <c r="Y582" s="36">
        <f>IF(W582&lt;=0.25,W582,'10. Whatif Control pannel'!$B$2)</f>
        <v>0.132</v>
      </c>
      <c r="Z582" s="24">
        <v>17</v>
      </c>
      <c r="AA582" s="13">
        <f>(1+'10. Whatif Control pannel'!$B$10)*Z582</f>
        <v>20.4</v>
      </c>
      <c r="AB582" s="3">
        <f t="shared" si="143"/>
        <v>7173.33428</v>
      </c>
      <c r="AC582" s="3">
        <f t="shared" si="148"/>
        <v>9640.96127232</v>
      </c>
      <c r="AD582" s="3">
        <f t="shared" si="144"/>
        <v>6628.81</v>
      </c>
      <c r="AE582" s="3">
        <f t="shared" si="145"/>
        <v>544.524279999999</v>
      </c>
      <c r="AF582" s="3">
        <f t="shared" si="149"/>
        <v>3012.15127232</v>
      </c>
      <c r="AG582">
        <f t="shared" si="146"/>
        <v>0.0759095085695628</v>
      </c>
    </row>
    <row r="583" spans="1:33">
      <c r="A583" t="s">
        <v>1262</v>
      </c>
      <c r="B583" s="20">
        <v>45080</v>
      </c>
      <c r="C583" s="2">
        <f t="shared" si="135"/>
        <v>6</v>
      </c>
      <c r="D583" s="21">
        <f t="shared" si="147"/>
        <v>45080</v>
      </c>
      <c r="E583" s="19" t="str">
        <f t="shared" si="136"/>
        <v>Quarter 2</v>
      </c>
      <c r="F583" s="19">
        <v>45108</v>
      </c>
      <c r="G583" s="19">
        <f t="shared" si="137"/>
        <v>45108</v>
      </c>
      <c r="H583" s="22">
        <f t="shared" si="138"/>
        <v>28</v>
      </c>
      <c r="I583" t="str">
        <f t="shared" si="139"/>
        <v>Delayed </v>
      </c>
      <c r="J583" t="s">
        <v>52</v>
      </c>
      <c r="K583" t="s">
        <v>73</v>
      </c>
      <c r="L583" t="s">
        <v>87</v>
      </c>
      <c r="M583" t="s">
        <v>62</v>
      </c>
      <c r="N583" t="s">
        <v>40</v>
      </c>
      <c r="O583" t="s">
        <v>75</v>
      </c>
      <c r="P583" t="s">
        <v>22</v>
      </c>
      <c r="Q583" t="s">
        <v>1263</v>
      </c>
      <c r="R583" s="3">
        <v>860.4</v>
      </c>
      <c r="S583" s="3">
        <v>2066.6</v>
      </c>
      <c r="T583" s="3">
        <f t="shared" si="140"/>
        <v>2066.6</v>
      </c>
      <c r="U583" s="3">
        <f>(1+'10. Whatif Control pannel'!$B$6)*T583</f>
        <v>2314.592</v>
      </c>
      <c r="V583" s="3" t="str">
        <f t="shared" si="141"/>
        <v>High</v>
      </c>
      <c r="W583" s="34">
        <v>0.01</v>
      </c>
      <c r="X583" s="24" t="str">
        <f t="shared" si="142"/>
        <v>Okay</v>
      </c>
      <c r="Y583" s="36">
        <f>IF(W583&lt;=0.25,W583,'10. Whatif Control pannel'!$B$2)</f>
        <v>0.01</v>
      </c>
      <c r="Z583" s="24">
        <v>3</v>
      </c>
      <c r="AA583" s="13">
        <f>(1+'10. Whatif Control pannel'!$B$10)*Z583</f>
        <v>3.6</v>
      </c>
      <c r="AB583" s="3">
        <f t="shared" si="143"/>
        <v>6137.802</v>
      </c>
      <c r="AC583" s="3">
        <f t="shared" si="148"/>
        <v>8249.205888</v>
      </c>
      <c r="AD583" s="3">
        <f t="shared" si="144"/>
        <v>2581.2</v>
      </c>
      <c r="AE583" s="3">
        <f t="shared" si="145"/>
        <v>3556.602</v>
      </c>
      <c r="AF583" s="3">
        <f t="shared" si="149"/>
        <v>5668.005888</v>
      </c>
      <c r="AG583">
        <f t="shared" si="146"/>
        <v>0.579458574910041</v>
      </c>
    </row>
    <row r="584" spans="1:33">
      <c r="A584" t="s">
        <v>1264</v>
      </c>
      <c r="B584" s="20">
        <v>44955</v>
      </c>
      <c r="C584" s="2">
        <f t="shared" si="135"/>
        <v>1</v>
      </c>
      <c r="D584" s="21">
        <f t="shared" si="147"/>
        <v>44955</v>
      </c>
      <c r="E584" s="19" t="str">
        <f t="shared" si="136"/>
        <v>Quarter 1</v>
      </c>
      <c r="F584" s="19">
        <v>44963</v>
      </c>
      <c r="G584" s="19">
        <f t="shared" si="137"/>
        <v>44963</v>
      </c>
      <c r="H584" s="22">
        <f t="shared" si="138"/>
        <v>8</v>
      </c>
      <c r="I584" t="str">
        <f t="shared" si="139"/>
        <v>Delayed </v>
      </c>
      <c r="J584" t="s">
        <v>52</v>
      </c>
      <c r="K584" t="s">
        <v>73</v>
      </c>
      <c r="L584" t="s">
        <v>87</v>
      </c>
      <c r="M584" t="s">
        <v>19</v>
      </c>
      <c r="N584" t="s">
        <v>40</v>
      </c>
      <c r="O584" t="s">
        <v>145</v>
      </c>
      <c r="P584" t="s">
        <v>64</v>
      </c>
      <c r="Q584" t="s">
        <v>1265</v>
      </c>
      <c r="R584" s="3">
        <v>41.84</v>
      </c>
      <c r="S584" s="3">
        <v>86.2</v>
      </c>
      <c r="T584" s="3">
        <f t="shared" si="140"/>
        <v>86.2</v>
      </c>
      <c r="U584" s="3">
        <f>(1+'10. Whatif Control pannel'!$B$6)*T584</f>
        <v>96.544</v>
      </c>
      <c r="V584" s="3" t="str">
        <f t="shared" si="141"/>
        <v>Low</v>
      </c>
      <c r="W584" s="34">
        <v>0.226</v>
      </c>
      <c r="X584" s="24" t="str">
        <f t="shared" si="142"/>
        <v>High Discount</v>
      </c>
      <c r="Y584" s="36">
        <f>IF(W584&lt;=0.25,W584,'10. Whatif Control pannel'!$B$2)</f>
        <v>0.226</v>
      </c>
      <c r="Z584" s="24">
        <v>27</v>
      </c>
      <c r="AA584" s="13">
        <f>(1+'10. Whatif Control pannel'!$B$10)*Z584</f>
        <v>32.4</v>
      </c>
      <c r="AB584" s="3">
        <f t="shared" si="143"/>
        <v>1801.4076</v>
      </c>
      <c r="AC584" s="3">
        <f t="shared" si="148"/>
        <v>2421.0918144</v>
      </c>
      <c r="AD584" s="3">
        <f t="shared" si="144"/>
        <v>1129.68</v>
      </c>
      <c r="AE584" s="3">
        <f t="shared" si="145"/>
        <v>671.7276</v>
      </c>
      <c r="AF584" s="3">
        <f t="shared" si="149"/>
        <v>1291.4118144</v>
      </c>
      <c r="AG584">
        <f t="shared" si="146"/>
        <v>0.372890399707429</v>
      </c>
    </row>
    <row r="585" spans="1:33">
      <c r="A585" t="s">
        <v>1266</v>
      </c>
      <c r="B585" s="20">
        <v>45541</v>
      </c>
      <c r="C585" s="2">
        <f t="shared" si="135"/>
        <v>9</v>
      </c>
      <c r="D585" s="21">
        <f t="shared" si="147"/>
        <v>45541</v>
      </c>
      <c r="E585" s="19" t="str">
        <f t="shared" si="136"/>
        <v>Quarter 3</v>
      </c>
      <c r="F585" s="19">
        <v>45539</v>
      </c>
      <c r="G585" s="19">
        <f t="shared" si="137"/>
        <v>45548</v>
      </c>
      <c r="H585" s="22">
        <f t="shared" si="138"/>
        <v>7</v>
      </c>
      <c r="I585" t="str">
        <f t="shared" si="139"/>
        <v>Ontime</v>
      </c>
      <c r="J585" t="s">
        <v>45</v>
      </c>
      <c r="K585" t="s">
        <v>46</v>
      </c>
      <c r="L585" t="s">
        <v>47</v>
      </c>
      <c r="M585" t="s">
        <v>19</v>
      </c>
      <c r="N585" t="s">
        <v>98</v>
      </c>
      <c r="O585" t="s">
        <v>75</v>
      </c>
      <c r="P585" t="s">
        <v>57</v>
      </c>
      <c r="Q585" t="s">
        <v>1267</v>
      </c>
      <c r="R585" s="3">
        <v>1368.17</v>
      </c>
      <c r="S585" s="3">
        <v>2307.75</v>
      </c>
      <c r="T585" s="3">
        <f t="shared" si="140"/>
        <v>2307.75</v>
      </c>
      <c r="U585" s="3">
        <f>(1+'10. Whatif Control pannel'!$B$6)*T585</f>
        <v>2584.68</v>
      </c>
      <c r="V585" s="3" t="str">
        <f t="shared" si="141"/>
        <v>High</v>
      </c>
      <c r="W585" s="34">
        <v>0.163</v>
      </c>
      <c r="X585" s="24" t="str">
        <f t="shared" si="142"/>
        <v>Okay</v>
      </c>
      <c r="Y585" s="36">
        <f>IF(W585&lt;=0.25,W585,'10. Whatif Control pannel'!$B$2)</f>
        <v>0.163</v>
      </c>
      <c r="Z585" s="24">
        <v>21</v>
      </c>
      <c r="AA585" s="13">
        <f>(1+'10. Whatif Control pannel'!$B$10)*Z585</f>
        <v>25.2</v>
      </c>
      <c r="AB585" s="3">
        <f t="shared" si="143"/>
        <v>40563.32175</v>
      </c>
      <c r="AC585" s="3">
        <f t="shared" si="148"/>
        <v>54517.104432</v>
      </c>
      <c r="AD585" s="3">
        <f t="shared" si="144"/>
        <v>28731.57</v>
      </c>
      <c r="AE585" s="3">
        <f t="shared" si="145"/>
        <v>11831.75175</v>
      </c>
      <c r="AF585" s="3">
        <f t="shared" si="149"/>
        <v>25785.534432</v>
      </c>
      <c r="AG585">
        <f t="shared" si="146"/>
        <v>0.291685967508319</v>
      </c>
    </row>
    <row r="586" spans="1:33">
      <c r="A586" t="s">
        <v>1268</v>
      </c>
      <c r="B586" s="20">
        <v>45507</v>
      </c>
      <c r="C586" s="2">
        <f t="shared" si="135"/>
        <v>8</v>
      </c>
      <c r="D586" s="21">
        <f t="shared" si="147"/>
        <v>45507</v>
      </c>
      <c r="E586" s="19" t="str">
        <f t="shared" si="136"/>
        <v>Quarter 3</v>
      </c>
      <c r="F586" s="19">
        <v>45513</v>
      </c>
      <c r="G586" s="19">
        <f t="shared" si="137"/>
        <v>45513</v>
      </c>
      <c r="H586" s="22">
        <f t="shared" si="138"/>
        <v>6</v>
      </c>
      <c r="I586" t="str">
        <f t="shared" si="139"/>
        <v>Ontime</v>
      </c>
      <c r="J586" t="s">
        <v>16</v>
      </c>
      <c r="K586" t="s">
        <v>17</v>
      </c>
      <c r="L586" t="s">
        <v>113</v>
      </c>
      <c r="M586" t="s">
        <v>48</v>
      </c>
      <c r="N586" t="s">
        <v>40</v>
      </c>
      <c r="O586" t="s">
        <v>92</v>
      </c>
      <c r="P586" t="s">
        <v>57</v>
      </c>
      <c r="Q586" t="s">
        <v>1269</v>
      </c>
      <c r="R586" s="3">
        <v>643.21</v>
      </c>
      <c r="S586" s="3">
        <v>1112.81</v>
      </c>
      <c r="T586" s="3">
        <f t="shared" si="140"/>
        <v>1112.81</v>
      </c>
      <c r="U586" s="3">
        <f>(1+'10. Whatif Control pannel'!$B$6)*T586</f>
        <v>1246.3472</v>
      </c>
      <c r="V586" s="3" t="str">
        <f t="shared" si="141"/>
        <v>Medium</v>
      </c>
      <c r="W586" s="34">
        <v>0.141</v>
      </c>
      <c r="X586" s="24" t="str">
        <f t="shared" si="142"/>
        <v>Okay</v>
      </c>
      <c r="Y586" s="36">
        <f>IF(W586&lt;=0.25,W586,'10. Whatif Control pannel'!$B$2)</f>
        <v>0.141</v>
      </c>
      <c r="Z586" s="24">
        <v>4</v>
      </c>
      <c r="AA586" s="13">
        <f>(1+'10. Whatif Control pannel'!$B$10)*Z586</f>
        <v>4.8</v>
      </c>
      <c r="AB586" s="3">
        <f t="shared" si="143"/>
        <v>3823.61516</v>
      </c>
      <c r="AC586" s="3">
        <f t="shared" si="148"/>
        <v>5138.93877504</v>
      </c>
      <c r="AD586" s="3">
        <f t="shared" si="144"/>
        <v>2572.84</v>
      </c>
      <c r="AE586" s="3">
        <f t="shared" si="145"/>
        <v>1250.77516</v>
      </c>
      <c r="AF586" s="3">
        <f t="shared" si="149"/>
        <v>2566.09877504</v>
      </c>
      <c r="AG586">
        <f t="shared" si="146"/>
        <v>0.327118474967026</v>
      </c>
    </row>
    <row r="587" spans="1:33">
      <c r="A587" t="s">
        <v>1270</v>
      </c>
      <c r="B587" s="20">
        <v>45764</v>
      </c>
      <c r="C587" s="2">
        <f t="shared" si="135"/>
        <v>4</v>
      </c>
      <c r="D587" s="21">
        <f t="shared" si="147"/>
        <v>45764</v>
      </c>
      <c r="E587" s="19" t="str">
        <f t="shared" si="136"/>
        <v>Quarter 2</v>
      </c>
      <c r="F587" s="19">
        <v>45764</v>
      </c>
      <c r="G587" s="19">
        <f t="shared" si="137"/>
        <v>45764</v>
      </c>
      <c r="H587" s="22">
        <f t="shared" si="138"/>
        <v>0</v>
      </c>
      <c r="I587" t="str">
        <f t="shared" si="139"/>
        <v>Ontime</v>
      </c>
      <c r="J587" t="s">
        <v>52</v>
      </c>
      <c r="K587" t="s">
        <v>73</v>
      </c>
      <c r="L587" t="s">
        <v>74</v>
      </c>
      <c r="M587" t="s">
        <v>19</v>
      </c>
      <c r="N587" t="s">
        <v>55</v>
      </c>
      <c r="O587" t="s">
        <v>49</v>
      </c>
      <c r="P587" t="s">
        <v>42</v>
      </c>
      <c r="Q587" t="s">
        <v>1271</v>
      </c>
      <c r="R587" s="3">
        <v>719.41</v>
      </c>
      <c r="S587" s="3">
        <v>1125.99</v>
      </c>
      <c r="T587" s="3">
        <f t="shared" si="140"/>
        <v>1125.99</v>
      </c>
      <c r="U587" s="3">
        <f>(1+'10. Whatif Control pannel'!$B$6)*T587</f>
        <v>1261.1088</v>
      </c>
      <c r="V587" s="3" t="str">
        <f t="shared" si="141"/>
        <v>Medium</v>
      </c>
      <c r="W587" s="34">
        <v>0.041</v>
      </c>
      <c r="X587" s="24" t="str">
        <f t="shared" si="142"/>
        <v>Okay</v>
      </c>
      <c r="Y587" s="36">
        <f>IF(W587&lt;=0.25,W587,'10. Whatif Control pannel'!$B$2)</f>
        <v>0.041</v>
      </c>
      <c r="Z587" s="24">
        <v>21</v>
      </c>
      <c r="AA587" s="13">
        <f>(1+'10. Whatif Control pannel'!$B$10)*Z587</f>
        <v>25.2</v>
      </c>
      <c r="AB587" s="3">
        <f t="shared" si="143"/>
        <v>22676.31261</v>
      </c>
      <c r="AC587" s="3">
        <f t="shared" si="148"/>
        <v>30476.96414784</v>
      </c>
      <c r="AD587" s="3">
        <f t="shared" si="144"/>
        <v>15107.61</v>
      </c>
      <c r="AE587" s="3">
        <f t="shared" si="145"/>
        <v>7568.70261</v>
      </c>
      <c r="AF587" s="3">
        <f t="shared" si="149"/>
        <v>15369.35414784</v>
      </c>
      <c r="AG587">
        <f t="shared" si="146"/>
        <v>0.333771311948764</v>
      </c>
    </row>
    <row r="588" spans="1:33">
      <c r="A588" t="s">
        <v>1272</v>
      </c>
      <c r="B588" s="20">
        <v>45049</v>
      </c>
      <c r="C588" s="2">
        <f t="shared" si="135"/>
        <v>5</v>
      </c>
      <c r="D588" s="21">
        <f t="shared" si="147"/>
        <v>45049</v>
      </c>
      <c r="E588" s="19" t="str">
        <f t="shared" si="136"/>
        <v>Quarter 2</v>
      </c>
      <c r="F588" s="19">
        <v>45062</v>
      </c>
      <c r="G588" s="19">
        <f t="shared" si="137"/>
        <v>45062</v>
      </c>
      <c r="H588" s="22">
        <f t="shared" si="138"/>
        <v>13</v>
      </c>
      <c r="I588" t="str">
        <f t="shared" si="139"/>
        <v>Delayed </v>
      </c>
      <c r="J588" t="s">
        <v>52</v>
      </c>
      <c r="K588" t="s">
        <v>122</v>
      </c>
      <c r="L588" t="s">
        <v>387</v>
      </c>
      <c r="M588" t="s">
        <v>19</v>
      </c>
      <c r="N588" t="s">
        <v>40</v>
      </c>
      <c r="O588" t="s">
        <v>49</v>
      </c>
      <c r="P588" t="s">
        <v>42</v>
      </c>
      <c r="Q588" t="s">
        <v>1273</v>
      </c>
      <c r="R588" s="3">
        <v>64.5</v>
      </c>
      <c r="S588" s="3">
        <v>123.62</v>
      </c>
      <c r="T588" s="3">
        <f t="shared" si="140"/>
        <v>123.62</v>
      </c>
      <c r="U588" s="3">
        <f>(1+'10. Whatif Control pannel'!$B$6)*T588</f>
        <v>138.4544</v>
      </c>
      <c r="V588" s="3" t="str">
        <f t="shared" si="141"/>
        <v>Low</v>
      </c>
      <c r="W588" s="34">
        <v>0</v>
      </c>
      <c r="X588" s="24" t="str">
        <f t="shared" si="142"/>
        <v>Okay</v>
      </c>
      <c r="Y588" s="36">
        <f>IF(W588&lt;=0.25,W588,'10. Whatif Control pannel'!$B$2)</f>
        <v>0</v>
      </c>
      <c r="Z588" s="24">
        <v>3</v>
      </c>
      <c r="AA588" s="13">
        <f>(1+'10. Whatif Control pannel'!$B$10)*Z588</f>
        <v>3.6</v>
      </c>
      <c r="AB588" s="3">
        <f t="shared" si="143"/>
        <v>370.86</v>
      </c>
      <c r="AC588" s="3">
        <f t="shared" si="148"/>
        <v>498.43584</v>
      </c>
      <c r="AD588" s="3">
        <f t="shared" si="144"/>
        <v>193.5</v>
      </c>
      <c r="AE588" s="3">
        <f t="shared" si="145"/>
        <v>177.36</v>
      </c>
      <c r="AF588" s="3">
        <f t="shared" si="149"/>
        <v>304.93584</v>
      </c>
      <c r="AG588">
        <f t="shared" si="146"/>
        <v>0.478239767027989</v>
      </c>
    </row>
    <row r="589" spans="1:33">
      <c r="A589" t="s">
        <v>1274</v>
      </c>
      <c r="B589" s="20">
        <v>45364</v>
      </c>
      <c r="C589" s="2">
        <f t="shared" si="135"/>
        <v>3</v>
      </c>
      <c r="D589" s="21">
        <f t="shared" si="147"/>
        <v>45364</v>
      </c>
      <c r="E589" s="19" t="str">
        <f t="shared" si="136"/>
        <v>Quarter 1</v>
      </c>
      <c r="F589" s="19">
        <v>45388</v>
      </c>
      <c r="G589" s="19">
        <f t="shared" si="137"/>
        <v>45388</v>
      </c>
      <c r="H589" s="22">
        <f t="shared" si="138"/>
        <v>24</v>
      </c>
      <c r="I589" t="str">
        <f t="shared" si="139"/>
        <v>Delayed </v>
      </c>
      <c r="J589" t="s">
        <v>16</v>
      </c>
      <c r="K589" t="s">
        <v>25</v>
      </c>
      <c r="L589" t="s">
        <v>67</v>
      </c>
      <c r="M589" t="s">
        <v>48</v>
      </c>
      <c r="N589" t="s">
        <v>55</v>
      </c>
      <c r="O589" t="s">
        <v>49</v>
      </c>
      <c r="P589" t="s">
        <v>22</v>
      </c>
      <c r="Q589" t="s">
        <v>1275</v>
      </c>
      <c r="R589" s="3">
        <v>1232.78</v>
      </c>
      <c r="S589" s="3">
        <v>1731.75</v>
      </c>
      <c r="T589" s="3">
        <f t="shared" si="140"/>
        <v>1731.75</v>
      </c>
      <c r="U589" s="3">
        <f>(1+'10. Whatif Control pannel'!$B$6)*T589</f>
        <v>1939.56</v>
      </c>
      <c r="V589" s="3" t="str">
        <f t="shared" si="141"/>
        <v>High</v>
      </c>
      <c r="W589" s="34">
        <v>0.093</v>
      </c>
      <c r="X589" s="24" t="str">
        <f t="shared" si="142"/>
        <v>Okay</v>
      </c>
      <c r="Y589" s="36">
        <f>IF(W589&lt;=0.25,W589,'10. Whatif Control pannel'!$B$2)</f>
        <v>0.093</v>
      </c>
      <c r="Z589" s="24">
        <v>16</v>
      </c>
      <c r="AA589" s="13">
        <f>(1+'10. Whatif Control pannel'!$B$10)*Z589</f>
        <v>19.2</v>
      </c>
      <c r="AB589" s="3">
        <f t="shared" si="143"/>
        <v>25131.156</v>
      </c>
      <c r="AC589" s="3">
        <f t="shared" si="148"/>
        <v>33776.273664</v>
      </c>
      <c r="AD589" s="3">
        <f t="shared" si="144"/>
        <v>19724.48</v>
      </c>
      <c r="AE589" s="3">
        <f t="shared" si="145"/>
        <v>5406.676</v>
      </c>
      <c r="AF589" s="3">
        <f t="shared" si="149"/>
        <v>14051.793664</v>
      </c>
      <c r="AG589">
        <f t="shared" si="146"/>
        <v>0.21513837246484</v>
      </c>
    </row>
    <row r="590" spans="1:33">
      <c r="A590" t="s">
        <v>1276</v>
      </c>
      <c r="B590" s="20">
        <v>45459</v>
      </c>
      <c r="C590" s="2">
        <f t="shared" si="135"/>
        <v>6</v>
      </c>
      <c r="D590" s="21">
        <f t="shared" si="147"/>
        <v>45459</v>
      </c>
      <c r="E590" s="19" t="str">
        <f t="shared" si="136"/>
        <v>Quarter 2</v>
      </c>
      <c r="F590" s="19">
        <v>45464</v>
      </c>
      <c r="G590" s="19">
        <f t="shared" si="137"/>
        <v>45464</v>
      </c>
      <c r="H590" s="22">
        <f t="shared" si="138"/>
        <v>5</v>
      </c>
      <c r="I590" t="str">
        <f t="shared" si="139"/>
        <v>Ontime</v>
      </c>
      <c r="J590" t="s">
        <v>45</v>
      </c>
      <c r="K590" t="s">
        <v>46</v>
      </c>
      <c r="L590" t="s">
        <v>214</v>
      </c>
      <c r="M590" t="s">
        <v>62</v>
      </c>
      <c r="N590" t="s">
        <v>55</v>
      </c>
      <c r="O590" t="s">
        <v>84</v>
      </c>
      <c r="P590" t="s">
        <v>42</v>
      </c>
      <c r="Q590" t="s">
        <v>1277</v>
      </c>
      <c r="R590" s="3">
        <v>1367.13</v>
      </c>
      <c r="S590" s="3">
        <v>3062.01</v>
      </c>
      <c r="T590" s="3">
        <f t="shared" si="140"/>
        <v>3062.01</v>
      </c>
      <c r="U590" s="3">
        <f>(1+'10. Whatif Control pannel'!$B$6)*T590</f>
        <v>3429.4512</v>
      </c>
      <c r="V590" s="3" t="str">
        <f t="shared" si="141"/>
        <v>High</v>
      </c>
      <c r="W590" s="34">
        <v>0.103</v>
      </c>
      <c r="X590" s="24" t="str">
        <f t="shared" si="142"/>
        <v>Okay</v>
      </c>
      <c r="Y590" s="36">
        <f>IF(W590&lt;=0.25,W590,'10. Whatif Control pannel'!$B$2)</f>
        <v>0.103</v>
      </c>
      <c r="Z590" s="24">
        <v>25</v>
      </c>
      <c r="AA590" s="13">
        <f>(1+'10. Whatif Control pannel'!$B$10)*Z590</f>
        <v>30</v>
      </c>
      <c r="AB590" s="3">
        <f t="shared" si="143"/>
        <v>68665.57425</v>
      </c>
      <c r="AC590" s="3">
        <f t="shared" si="148"/>
        <v>92286.531792</v>
      </c>
      <c r="AD590" s="3">
        <f t="shared" si="144"/>
        <v>34178.25</v>
      </c>
      <c r="AE590" s="3">
        <f t="shared" si="145"/>
        <v>34487.32425</v>
      </c>
      <c r="AF590" s="3">
        <f t="shared" si="149"/>
        <v>58108.281792</v>
      </c>
      <c r="AG590">
        <f t="shared" si="146"/>
        <v>0.502250576459717</v>
      </c>
    </row>
    <row r="591" spans="1:33">
      <c r="A591" t="s">
        <v>1278</v>
      </c>
      <c r="B591" s="20">
        <v>45703</v>
      </c>
      <c r="C591" s="2">
        <f t="shared" si="135"/>
        <v>2</v>
      </c>
      <c r="D591" s="21">
        <f t="shared" si="147"/>
        <v>45703</v>
      </c>
      <c r="E591" s="19" t="str">
        <f t="shared" si="136"/>
        <v>Quarter 1</v>
      </c>
      <c r="F591" s="19">
        <v>45715</v>
      </c>
      <c r="G591" s="19">
        <f t="shared" si="137"/>
        <v>45715</v>
      </c>
      <c r="H591" s="22">
        <f t="shared" si="138"/>
        <v>12</v>
      </c>
      <c r="I591" t="str">
        <f t="shared" si="139"/>
        <v>Delayed </v>
      </c>
      <c r="J591" t="s">
        <v>78</v>
      </c>
      <c r="K591" t="s">
        <v>90</v>
      </c>
      <c r="L591" t="s">
        <v>138</v>
      </c>
      <c r="M591" t="s">
        <v>39</v>
      </c>
      <c r="N591" t="s">
        <v>98</v>
      </c>
      <c r="O591" t="s">
        <v>95</v>
      </c>
      <c r="P591" t="s">
        <v>81</v>
      </c>
      <c r="Q591" t="s">
        <v>1279</v>
      </c>
      <c r="R591" s="3">
        <v>1027.26</v>
      </c>
      <c r="S591" s="3">
        <v>2200.41</v>
      </c>
      <c r="T591" s="3">
        <f t="shared" si="140"/>
        <v>2200.41</v>
      </c>
      <c r="U591" s="3">
        <f>(1+'10. Whatif Control pannel'!$B$6)*T591</f>
        <v>2464.4592</v>
      </c>
      <c r="V591" s="3" t="str">
        <f t="shared" si="141"/>
        <v>High</v>
      </c>
      <c r="W591" s="34">
        <v>0.088</v>
      </c>
      <c r="X591" s="24" t="str">
        <f t="shared" si="142"/>
        <v>Okay</v>
      </c>
      <c r="Y591" s="36">
        <f>IF(W591&lt;=0.25,W591,'10. Whatif Control pannel'!$B$2)</f>
        <v>0.088</v>
      </c>
      <c r="Z591" s="24">
        <v>6</v>
      </c>
      <c r="AA591" s="13">
        <f>(1+'10. Whatif Control pannel'!$B$10)*Z591</f>
        <v>7.2</v>
      </c>
      <c r="AB591" s="3">
        <f t="shared" si="143"/>
        <v>12040.64352</v>
      </c>
      <c r="AC591" s="3">
        <f t="shared" si="148"/>
        <v>16182.62489088</v>
      </c>
      <c r="AD591" s="3">
        <f t="shared" si="144"/>
        <v>6163.56</v>
      </c>
      <c r="AE591" s="3">
        <f t="shared" si="145"/>
        <v>5877.08352</v>
      </c>
      <c r="AF591" s="3">
        <f t="shared" si="149"/>
        <v>10019.06489088</v>
      </c>
      <c r="AG591">
        <f t="shared" si="146"/>
        <v>0.488103772048224</v>
      </c>
    </row>
    <row r="592" spans="1:33">
      <c r="A592" t="s">
        <v>1280</v>
      </c>
      <c r="B592" s="20">
        <v>45019</v>
      </c>
      <c r="C592" s="2">
        <f t="shared" si="135"/>
        <v>4</v>
      </c>
      <c r="D592" s="21">
        <f t="shared" si="147"/>
        <v>45019</v>
      </c>
      <c r="E592" s="19" t="str">
        <f t="shared" si="136"/>
        <v>Quarter 2</v>
      </c>
      <c r="F592" s="19">
        <v>45032</v>
      </c>
      <c r="G592" s="19">
        <f t="shared" si="137"/>
        <v>45032</v>
      </c>
      <c r="H592" s="22">
        <f t="shared" si="138"/>
        <v>13</v>
      </c>
      <c r="I592" t="str">
        <f t="shared" si="139"/>
        <v>Delayed </v>
      </c>
      <c r="J592" t="s">
        <v>78</v>
      </c>
      <c r="K592" t="s">
        <v>90</v>
      </c>
      <c r="L592" t="s">
        <v>91</v>
      </c>
      <c r="M592" t="s">
        <v>39</v>
      </c>
      <c r="N592" t="s">
        <v>40</v>
      </c>
      <c r="O592" t="s">
        <v>110</v>
      </c>
      <c r="P592" t="s">
        <v>81</v>
      </c>
      <c r="Q592" t="s">
        <v>1281</v>
      </c>
      <c r="R592" s="3">
        <v>790.54</v>
      </c>
      <c r="S592" s="3">
        <v>601.49</v>
      </c>
      <c r="T592" s="3">
        <f t="shared" si="140"/>
        <v>601.49</v>
      </c>
      <c r="U592" s="3">
        <f>(1+'10. Whatif Control pannel'!$B$6)*T592</f>
        <v>673.6688</v>
      </c>
      <c r="V592" s="3" t="str">
        <f t="shared" si="141"/>
        <v>Low</v>
      </c>
      <c r="W592" s="34">
        <v>0</v>
      </c>
      <c r="X592" s="24" t="str">
        <f t="shared" si="142"/>
        <v>Okay</v>
      </c>
      <c r="Y592" s="36">
        <f>IF(W592&lt;=0.25,W592,'10. Whatif Control pannel'!$B$2)</f>
        <v>0</v>
      </c>
      <c r="Z592" s="24">
        <v>15</v>
      </c>
      <c r="AA592" s="13">
        <f>(1+'10. Whatif Control pannel'!$B$10)*Z592</f>
        <v>18</v>
      </c>
      <c r="AB592" s="3">
        <f t="shared" si="143"/>
        <v>9022.35</v>
      </c>
      <c r="AC592" s="3">
        <f t="shared" si="148"/>
        <v>12126.0384</v>
      </c>
      <c r="AD592" s="3">
        <f t="shared" si="144"/>
        <v>11858.1</v>
      </c>
      <c r="AE592" s="3">
        <f t="shared" si="145"/>
        <v>-2835.75</v>
      </c>
      <c r="AF592" s="3">
        <f t="shared" si="149"/>
        <v>267.938400000003</v>
      </c>
      <c r="AG592">
        <f t="shared" si="146"/>
        <v>-0.314302814676886</v>
      </c>
    </row>
    <row r="593" spans="1:33">
      <c r="A593" t="s">
        <v>1282</v>
      </c>
      <c r="B593" s="20">
        <v>45899</v>
      </c>
      <c r="C593" s="2">
        <f t="shared" si="135"/>
        <v>8</v>
      </c>
      <c r="D593" s="21">
        <f t="shared" si="147"/>
        <v>45899</v>
      </c>
      <c r="E593" s="19" t="str">
        <f t="shared" si="136"/>
        <v>Quarter 3</v>
      </c>
      <c r="F593" s="19">
        <v>45922</v>
      </c>
      <c r="G593" s="19">
        <f t="shared" si="137"/>
        <v>45922</v>
      </c>
      <c r="H593" s="22">
        <f t="shared" si="138"/>
        <v>23</v>
      </c>
      <c r="I593" t="str">
        <f t="shared" si="139"/>
        <v>Delayed </v>
      </c>
      <c r="J593" t="s">
        <v>78</v>
      </c>
      <c r="K593" t="s">
        <v>90</v>
      </c>
      <c r="L593" t="s">
        <v>91</v>
      </c>
      <c r="M593" t="s">
        <v>19</v>
      </c>
      <c r="N593" t="s">
        <v>98</v>
      </c>
      <c r="O593" t="s">
        <v>63</v>
      </c>
      <c r="P593" t="s">
        <v>22</v>
      </c>
      <c r="Q593" t="s">
        <v>1283</v>
      </c>
      <c r="R593" s="3">
        <v>663.9</v>
      </c>
      <c r="S593" s="3">
        <v>947.77</v>
      </c>
      <c r="T593" s="3">
        <f t="shared" si="140"/>
        <v>947.77</v>
      </c>
      <c r="U593" s="3">
        <f>(1+'10. Whatif Control pannel'!$B$6)*T593</f>
        <v>1061.5024</v>
      </c>
      <c r="V593" s="3" t="str">
        <f t="shared" si="141"/>
        <v>Medium</v>
      </c>
      <c r="W593" s="34">
        <v>0.174</v>
      </c>
      <c r="X593" s="24" t="str">
        <f t="shared" si="142"/>
        <v>Okay</v>
      </c>
      <c r="Y593" s="36">
        <f>IF(W593&lt;=0.25,W593,'10. Whatif Control pannel'!$B$2)</f>
        <v>0.174</v>
      </c>
      <c r="Z593" s="24">
        <v>15</v>
      </c>
      <c r="AA593" s="13">
        <f>(1+'10. Whatif Control pannel'!$B$10)*Z593</f>
        <v>18</v>
      </c>
      <c r="AB593" s="3">
        <f t="shared" si="143"/>
        <v>11742.8703</v>
      </c>
      <c r="AC593" s="3">
        <f t="shared" si="148"/>
        <v>15782.4176832</v>
      </c>
      <c r="AD593" s="3">
        <f t="shared" si="144"/>
        <v>9958.5</v>
      </c>
      <c r="AE593" s="3">
        <f t="shared" si="145"/>
        <v>1784.3703</v>
      </c>
      <c r="AF593" s="3">
        <f t="shared" si="149"/>
        <v>5823.9176832</v>
      </c>
      <c r="AG593">
        <f t="shared" si="146"/>
        <v>0.151953504928007</v>
      </c>
    </row>
    <row r="594" spans="1:33">
      <c r="A594" t="s">
        <v>1284</v>
      </c>
      <c r="B594" s="20">
        <v>44984</v>
      </c>
      <c r="C594" s="2">
        <f t="shared" si="135"/>
        <v>2</v>
      </c>
      <c r="D594" s="21">
        <f t="shared" si="147"/>
        <v>44984</v>
      </c>
      <c r="E594" s="19" t="str">
        <f t="shared" si="136"/>
        <v>Quarter 1</v>
      </c>
      <c r="F594" s="19">
        <v>44983</v>
      </c>
      <c r="G594" s="19">
        <f t="shared" si="137"/>
        <v>44991</v>
      </c>
      <c r="H594" s="22">
        <f t="shared" si="138"/>
        <v>7</v>
      </c>
      <c r="I594" t="str">
        <f t="shared" si="139"/>
        <v>Ontime</v>
      </c>
      <c r="J594" t="s">
        <v>52</v>
      </c>
      <c r="K594" t="s">
        <v>122</v>
      </c>
      <c r="L594" t="s">
        <v>167</v>
      </c>
      <c r="M594" t="s">
        <v>39</v>
      </c>
      <c r="N594" t="s">
        <v>28</v>
      </c>
      <c r="O594" t="s">
        <v>49</v>
      </c>
      <c r="P594" t="s">
        <v>35</v>
      </c>
      <c r="Q594" t="s">
        <v>1285</v>
      </c>
      <c r="R594" s="3">
        <v>1015.91</v>
      </c>
      <c r="S594" s="3">
        <v>2331.48</v>
      </c>
      <c r="T594" s="3">
        <f t="shared" si="140"/>
        <v>2331.48</v>
      </c>
      <c r="U594" s="3">
        <f>(1+'10. Whatif Control pannel'!$B$6)*T594</f>
        <v>2611.2576</v>
      </c>
      <c r="V594" s="3" t="str">
        <f t="shared" si="141"/>
        <v>High</v>
      </c>
      <c r="W594" s="34">
        <v>0.146</v>
      </c>
      <c r="X594" s="24" t="str">
        <f t="shared" si="142"/>
        <v>Okay</v>
      </c>
      <c r="Y594" s="36">
        <f>IF(W594&lt;=0.25,W594,'10. Whatif Control pannel'!$B$2)</f>
        <v>0.146</v>
      </c>
      <c r="Z594" s="24">
        <v>26</v>
      </c>
      <c r="AA594" s="13">
        <f>(1+'10. Whatif Control pannel'!$B$10)*Z594</f>
        <v>31.2</v>
      </c>
      <c r="AB594" s="3">
        <f t="shared" si="143"/>
        <v>51768.18192</v>
      </c>
      <c r="AC594" s="3">
        <f t="shared" si="148"/>
        <v>69576.43650048</v>
      </c>
      <c r="AD594" s="3">
        <f t="shared" si="144"/>
        <v>26413.66</v>
      </c>
      <c r="AE594" s="3">
        <f t="shared" si="145"/>
        <v>25354.52192</v>
      </c>
      <c r="AF594" s="3">
        <f t="shared" si="149"/>
        <v>43162.77650048</v>
      </c>
      <c r="AG594">
        <f t="shared" si="146"/>
        <v>0.489770375926696</v>
      </c>
    </row>
    <row r="595" spans="1:33">
      <c r="A595" t="s">
        <v>1286</v>
      </c>
      <c r="B595" s="20">
        <v>45504</v>
      </c>
      <c r="C595" s="2">
        <f t="shared" si="135"/>
        <v>7</v>
      </c>
      <c r="D595" s="21">
        <f t="shared" si="147"/>
        <v>45504</v>
      </c>
      <c r="E595" s="19" t="str">
        <f t="shared" si="136"/>
        <v>Quarter 3</v>
      </c>
      <c r="F595" s="19">
        <v>45519</v>
      </c>
      <c r="G595" s="19">
        <f t="shared" si="137"/>
        <v>45519</v>
      </c>
      <c r="H595" s="22">
        <f t="shared" si="138"/>
        <v>15</v>
      </c>
      <c r="I595" t="str">
        <f t="shared" si="139"/>
        <v>Delayed </v>
      </c>
      <c r="J595" t="s">
        <v>45</v>
      </c>
      <c r="K595" t="s">
        <v>46</v>
      </c>
      <c r="L595" t="s">
        <v>214</v>
      </c>
      <c r="M595" t="s">
        <v>19</v>
      </c>
      <c r="N595" t="s">
        <v>40</v>
      </c>
      <c r="O595" t="s">
        <v>84</v>
      </c>
      <c r="P595" t="s">
        <v>64</v>
      </c>
      <c r="Q595" t="s">
        <v>1287</v>
      </c>
      <c r="R595" s="3">
        <v>1252.52</v>
      </c>
      <c r="S595" s="3">
        <v>1417.24</v>
      </c>
      <c r="T595" s="3">
        <f t="shared" si="140"/>
        <v>1417.24</v>
      </c>
      <c r="U595" s="3">
        <f>(1+'10. Whatif Control pannel'!$B$6)*T595</f>
        <v>1587.3088</v>
      </c>
      <c r="V595" s="3" t="str">
        <f t="shared" si="141"/>
        <v>Medium</v>
      </c>
      <c r="W595" s="34">
        <v>0.192</v>
      </c>
      <c r="X595" s="24" t="str">
        <f t="shared" si="142"/>
        <v>Okay</v>
      </c>
      <c r="Y595" s="36">
        <f>IF(W595&lt;=0.25,W595,'10. Whatif Control pannel'!$B$2)</f>
        <v>0.192</v>
      </c>
      <c r="Z595" s="24">
        <v>5</v>
      </c>
      <c r="AA595" s="13">
        <f>(1+'10. Whatif Control pannel'!$B$10)*Z595</f>
        <v>6</v>
      </c>
      <c r="AB595" s="3">
        <f t="shared" si="143"/>
        <v>5725.6496</v>
      </c>
      <c r="AC595" s="3">
        <f t="shared" si="148"/>
        <v>7695.2730624</v>
      </c>
      <c r="AD595" s="3">
        <f t="shared" si="144"/>
        <v>6262.6</v>
      </c>
      <c r="AE595" s="3">
        <f t="shared" si="145"/>
        <v>-536.9504</v>
      </c>
      <c r="AF595" s="3">
        <f t="shared" si="149"/>
        <v>1432.6730624</v>
      </c>
      <c r="AG595">
        <f t="shared" si="146"/>
        <v>-0.093779821943697</v>
      </c>
    </row>
    <row r="596" spans="1:33">
      <c r="A596" t="s">
        <v>1288</v>
      </c>
      <c r="B596" s="20">
        <v>45823</v>
      </c>
      <c r="C596" s="2">
        <f t="shared" si="135"/>
        <v>6</v>
      </c>
      <c r="D596" s="21">
        <f t="shared" si="147"/>
        <v>45823</v>
      </c>
      <c r="E596" s="19" t="str">
        <f t="shared" si="136"/>
        <v>Quarter 2</v>
      </c>
      <c r="F596" s="19">
        <v>45850</v>
      </c>
      <c r="G596" s="19">
        <f t="shared" si="137"/>
        <v>45850</v>
      </c>
      <c r="H596" s="22">
        <f t="shared" si="138"/>
        <v>27</v>
      </c>
      <c r="I596" t="str">
        <f t="shared" si="139"/>
        <v>Delayed </v>
      </c>
      <c r="J596" t="s">
        <v>78</v>
      </c>
      <c r="K596" t="s">
        <v>90</v>
      </c>
      <c r="L596" t="s">
        <v>91</v>
      </c>
      <c r="M596" t="s">
        <v>48</v>
      </c>
      <c r="N596" t="s">
        <v>98</v>
      </c>
      <c r="O596" t="s">
        <v>21</v>
      </c>
      <c r="P596" t="s">
        <v>81</v>
      </c>
      <c r="Q596" t="s">
        <v>1289</v>
      </c>
      <c r="R596" s="3">
        <v>318.83</v>
      </c>
      <c r="S596" s="3">
        <v>699.5</v>
      </c>
      <c r="T596" s="3">
        <f t="shared" si="140"/>
        <v>699.5</v>
      </c>
      <c r="U596" s="3">
        <f>(1+'10. Whatif Control pannel'!$B$6)*T596</f>
        <v>783.44</v>
      </c>
      <c r="V596" s="3" t="str">
        <f t="shared" si="141"/>
        <v>Low</v>
      </c>
      <c r="W596" s="34">
        <v>0.08</v>
      </c>
      <c r="X596" s="24" t="str">
        <f t="shared" si="142"/>
        <v>Okay</v>
      </c>
      <c r="Y596" s="36">
        <f>IF(W596&lt;=0.25,W596,'10. Whatif Control pannel'!$B$2)</f>
        <v>0.08</v>
      </c>
      <c r="Z596" s="24">
        <v>13</v>
      </c>
      <c r="AA596" s="13">
        <f>(1+'10. Whatif Control pannel'!$B$10)*Z596</f>
        <v>15.6</v>
      </c>
      <c r="AB596" s="3">
        <f t="shared" si="143"/>
        <v>8366.02</v>
      </c>
      <c r="AC596" s="3">
        <f t="shared" si="148"/>
        <v>11243.93088</v>
      </c>
      <c r="AD596" s="3">
        <f t="shared" si="144"/>
        <v>4144.79</v>
      </c>
      <c r="AE596" s="3">
        <f t="shared" si="145"/>
        <v>4221.23</v>
      </c>
      <c r="AF596" s="3">
        <f t="shared" si="149"/>
        <v>7099.14088</v>
      </c>
      <c r="AG596">
        <f t="shared" si="146"/>
        <v>0.504568480591727</v>
      </c>
    </row>
    <row r="597" spans="1:33">
      <c r="A597" t="s">
        <v>1290</v>
      </c>
      <c r="B597" s="20">
        <v>45473</v>
      </c>
      <c r="C597" s="2">
        <f t="shared" si="135"/>
        <v>6</v>
      </c>
      <c r="D597" s="21">
        <f t="shared" si="147"/>
        <v>45473</v>
      </c>
      <c r="E597" s="19" t="str">
        <f t="shared" si="136"/>
        <v>Quarter 2</v>
      </c>
      <c r="F597" s="19">
        <v>45494</v>
      </c>
      <c r="G597" s="19">
        <f t="shared" si="137"/>
        <v>45494</v>
      </c>
      <c r="H597" s="22">
        <f t="shared" si="138"/>
        <v>21</v>
      </c>
      <c r="I597" t="str">
        <f t="shared" si="139"/>
        <v>Delayed </v>
      </c>
      <c r="J597" t="s">
        <v>16</v>
      </c>
      <c r="K597" t="s">
        <v>17</v>
      </c>
      <c r="L597" t="s">
        <v>18</v>
      </c>
      <c r="M597" t="s">
        <v>62</v>
      </c>
      <c r="N597" t="s">
        <v>20</v>
      </c>
      <c r="O597" t="s">
        <v>95</v>
      </c>
      <c r="P597" t="s">
        <v>57</v>
      </c>
      <c r="Q597" t="s">
        <v>1291</v>
      </c>
      <c r="R597" s="3">
        <v>753.43</v>
      </c>
      <c r="S597" s="3">
        <v>1787.2</v>
      </c>
      <c r="T597" s="3">
        <f t="shared" si="140"/>
        <v>1787.2</v>
      </c>
      <c r="U597" s="3">
        <f>(1+'10. Whatif Control pannel'!$B$6)*T597</f>
        <v>2001.664</v>
      </c>
      <c r="V597" s="3" t="str">
        <f t="shared" si="141"/>
        <v>High</v>
      </c>
      <c r="W597" s="34">
        <v>0.073</v>
      </c>
      <c r="X597" s="24" t="str">
        <f t="shared" si="142"/>
        <v>Okay</v>
      </c>
      <c r="Y597" s="36">
        <f>IF(W597&lt;=0.25,W597,'10. Whatif Control pannel'!$B$2)</f>
        <v>0.073</v>
      </c>
      <c r="Z597" s="24">
        <v>9</v>
      </c>
      <c r="AA597" s="13">
        <f>(1+'10. Whatif Control pannel'!$B$10)*Z597</f>
        <v>10.8</v>
      </c>
      <c r="AB597" s="3">
        <f t="shared" si="143"/>
        <v>14910.6096</v>
      </c>
      <c r="AC597" s="3">
        <f t="shared" si="148"/>
        <v>20039.8593024</v>
      </c>
      <c r="AD597" s="3">
        <f t="shared" si="144"/>
        <v>6780.87</v>
      </c>
      <c r="AE597" s="3">
        <f t="shared" si="145"/>
        <v>8129.7396</v>
      </c>
      <c r="AF597" s="3">
        <f t="shared" si="149"/>
        <v>13258.9893024</v>
      </c>
      <c r="AG597">
        <f t="shared" si="146"/>
        <v>0.545231873014769</v>
      </c>
    </row>
    <row r="598" spans="1:33">
      <c r="A598" t="s">
        <v>1292</v>
      </c>
      <c r="B598" s="20">
        <v>45705</v>
      </c>
      <c r="C598" s="2">
        <f t="shared" si="135"/>
        <v>2</v>
      </c>
      <c r="D598" s="21">
        <f t="shared" si="147"/>
        <v>45705</v>
      </c>
      <c r="E598" s="19" t="str">
        <f t="shared" si="136"/>
        <v>Quarter 1</v>
      </c>
      <c r="F598" s="19">
        <v>45703</v>
      </c>
      <c r="G598" s="19">
        <f t="shared" si="137"/>
        <v>45712</v>
      </c>
      <c r="H598" s="22">
        <f t="shared" si="138"/>
        <v>7</v>
      </c>
      <c r="I598" t="str">
        <f t="shared" si="139"/>
        <v>Ontime</v>
      </c>
      <c r="J598" t="s">
        <v>52</v>
      </c>
      <c r="K598" t="s">
        <v>53</v>
      </c>
      <c r="L598" t="s">
        <v>54</v>
      </c>
      <c r="M598" t="s">
        <v>62</v>
      </c>
      <c r="N598" t="s">
        <v>20</v>
      </c>
      <c r="O598" t="s">
        <v>145</v>
      </c>
      <c r="P598" t="s">
        <v>22</v>
      </c>
      <c r="Q598" t="s">
        <v>1293</v>
      </c>
      <c r="R598" s="3">
        <v>1133.47</v>
      </c>
      <c r="S598" s="3">
        <v>1698.75</v>
      </c>
      <c r="T598" s="3">
        <f t="shared" si="140"/>
        <v>1698.75</v>
      </c>
      <c r="U598" s="3">
        <f>(1+'10. Whatif Control pannel'!$B$6)*T598</f>
        <v>1902.6</v>
      </c>
      <c r="V598" s="3" t="str">
        <f t="shared" si="141"/>
        <v>High</v>
      </c>
      <c r="W598" s="34">
        <v>0.043</v>
      </c>
      <c r="X598" s="24" t="str">
        <f t="shared" si="142"/>
        <v>Okay</v>
      </c>
      <c r="Y598" s="36">
        <f>IF(W598&lt;=0.25,W598,'10. Whatif Control pannel'!$B$2)</f>
        <v>0.043</v>
      </c>
      <c r="Z598" s="24">
        <v>5</v>
      </c>
      <c r="AA598" s="13">
        <f>(1+'10. Whatif Control pannel'!$B$10)*Z598</f>
        <v>6</v>
      </c>
      <c r="AB598" s="3">
        <f t="shared" si="143"/>
        <v>8128.51875</v>
      </c>
      <c r="AC598" s="3">
        <f t="shared" si="148"/>
        <v>10924.7292</v>
      </c>
      <c r="AD598" s="3">
        <f t="shared" si="144"/>
        <v>5667.35</v>
      </c>
      <c r="AE598" s="3">
        <f t="shared" si="145"/>
        <v>2461.16875</v>
      </c>
      <c r="AF598" s="3">
        <f t="shared" si="149"/>
        <v>5257.3792</v>
      </c>
      <c r="AG598">
        <f t="shared" si="146"/>
        <v>0.30278194904822</v>
      </c>
    </row>
    <row r="599" spans="1:33">
      <c r="A599" t="s">
        <v>1294</v>
      </c>
      <c r="B599" s="20">
        <v>44933</v>
      </c>
      <c r="C599" s="2">
        <f t="shared" si="135"/>
        <v>1</v>
      </c>
      <c r="D599" s="21">
        <f t="shared" si="147"/>
        <v>44933</v>
      </c>
      <c r="E599" s="19" t="str">
        <f t="shared" si="136"/>
        <v>Quarter 1</v>
      </c>
      <c r="F599" s="19">
        <v>44956</v>
      </c>
      <c r="G599" s="19">
        <f t="shared" si="137"/>
        <v>44956</v>
      </c>
      <c r="H599" s="22">
        <f t="shared" si="138"/>
        <v>23</v>
      </c>
      <c r="I599" t="str">
        <f t="shared" si="139"/>
        <v>Delayed </v>
      </c>
      <c r="J599" t="s">
        <v>16</v>
      </c>
      <c r="K599" t="s">
        <v>148</v>
      </c>
      <c r="L599" t="s">
        <v>258</v>
      </c>
      <c r="M599" t="s">
        <v>48</v>
      </c>
      <c r="N599" t="s">
        <v>28</v>
      </c>
      <c r="O599" t="s">
        <v>75</v>
      </c>
      <c r="P599" t="s">
        <v>30</v>
      </c>
      <c r="Q599" t="s">
        <v>1295</v>
      </c>
      <c r="R599" s="3">
        <v>299.02</v>
      </c>
      <c r="S599" s="3">
        <v>724.7</v>
      </c>
      <c r="T599" s="3">
        <f t="shared" si="140"/>
        <v>724.7</v>
      </c>
      <c r="U599" s="3">
        <f>(1+'10. Whatif Control pannel'!$B$6)*T599</f>
        <v>811.664</v>
      </c>
      <c r="V599" s="3" t="str">
        <f t="shared" si="141"/>
        <v>Low</v>
      </c>
      <c r="W599" s="34">
        <v>0.14</v>
      </c>
      <c r="X599" s="24" t="str">
        <f t="shared" si="142"/>
        <v>Okay</v>
      </c>
      <c r="Y599" s="36">
        <f>IF(W599&lt;=0.25,W599,'10. Whatif Control pannel'!$B$2)</f>
        <v>0.14</v>
      </c>
      <c r="Z599" s="24">
        <v>5</v>
      </c>
      <c r="AA599" s="13">
        <f>(1+'10. Whatif Control pannel'!$B$10)*Z599</f>
        <v>6</v>
      </c>
      <c r="AB599" s="3">
        <f t="shared" si="143"/>
        <v>3116.21</v>
      </c>
      <c r="AC599" s="3">
        <f t="shared" si="148"/>
        <v>4188.18624</v>
      </c>
      <c r="AD599" s="3">
        <f t="shared" si="144"/>
        <v>1495.1</v>
      </c>
      <c r="AE599" s="3">
        <f t="shared" si="145"/>
        <v>1621.11</v>
      </c>
      <c r="AF599" s="3">
        <f t="shared" si="149"/>
        <v>2693.08624</v>
      </c>
      <c r="AG599">
        <f t="shared" si="146"/>
        <v>0.520218470513861</v>
      </c>
    </row>
    <row r="600" spans="1:33">
      <c r="A600" t="s">
        <v>1296</v>
      </c>
      <c r="B600" s="20">
        <v>45726</v>
      </c>
      <c r="C600" s="2">
        <f t="shared" si="135"/>
        <v>3</v>
      </c>
      <c r="D600" s="21">
        <f t="shared" si="147"/>
        <v>45726</v>
      </c>
      <c r="E600" s="19" t="str">
        <f t="shared" si="136"/>
        <v>Quarter 1</v>
      </c>
      <c r="F600" s="19">
        <v>45751</v>
      </c>
      <c r="G600" s="19">
        <f t="shared" si="137"/>
        <v>45751</v>
      </c>
      <c r="H600" s="22">
        <f t="shared" si="138"/>
        <v>25</v>
      </c>
      <c r="I600" t="str">
        <f t="shared" si="139"/>
        <v>Delayed </v>
      </c>
      <c r="J600" t="s">
        <v>45</v>
      </c>
      <c r="K600" t="s">
        <v>46</v>
      </c>
      <c r="L600" t="s">
        <v>47</v>
      </c>
      <c r="M600" t="s">
        <v>19</v>
      </c>
      <c r="N600" t="s">
        <v>98</v>
      </c>
      <c r="O600" t="s">
        <v>92</v>
      </c>
      <c r="P600" t="s">
        <v>30</v>
      </c>
      <c r="Q600" t="s">
        <v>1297</v>
      </c>
      <c r="R600" s="3">
        <v>783.72</v>
      </c>
      <c r="S600" s="3">
        <v>1355.94</v>
      </c>
      <c r="T600" s="3">
        <f t="shared" si="140"/>
        <v>1355.94</v>
      </c>
      <c r="U600" s="3">
        <f>(1+'10. Whatif Control pannel'!$B$6)*T600</f>
        <v>1518.6528</v>
      </c>
      <c r="V600" s="3" t="str">
        <f t="shared" si="141"/>
        <v>Medium</v>
      </c>
      <c r="W600" s="34">
        <v>0.187</v>
      </c>
      <c r="X600" s="24" t="str">
        <f t="shared" si="142"/>
        <v>Okay</v>
      </c>
      <c r="Y600" s="36">
        <f>IF(W600&lt;=0.25,W600,'10. Whatif Control pannel'!$B$2)</f>
        <v>0.187</v>
      </c>
      <c r="Z600" s="24">
        <v>4</v>
      </c>
      <c r="AA600" s="13">
        <f>(1+'10. Whatif Control pannel'!$B$10)*Z600</f>
        <v>4.8</v>
      </c>
      <c r="AB600" s="3">
        <f t="shared" si="143"/>
        <v>4409.51688</v>
      </c>
      <c r="AC600" s="3">
        <f t="shared" si="148"/>
        <v>5926.39068672</v>
      </c>
      <c r="AD600" s="3">
        <f t="shared" si="144"/>
        <v>3134.88</v>
      </c>
      <c r="AE600" s="3">
        <f t="shared" si="145"/>
        <v>1274.63688</v>
      </c>
      <c r="AF600" s="3">
        <f t="shared" si="149"/>
        <v>2791.51068672</v>
      </c>
      <c r="AG600">
        <f t="shared" si="146"/>
        <v>0.289064973485259</v>
      </c>
    </row>
    <row r="601" spans="1:33">
      <c r="A601" t="s">
        <v>1298</v>
      </c>
      <c r="B601" s="20">
        <v>45521</v>
      </c>
      <c r="C601" s="2">
        <f t="shared" si="135"/>
        <v>8</v>
      </c>
      <c r="D601" s="21">
        <f t="shared" si="147"/>
        <v>45521</v>
      </c>
      <c r="E601" s="19" t="str">
        <f t="shared" si="136"/>
        <v>Quarter 3</v>
      </c>
      <c r="F601" s="19">
        <v>45519</v>
      </c>
      <c r="G601" s="19">
        <f t="shared" si="137"/>
        <v>45528</v>
      </c>
      <c r="H601" s="22">
        <f t="shared" si="138"/>
        <v>7</v>
      </c>
      <c r="I601" t="str">
        <f t="shared" si="139"/>
        <v>Ontime</v>
      </c>
      <c r="J601" t="s">
        <v>52</v>
      </c>
      <c r="K601" t="s">
        <v>73</v>
      </c>
      <c r="L601" t="s">
        <v>225</v>
      </c>
      <c r="M601" t="s">
        <v>48</v>
      </c>
      <c r="N601" t="s">
        <v>98</v>
      </c>
      <c r="O601" t="s">
        <v>110</v>
      </c>
      <c r="P601" t="s">
        <v>64</v>
      </c>
      <c r="Q601" t="s">
        <v>1299</v>
      </c>
      <c r="R601" s="3">
        <v>165.3</v>
      </c>
      <c r="S601" s="3">
        <v>275.07</v>
      </c>
      <c r="T601" s="3">
        <f t="shared" si="140"/>
        <v>275.07</v>
      </c>
      <c r="U601" s="3">
        <f>(1+'10. Whatif Control pannel'!$B$6)*T601</f>
        <v>308.0784</v>
      </c>
      <c r="V601" s="3" t="str">
        <f t="shared" si="141"/>
        <v>Low</v>
      </c>
      <c r="W601" s="34">
        <v>0.133</v>
      </c>
      <c r="X601" s="24" t="str">
        <f t="shared" si="142"/>
        <v>Okay</v>
      </c>
      <c r="Y601" s="36">
        <f>IF(W601&lt;=0.25,W601,'10. Whatif Control pannel'!$B$2)</f>
        <v>0.133</v>
      </c>
      <c r="Z601" s="24">
        <v>25</v>
      </c>
      <c r="AA601" s="13">
        <f>(1+'10. Whatif Control pannel'!$B$10)*Z601</f>
        <v>30</v>
      </c>
      <c r="AB601" s="3">
        <f t="shared" si="143"/>
        <v>5962.14225</v>
      </c>
      <c r="AC601" s="3">
        <f t="shared" si="148"/>
        <v>8013.119184</v>
      </c>
      <c r="AD601" s="3">
        <f t="shared" si="144"/>
        <v>4132.5</v>
      </c>
      <c r="AE601" s="3">
        <f t="shared" si="145"/>
        <v>1829.64225</v>
      </c>
      <c r="AF601" s="3">
        <f t="shared" si="149"/>
        <v>3880.619184</v>
      </c>
      <c r="AG601">
        <f t="shared" si="146"/>
        <v>0.306876651592806</v>
      </c>
    </row>
    <row r="602" spans="1:33">
      <c r="A602" t="s">
        <v>1300</v>
      </c>
      <c r="B602" s="20">
        <v>45360</v>
      </c>
      <c r="C602" s="2">
        <f t="shared" si="135"/>
        <v>3</v>
      </c>
      <c r="D602" s="21">
        <f t="shared" si="147"/>
        <v>45360</v>
      </c>
      <c r="E602" s="19" t="str">
        <f t="shared" si="136"/>
        <v>Quarter 1</v>
      </c>
      <c r="F602" s="19">
        <v>45373</v>
      </c>
      <c r="G602" s="19">
        <f t="shared" si="137"/>
        <v>45373</v>
      </c>
      <c r="H602" s="22">
        <f t="shared" si="138"/>
        <v>13</v>
      </c>
      <c r="I602" t="str">
        <f t="shared" si="139"/>
        <v>Delayed </v>
      </c>
      <c r="J602" t="s">
        <v>78</v>
      </c>
      <c r="K602" t="s">
        <v>108</v>
      </c>
      <c r="L602" t="s">
        <v>228</v>
      </c>
      <c r="M602" t="s">
        <v>48</v>
      </c>
      <c r="N602" t="s">
        <v>28</v>
      </c>
      <c r="O602" t="s">
        <v>63</v>
      </c>
      <c r="P602" t="s">
        <v>57</v>
      </c>
      <c r="Q602" t="s">
        <v>1301</v>
      </c>
      <c r="R602" s="3">
        <v>985.45</v>
      </c>
      <c r="S602" s="3">
        <v>1802.44</v>
      </c>
      <c r="T602" s="3">
        <f t="shared" si="140"/>
        <v>1802.44</v>
      </c>
      <c r="U602" s="3">
        <f>(1+'10. Whatif Control pannel'!$B$6)*T602</f>
        <v>2018.7328</v>
      </c>
      <c r="V602" s="3" t="str">
        <f t="shared" si="141"/>
        <v>High</v>
      </c>
      <c r="W602" s="34">
        <v>0.009</v>
      </c>
      <c r="X602" s="24" t="str">
        <f t="shared" si="142"/>
        <v>Okay</v>
      </c>
      <c r="Y602" s="36">
        <f>IF(W602&lt;=0.25,W602,'10. Whatif Control pannel'!$B$2)</f>
        <v>0.009</v>
      </c>
      <c r="Z602" s="24">
        <v>19</v>
      </c>
      <c r="AA602" s="13">
        <f>(1+'10. Whatif Control pannel'!$B$10)*Z602</f>
        <v>22.8</v>
      </c>
      <c r="AB602" s="3">
        <f t="shared" si="143"/>
        <v>33938.14276</v>
      </c>
      <c r="AC602" s="3">
        <f t="shared" si="148"/>
        <v>45612.86386944</v>
      </c>
      <c r="AD602" s="3">
        <f t="shared" si="144"/>
        <v>18723.55</v>
      </c>
      <c r="AE602" s="3">
        <f t="shared" si="145"/>
        <v>15214.59276</v>
      </c>
      <c r="AF602" s="3">
        <f t="shared" si="149"/>
        <v>26889.31386944</v>
      </c>
      <c r="AG602">
        <f t="shared" si="146"/>
        <v>0.448303634868675</v>
      </c>
    </row>
    <row r="603" spans="1:33">
      <c r="A603" t="s">
        <v>1302</v>
      </c>
      <c r="B603" s="20">
        <v>45523</v>
      </c>
      <c r="C603" s="2">
        <f t="shared" si="135"/>
        <v>8</v>
      </c>
      <c r="D603" s="21">
        <f t="shared" si="147"/>
        <v>45523</v>
      </c>
      <c r="E603" s="19" t="str">
        <f t="shared" si="136"/>
        <v>Quarter 3</v>
      </c>
      <c r="F603" s="19">
        <v>45537</v>
      </c>
      <c r="G603" s="19">
        <f t="shared" si="137"/>
        <v>45537</v>
      </c>
      <c r="H603" s="22">
        <f t="shared" si="138"/>
        <v>14</v>
      </c>
      <c r="I603" t="str">
        <f t="shared" si="139"/>
        <v>Delayed </v>
      </c>
      <c r="J603" t="s">
        <v>52</v>
      </c>
      <c r="K603" t="s">
        <v>53</v>
      </c>
      <c r="L603" t="s">
        <v>54</v>
      </c>
      <c r="M603" t="s">
        <v>48</v>
      </c>
      <c r="N603" t="s">
        <v>55</v>
      </c>
      <c r="O603" t="s">
        <v>21</v>
      </c>
      <c r="P603" t="s">
        <v>30</v>
      </c>
      <c r="Q603" t="s">
        <v>1303</v>
      </c>
      <c r="R603" s="3">
        <v>1337.01</v>
      </c>
      <c r="S603" s="3">
        <v>1269.78</v>
      </c>
      <c r="T603" s="3">
        <f t="shared" si="140"/>
        <v>1269.78</v>
      </c>
      <c r="U603" s="3">
        <f>(1+'10. Whatif Control pannel'!$B$6)*T603</f>
        <v>1422.1536</v>
      </c>
      <c r="V603" s="3" t="str">
        <f t="shared" si="141"/>
        <v>Medium</v>
      </c>
      <c r="W603" s="34">
        <v>0.16</v>
      </c>
      <c r="X603" s="24" t="str">
        <f t="shared" si="142"/>
        <v>Okay</v>
      </c>
      <c r="Y603" s="36">
        <f>IF(W603&lt;=0.25,W603,'10. Whatif Control pannel'!$B$2)</f>
        <v>0.16</v>
      </c>
      <c r="Z603" s="24">
        <v>7</v>
      </c>
      <c r="AA603" s="13">
        <f>(1+'10. Whatif Control pannel'!$B$10)*Z603</f>
        <v>8.4</v>
      </c>
      <c r="AB603" s="3">
        <f t="shared" si="143"/>
        <v>7466.3064</v>
      </c>
      <c r="AC603" s="3">
        <f t="shared" si="148"/>
        <v>10034.7158016</v>
      </c>
      <c r="AD603" s="3">
        <f t="shared" si="144"/>
        <v>9359.07</v>
      </c>
      <c r="AE603" s="3">
        <f t="shared" si="145"/>
        <v>-1892.7636</v>
      </c>
      <c r="AF603" s="3">
        <f t="shared" si="149"/>
        <v>675.645801600002</v>
      </c>
      <c r="AG603">
        <f t="shared" si="146"/>
        <v>-0.253507356729962</v>
      </c>
    </row>
    <row r="604" spans="1:33">
      <c r="A604" t="s">
        <v>1304</v>
      </c>
      <c r="B604" s="20">
        <v>45880</v>
      </c>
      <c r="C604" s="2">
        <f t="shared" si="135"/>
        <v>8</v>
      </c>
      <c r="D604" s="21">
        <f t="shared" si="147"/>
        <v>45880</v>
      </c>
      <c r="E604" s="19" t="str">
        <f t="shared" si="136"/>
        <v>Quarter 3</v>
      </c>
      <c r="F604" s="19">
        <v>45897</v>
      </c>
      <c r="G604" s="19">
        <f t="shared" si="137"/>
        <v>45897</v>
      </c>
      <c r="H604" s="22">
        <f t="shared" si="138"/>
        <v>17</v>
      </c>
      <c r="I604" t="str">
        <f t="shared" si="139"/>
        <v>Delayed </v>
      </c>
      <c r="J604" t="s">
        <v>78</v>
      </c>
      <c r="K604" t="s">
        <v>90</v>
      </c>
      <c r="L604" t="s">
        <v>217</v>
      </c>
      <c r="M604" t="s">
        <v>27</v>
      </c>
      <c r="N604" t="s">
        <v>28</v>
      </c>
      <c r="O604" t="s">
        <v>84</v>
      </c>
      <c r="P604" t="s">
        <v>35</v>
      </c>
      <c r="Q604" t="s">
        <v>1305</v>
      </c>
      <c r="R604" s="3">
        <v>416.16</v>
      </c>
      <c r="S604" s="3">
        <v>571.9</v>
      </c>
      <c r="T604" s="3">
        <f t="shared" si="140"/>
        <v>571.9</v>
      </c>
      <c r="U604" s="3">
        <f>(1+'10. Whatif Control pannel'!$B$6)*T604</f>
        <v>640.528</v>
      </c>
      <c r="V604" s="3" t="str">
        <f t="shared" si="141"/>
        <v>Low</v>
      </c>
      <c r="W604" s="34">
        <v>0.071</v>
      </c>
      <c r="X604" s="24" t="str">
        <f t="shared" si="142"/>
        <v>Okay</v>
      </c>
      <c r="Y604" s="36">
        <f>IF(W604&lt;=0.25,W604,'10. Whatif Control pannel'!$B$2)</f>
        <v>0.071</v>
      </c>
      <c r="Z604" s="24">
        <v>2</v>
      </c>
      <c r="AA604" s="13">
        <f>(1+'10. Whatif Control pannel'!$B$10)*Z604</f>
        <v>2.4</v>
      </c>
      <c r="AB604" s="3">
        <f t="shared" si="143"/>
        <v>1062.5902</v>
      </c>
      <c r="AC604" s="3">
        <f t="shared" si="148"/>
        <v>1428.1212288</v>
      </c>
      <c r="AD604" s="3">
        <f t="shared" si="144"/>
        <v>832.32</v>
      </c>
      <c r="AE604" s="3">
        <f t="shared" si="145"/>
        <v>230.2702</v>
      </c>
      <c r="AF604" s="3">
        <f t="shared" si="149"/>
        <v>595.8012288</v>
      </c>
      <c r="AG604">
        <f t="shared" si="146"/>
        <v>0.216706497010795</v>
      </c>
    </row>
    <row r="605" spans="1:33">
      <c r="A605" t="s">
        <v>1306</v>
      </c>
      <c r="B605" s="20">
        <v>45793</v>
      </c>
      <c r="C605" s="2">
        <f t="shared" si="135"/>
        <v>5</v>
      </c>
      <c r="D605" s="21">
        <f t="shared" si="147"/>
        <v>45793</v>
      </c>
      <c r="E605" s="19" t="str">
        <f t="shared" si="136"/>
        <v>Quarter 2</v>
      </c>
      <c r="F605" s="19">
        <v>45795</v>
      </c>
      <c r="G605" s="19">
        <f t="shared" si="137"/>
        <v>45795</v>
      </c>
      <c r="H605" s="22">
        <f t="shared" si="138"/>
        <v>2</v>
      </c>
      <c r="I605" t="str">
        <f t="shared" si="139"/>
        <v>Ontime</v>
      </c>
      <c r="J605" t="s">
        <v>45</v>
      </c>
      <c r="K605" t="s">
        <v>46</v>
      </c>
      <c r="L605" t="s">
        <v>214</v>
      </c>
      <c r="M605" t="s">
        <v>105</v>
      </c>
      <c r="N605" t="s">
        <v>20</v>
      </c>
      <c r="O605" t="s">
        <v>29</v>
      </c>
      <c r="P605" t="s">
        <v>30</v>
      </c>
      <c r="Q605" t="s">
        <v>1307</v>
      </c>
      <c r="R605" s="3">
        <v>1144.38</v>
      </c>
      <c r="S605" s="3">
        <v>2755.04</v>
      </c>
      <c r="T605" s="3">
        <f t="shared" si="140"/>
        <v>2755.04</v>
      </c>
      <c r="U605" s="3">
        <f>(1+'10. Whatif Control pannel'!$B$6)*T605</f>
        <v>3085.6448</v>
      </c>
      <c r="V605" s="3" t="str">
        <f t="shared" si="141"/>
        <v>High</v>
      </c>
      <c r="W605" s="34">
        <v>0.15</v>
      </c>
      <c r="X605" s="24" t="str">
        <f t="shared" si="142"/>
        <v>Okay</v>
      </c>
      <c r="Y605" s="36">
        <f>IF(W605&lt;=0.25,W605,'10. Whatif Control pannel'!$B$2)</f>
        <v>0.15</v>
      </c>
      <c r="Z605" s="24">
        <v>17</v>
      </c>
      <c r="AA605" s="13">
        <f>(1+'10. Whatif Control pannel'!$B$10)*Z605</f>
        <v>20.4</v>
      </c>
      <c r="AB605" s="3">
        <f t="shared" si="143"/>
        <v>39810.328</v>
      </c>
      <c r="AC605" s="3">
        <f t="shared" si="148"/>
        <v>53505.080832</v>
      </c>
      <c r="AD605" s="3">
        <f t="shared" si="144"/>
        <v>19454.46</v>
      </c>
      <c r="AE605" s="3">
        <f t="shared" si="145"/>
        <v>20355.868</v>
      </c>
      <c r="AF605" s="3">
        <f t="shared" si="149"/>
        <v>34050.620832</v>
      </c>
      <c r="AG605">
        <f t="shared" si="146"/>
        <v>0.511321283260967</v>
      </c>
    </row>
    <row r="606" spans="1:33">
      <c r="A606" t="s">
        <v>1308</v>
      </c>
      <c r="B606" s="20">
        <v>45026</v>
      </c>
      <c r="C606" s="2">
        <f t="shared" si="135"/>
        <v>4</v>
      </c>
      <c r="D606" s="21">
        <f t="shared" si="147"/>
        <v>45026</v>
      </c>
      <c r="E606" s="19" t="str">
        <f t="shared" si="136"/>
        <v>Quarter 2</v>
      </c>
      <c r="F606" s="19">
        <v>45041</v>
      </c>
      <c r="G606" s="19">
        <f t="shared" si="137"/>
        <v>45041</v>
      </c>
      <c r="H606" s="22">
        <f t="shared" si="138"/>
        <v>15</v>
      </c>
      <c r="I606" t="str">
        <f t="shared" si="139"/>
        <v>Delayed </v>
      </c>
      <c r="J606" t="s">
        <v>78</v>
      </c>
      <c r="K606" t="s">
        <v>108</v>
      </c>
      <c r="L606" t="s">
        <v>152</v>
      </c>
      <c r="M606" t="s">
        <v>62</v>
      </c>
      <c r="N606" t="s">
        <v>20</v>
      </c>
      <c r="O606" t="s">
        <v>145</v>
      </c>
      <c r="P606" t="s">
        <v>30</v>
      </c>
      <c r="Q606" t="s">
        <v>1309</v>
      </c>
      <c r="R606" s="3">
        <v>405.66</v>
      </c>
      <c r="S606" s="3">
        <v>962.51</v>
      </c>
      <c r="T606" s="3">
        <f t="shared" si="140"/>
        <v>962.51</v>
      </c>
      <c r="U606" s="3">
        <f>(1+'10. Whatif Control pannel'!$B$6)*T606</f>
        <v>1078.0112</v>
      </c>
      <c r="V606" s="3" t="str">
        <f t="shared" si="141"/>
        <v>Medium</v>
      </c>
      <c r="W606" s="34">
        <v>0.19</v>
      </c>
      <c r="X606" s="24" t="str">
        <f t="shared" si="142"/>
        <v>Okay</v>
      </c>
      <c r="Y606" s="36">
        <f>IF(W606&lt;=0.25,W606,'10. Whatif Control pannel'!$B$2)</f>
        <v>0.19</v>
      </c>
      <c r="Z606" s="24">
        <v>7</v>
      </c>
      <c r="AA606" s="13">
        <f>(1+'10. Whatif Control pannel'!$B$10)*Z606</f>
        <v>8.4</v>
      </c>
      <c r="AB606" s="3">
        <f t="shared" si="143"/>
        <v>5457.4317</v>
      </c>
      <c r="AC606" s="3">
        <f t="shared" si="148"/>
        <v>7334.7882048</v>
      </c>
      <c r="AD606" s="3">
        <f t="shared" si="144"/>
        <v>2839.62</v>
      </c>
      <c r="AE606" s="3">
        <f t="shared" si="145"/>
        <v>2617.8117</v>
      </c>
      <c r="AF606" s="3">
        <f t="shared" si="149"/>
        <v>4495.1682048</v>
      </c>
      <c r="AG606">
        <f t="shared" si="146"/>
        <v>0.479678325612394</v>
      </c>
    </row>
    <row r="607" spans="1:33">
      <c r="A607" t="s">
        <v>1310</v>
      </c>
      <c r="B607" s="20">
        <v>45186</v>
      </c>
      <c r="C607" s="2">
        <f t="shared" si="135"/>
        <v>9</v>
      </c>
      <c r="D607" s="21">
        <f t="shared" si="147"/>
        <v>45186</v>
      </c>
      <c r="E607" s="19" t="str">
        <f t="shared" si="136"/>
        <v>Quarter 3</v>
      </c>
      <c r="F607" s="19">
        <v>45201</v>
      </c>
      <c r="G607" s="19">
        <f t="shared" si="137"/>
        <v>45201</v>
      </c>
      <c r="H607" s="22">
        <f t="shared" si="138"/>
        <v>15</v>
      </c>
      <c r="I607" t="str">
        <f t="shared" si="139"/>
        <v>Delayed </v>
      </c>
      <c r="J607" t="s">
        <v>52</v>
      </c>
      <c r="K607" t="s">
        <v>73</v>
      </c>
      <c r="L607" t="s">
        <v>225</v>
      </c>
      <c r="M607" t="s">
        <v>62</v>
      </c>
      <c r="N607" t="s">
        <v>20</v>
      </c>
      <c r="O607" t="s">
        <v>56</v>
      </c>
      <c r="P607" t="s">
        <v>57</v>
      </c>
      <c r="Q607" t="s">
        <v>1311</v>
      </c>
      <c r="R607" s="3">
        <v>689.33</v>
      </c>
      <c r="S607" s="3">
        <v>668.27</v>
      </c>
      <c r="T607" s="3">
        <f t="shared" si="140"/>
        <v>668.27</v>
      </c>
      <c r="U607" s="3">
        <f>(1+'10. Whatif Control pannel'!$B$6)*T607</f>
        <v>748.4624</v>
      </c>
      <c r="V607" s="3" t="str">
        <f t="shared" si="141"/>
        <v>Low</v>
      </c>
      <c r="W607" s="34">
        <v>0.186</v>
      </c>
      <c r="X607" s="24" t="str">
        <f t="shared" si="142"/>
        <v>Okay</v>
      </c>
      <c r="Y607" s="36">
        <f>IF(W607&lt;=0.25,W607,'10. Whatif Control pannel'!$B$2)</f>
        <v>0.186</v>
      </c>
      <c r="Z607" s="24">
        <v>13</v>
      </c>
      <c r="AA607" s="13">
        <f>(1+'10. Whatif Control pannel'!$B$10)*Z607</f>
        <v>15.6</v>
      </c>
      <c r="AB607" s="3">
        <f t="shared" si="143"/>
        <v>7071.63314</v>
      </c>
      <c r="AC607" s="3">
        <f t="shared" si="148"/>
        <v>9504.27494016</v>
      </c>
      <c r="AD607" s="3">
        <f t="shared" si="144"/>
        <v>8961.29</v>
      </c>
      <c r="AE607" s="3">
        <f t="shared" si="145"/>
        <v>-1889.65686</v>
      </c>
      <c r="AF607" s="3">
        <f t="shared" si="149"/>
        <v>542.98494016</v>
      </c>
      <c r="AG607">
        <f t="shared" si="146"/>
        <v>-0.26721647214861</v>
      </c>
    </row>
    <row r="608" spans="1:33">
      <c r="A608" t="s">
        <v>1312</v>
      </c>
      <c r="B608" s="20">
        <v>45038</v>
      </c>
      <c r="C608" s="2">
        <f t="shared" si="135"/>
        <v>4</v>
      </c>
      <c r="D608" s="21">
        <f t="shared" si="147"/>
        <v>45038</v>
      </c>
      <c r="E608" s="19" t="str">
        <f t="shared" si="136"/>
        <v>Quarter 2</v>
      </c>
      <c r="F608" s="19">
        <v>45060</v>
      </c>
      <c r="G608" s="19">
        <f t="shared" si="137"/>
        <v>45060</v>
      </c>
      <c r="H608" s="22">
        <f t="shared" si="138"/>
        <v>22</v>
      </c>
      <c r="I608" t="str">
        <f t="shared" si="139"/>
        <v>Delayed </v>
      </c>
      <c r="J608" t="s">
        <v>45</v>
      </c>
      <c r="K608" t="s">
        <v>46</v>
      </c>
      <c r="L608" t="s">
        <v>231</v>
      </c>
      <c r="M608" t="s">
        <v>105</v>
      </c>
      <c r="N608" t="s">
        <v>20</v>
      </c>
      <c r="O608" t="s">
        <v>75</v>
      </c>
      <c r="P608" t="s">
        <v>81</v>
      </c>
      <c r="Q608" t="s">
        <v>1313</v>
      </c>
      <c r="R608" s="3">
        <v>1209.22</v>
      </c>
      <c r="S608" s="3">
        <v>1404.33</v>
      </c>
      <c r="T608" s="3">
        <f t="shared" si="140"/>
        <v>1404.33</v>
      </c>
      <c r="U608" s="3">
        <f>(1+'10. Whatif Control pannel'!$B$6)*T608</f>
        <v>1572.8496</v>
      </c>
      <c r="V608" s="3" t="str">
        <f t="shared" si="141"/>
        <v>Medium</v>
      </c>
      <c r="W608" s="34">
        <v>0.103</v>
      </c>
      <c r="X608" s="24" t="str">
        <f t="shared" si="142"/>
        <v>Okay</v>
      </c>
      <c r="Y608" s="36">
        <f>IF(W608&lt;=0.25,W608,'10. Whatif Control pannel'!$B$2)</f>
        <v>0.103</v>
      </c>
      <c r="Z608" s="24">
        <v>11</v>
      </c>
      <c r="AA608" s="13">
        <f>(1+'10. Whatif Control pannel'!$B$10)*Z608</f>
        <v>13.2</v>
      </c>
      <c r="AB608" s="3">
        <f t="shared" si="143"/>
        <v>13856.52411</v>
      </c>
      <c r="AC608" s="3">
        <f t="shared" si="148"/>
        <v>18623.16840384</v>
      </c>
      <c r="AD608" s="3">
        <f t="shared" si="144"/>
        <v>13301.42</v>
      </c>
      <c r="AE608" s="3">
        <f t="shared" si="145"/>
        <v>555.10411</v>
      </c>
      <c r="AF608" s="3">
        <f t="shared" si="149"/>
        <v>5321.74840384</v>
      </c>
      <c r="AG608">
        <f t="shared" si="146"/>
        <v>0.0400608482757513</v>
      </c>
    </row>
    <row r="609" spans="1:33">
      <c r="A609" t="s">
        <v>1314</v>
      </c>
      <c r="B609" s="20">
        <v>45827</v>
      </c>
      <c r="C609" s="2">
        <f t="shared" si="135"/>
        <v>6</v>
      </c>
      <c r="D609" s="21">
        <f t="shared" si="147"/>
        <v>45827</v>
      </c>
      <c r="E609" s="19" t="str">
        <f t="shared" si="136"/>
        <v>Quarter 2</v>
      </c>
      <c r="F609" s="19">
        <v>45829</v>
      </c>
      <c r="G609" s="19">
        <f t="shared" si="137"/>
        <v>45829</v>
      </c>
      <c r="H609" s="22">
        <f t="shared" si="138"/>
        <v>2</v>
      </c>
      <c r="I609" t="str">
        <f t="shared" si="139"/>
        <v>Ontime</v>
      </c>
      <c r="J609" t="s">
        <v>16</v>
      </c>
      <c r="K609" t="s">
        <v>148</v>
      </c>
      <c r="L609" t="s">
        <v>149</v>
      </c>
      <c r="M609" t="s">
        <v>62</v>
      </c>
      <c r="N609" t="s">
        <v>1441</v>
      </c>
      <c r="O609" t="s">
        <v>92</v>
      </c>
      <c r="P609" t="s">
        <v>42</v>
      </c>
      <c r="Q609" t="s">
        <v>1315</v>
      </c>
      <c r="R609" s="3">
        <v>1466.27</v>
      </c>
      <c r="S609" s="3">
        <v>3589.89</v>
      </c>
      <c r="T609" s="3">
        <f t="shared" si="140"/>
        <v>3589.89</v>
      </c>
      <c r="U609" s="3">
        <f>(1+'10. Whatif Control pannel'!$B$6)*T609</f>
        <v>4020.6768</v>
      </c>
      <c r="V609" s="3" t="str">
        <f t="shared" si="141"/>
        <v>High</v>
      </c>
      <c r="W609" s="34">
        <v>0.097</v>
      </c>
      <c r="X609" s="24" t="str">
        <f t="shared" si="142"/>
        <v>Okay</v>
      </c>
      <c r="Y609" s="36">
        <f>IF(W609&lt;=0.25,W609,'10. Whatif Control pannel'!$B$2)</f>
        <v>0.097</v>
      </c>
      <c r="Z609" s="24">
        <v>9</v>
      </c>
      <c r="AA609" s="13">
        <f>(1+'10. Whatif Control pannel'!$B$10)*Z609</f>
        <v>10.8</v>
      </c>
      <c r="AB609" s="3">
        <f t="shared" si="143"/>
        <v>29175.03603</v>
      </c>
      <c r="AC609" s="3">
        <f t="shared" si="148"/>
        <v>39211.24842432</v>
      </c>
      <c r="AD609" s="3">
        <f t="shared" si="144"/>
        <v>13196.43</v>
      </c>
      <c r="AE609" s="3">
        <f t="shared" si="145"/>
        <v>15978.60603</v>
      </c>
      <c r="AF609" s="3">
        <f t="shared" si="149"/>
        <v>26014.81842432</v>
      </c>
      <c r="AG609">
        <f t="shared" si="146"/>
        <v>0.547680764252341</v>
      </c>
    </row>
    <row r="610" spans="1:33">
      <c r="A610" t="s">
        <v>1316</v>
      </c>
      <c r="B610" s="20">
        <v>45623</v>
      </c>
      <c r="C610" s="2">
        <f t="shared" si="135"/>
        <v>11</v>
      </c>
      <c r="D610" s="21">
        <f t="shared" si="147"/>
        <v>45623</v>
      </c>
      <c r="E610" s="19" t="str">
        <f t="shared" si="136"/>
        <v>Quarter 4</v>
      </c>
      <c r="F610" s="19">
        <v>45650</v>
      </c>
      <c r="G610" s="19">
        <f t="shared" si="137"/>
        <v>45650</v>
      </c>
      <c r="H610" s="22">
        <f t="shared" si="138"/>
        <v>27</v>
      </c>
      <c r="I610" t="str">
        <f t="shared" si="139"/>
        <v>Delayed </v>
      </c>
      <c r="J610" t="s">
        <v>16</v>
      </c>
      <c r="K610" t="s">
        <v>17</v>
      </c>
      <c r="L610" t="s">
        <v>113</v>
      </c>
      <c r="M610" t="s">
        <v>19</v>
      </c>
      <c r="N610" t="s">
        <v>55</v>
      </c>
      <c r="O610" t="s">
        <v>56</v>
      </c>
      <c r="P610" t="s">
        <v>30</v>
      </c>
      <c r="Q610" t="s">
        <v>1317</v>
      </c>
      <c r="R610" s="3">
        <v>143.33</v>
      </c>
      <c r="S610" s="3">
        <v>233.51</v>
      </c>
      <c r="T610" s="3">
        <f t="shared" si="140"/>
        <v>233.51</v>
      </c>
      <c r="U610" s="3">
        <f>(1+'10. Whatif Control pannel'!$B$6)*T610</f>
        <v>261.5312</v>
      </c>
      <c r="V610" s="3" t="str">
        <f t="shared" si="141"/>
        <v>Low</v>
      </c>
      <c r="W610" s="34">
        <v>0.163</v>
      </c>
      <c r="X610" s="24" t="str">
        <f t="shared" si="142"/>
        <v>Okay</v>
      </c>
      <c r="Y610" s="36">
        <f>IF(W610&lt;=0.25,W610,'10. Whatif Control pannel'!$B$2)</f>
        <v>0.163</v>
      </c>
      <c r="Z610" s="24">
        <v>14</v>
      </c>
      <c r="AA610" s="13">
        <f>(1+'10. Whatif Control pannel'!$B$10)*Z610</f>
        <v>16.8</v>
      </c>
      <c r="AB610" s="3">
        <f t="shared" si="143"/>
        <v>2736.27018</v>
      </c>
      <c r="AC610" s="3">
        <f t="shared" si="148"/>
        <v>3677.54712192</v>
      </c>
      <c r="AD610" s="3">
        <f t="shared" si="144"/>
        <v>2006.62</v>
      </c>
      <c r="AE610" s="3">
        <f t="shared" si="145"/>
        <v>729.65018</v>
      </c>
      <c r="AF610" s="3">
        <f t="shared" si="149"/>
        <v>1670.92712192</v>
      </c>
      <c r="AG610">
        <f t="shared" si="146"/>
        <v>0.266658674765808</v>
      </c>
    </row>
    <row r="611" spans="1:33">
      <c r="A611" t="s">
        <v>1318</v>
      </c>
      <c r="B611" s="20">
        <v>45319</v>
      </c>
      <c r="C611" s="2">
        <f t="shared" si="135"/>
        <v>1</v>
      </c>
      <c r="D611" s="21">
        <f t="shared" si="147"/>
        <v>45319</v>
      </c>
      <c r="E611" s="19" t="str">
        <f t="shared" si="136"/>
        <v>Quarter 1</v>
      </c>
      <c r="F611" s="19">
        <v>45318</v>
      </c>
      <c r="G611" s="19">
        <f t="shared" si="137"/>
        <v>45326</v>
      </c>
      <c r="H611" s="22">
        <f t="shared" si="138"/>
        <v>7</v>
      </c>
      <c r="I611" t="str">
        <f t="shared" si="139"/>
        <v>Ontime</v>
      </c>
      <c r="J611" t="s">
        <v>16</v>
      </c>
      <c r="K611" t="s">
        <v>148</v>
      </c>
      <c r="L611" t="s">
        <v>258</v>
      </c>
      <c r="M611" t="s">
        <v>105</v>
      </c>
      <c r="N611" t="s">
        <v>98</v>
      </c>
      <c r="O611" t="s">
        <v>68</v>
      </c>
      <c r="P611" t="s">
        <v>22</v>
      </c>
      <c r="Q611" t="s">
        <v>1319</v>
      </c>
      <c r="R611" s="3">
        <v>109.75</v>
      </c>
      <c r="S611" s="3">
        <v>124.25</v>
      </c>
      <c r="T611" s="3">
        <f t="shared" si="140"/>
        <v>124.25</v>
      </c>
      <c r="U611" s="3">
        <f>(1+'10. Whatif Control pannel'!$B$6)*T611</f>
        <v>139.16</v>
      </c>
      <c r="V611" s="3" t="str">
        <f t="shared" si="141"/>
        <v>Low</v>
      </c>
      <c r="W611" s="34">
        <v>0.12</v>
      </c>
      <c r="X611" s="24" t="str">
        <f t="shared" si="142"/>
        <v>Okay</v>
      </c>
      <c r="Y611" s="36">
        <f>IF(W611&lt;=0.25,W611,'10. Whatif Control pannel'!$B$2)</f>
        <v>0.12</v>
      </c>
      <c r="Z611" s="24">
        <v>19</v>
      </c>
      <c r="AA611" s="13">
        <f>(1+'10. Whatif Control pannel'!$B$10)*Z611</f>
        <v>22.8</v>
      </c>
      <c r="AB611" s="3">
        <f t="shared" si="143"/>
        <v>2077.46</v>
      </c>
      <c r="AC611" s="3">
        <f t="shared" si="148"/>
        <v>2792.10624</v>
      </c>
      <c r="AD611" s="3">
        <f t="shared" si="144"/>
        <v>2085.25</v>
      </c>
      <c r="AE611" s="3">
        <f t="shared" si="145"/>
        <v>-7.78999999999996</v>
      </c>
      <c r="AF611" s="3">
        <f t="shared" si="149"/>
        <v>706.856240000001</v>
      </c>
      <c r="AG611">
        <f t="shared" si="146"/>
        <v>-0.00374977135540514</v>
      </c>
    </row>
    <row r="612" spans="1:33">
      <c r="A612" t="s">
        <v>1320</v>
      </c>
      <c r="B612" s="20">
        <v>45032</v>
      </c>
      <c r="C612" s="2">
        <f t="shared" si="135"/>
        <v>4</v>
      </c>
      <c r="D612" s="21">
        <f t="shared" si="147"/>
        <v>45032</v>
      </c>
      <c r="E612" s="19" t="str">
        <f t="shared" si="136"/>
        <v>Quarter 2</v>
      </c>
      <c r="F612" s="19">
        <v>45039</v>
      </c>
      <c r="G612" s="19">
        <f t="shared" si="137"/>
        <v>45039</v>
      </c>
      <c r="H612" s="22">
        <f t="shared" si="138"/>
        <v>7</v>
      </c>
      <c r="I612" t="str">
        <f t="shared" si="139"/>
        <v>Ontime</v>
      </c>
      <c r="J612" t="s">
        <v>52</v>
      </c>
      <c r="K612" t="s">
        <v>122</v>
      </c>
      <c r="L612" t="s">
        <v>326</v>
      </c>
      <c r="M612" t="s">
        <v>19</v>
      </c>
      <c r="N612" t="s">
        <v>55</v>
      </c>
      <c r="O612" t="s">
        <v>68</v>
      </c>
      <c r="P612" t="s">
        <v>30</v>
      </c>
      <c r="Q612" t="s">
        <v>1321</v>
      </c>
      <c r="R612" s="3">
        <v>1099.15</v>
      </c>
      <c r="S612" s="3">
        <v>1431.37</v>
      </c>
      <c r="T612" s="3">
        <f t="shared" si="140"/>
        <v>1431.37</v>
      </c>
      <c r="U612" s="3">
        <f>(1+'10. Whatif Control pannel'!$B$6)*T612</f>
        <v>1603.1344</v>
      </c>
      <c r="V612" s="3" t="str">
        <f t="shared" si="141"/>
        <v>Medium</v>
      </c>
      <c r="W612" s="34">
        <v>0.104</v>
      </c>
      <c r="X612" s="24" t="str">
        <f t="shared" si="142"/>
        <v>Okay</v>
      </c>
      <c r="Y612" s="36">
        <f>IF(W612&lt;=0.25,W612,'10. Whatif Control pannel'!$B$2)</f>
        <v>0.104</v>
      </c>
      <c r="Z612" s="24">
        <v>8</v>
      </c>
      <c r="AA612" s="13">
        <f>(1+'10. Whatif Control pannel'!$B$10)*Z612</f>
        <v>9.6</v>
      </c>
      <c r="AB612" s="3">
        <f t="shared" si="143"/>
        <v>10260.06016</v>
      </c>
      <c r="AC612" s="3">
        <f t="shared" si="148"/>
        <v>13789.52085504</v>
      </c>
      <c r="AD612" s="3">
        <f t="shared" si="144"/>
        <v>8793.2</v>
      </c>
      <c r="AE612" s="3">
        <f t="shared" si="145"/>
        <v>1466.86016</v>
      </c>
      <c r="AF612" s="3">
        <f t="shared" si="149"/>
        <v>4996.32085504</v>
      </c>
      <c r="AG612">
        <f t="shared" si="146"/>
        <v>0.142967988211094</v>
      </c>
    </row>
    <row r="613" spans="1:33">
      <c r="A613" t="s">
        <v>1322</v>
      </c>
      <c r="B613" s="20">
        <v>45323</v>
      </c>
      <c r="C613" s="2">
        <f t="shared" si="135"/>
        <v>2</v>
      </c>
      <c r="D613" s="21">
        <f t="shared" si="147"/>
        <v>45323</v>
      </c>
      <c r="E613" s="19" t="str">
        <f t="shared" si="136"/>
        <v>Quarter 1</v>
      </c>
      <c r="F613" s="19">
        <v>45323</v>
      </c>
      <c r="G613" s="19">
        <f t="shared" si="137"/>
        <v>45323</v>
      </c>
      <c r="H613" s="22">
        <f t="shared" si="138"/>
        <v>0</v>
      </c>
      <c r="I613" t="str">
        <f t="shared" si="139"/>
        <v>Ontime</v>
      </c>
      <c r="J613" t="s">
        <v>52</v>
      </c>
      <c r="K613" t="s">
        <v>122</v>
      </c>
      <c r="L613" t="s">
        <v>326</v>
      </c>
      <c r="M613" t="s">
        <v>48</v>
      </c>
      <c r="N613" t="s">
        <v>55</v>
      </c>
      <c r="O613" t="s">
        <v>92</v>
      </c>
      <c r="P613" t="s">
        <v>30</v>
      </c>
      <c r="Q613" t="s">
        <v>1323</v>
      </c>
      <c r="R613" s="3">
        <v>714.43</v>
      </c>
      <c r="S613" s="3">
        <v>1595.52</v>
      </c>
      <c r="T613" s="3">
        <f t="shared" si="140"/>
        <v>1595.52</v>
      </c>
      <c r="U613" s="3">
        <f>(1+'10. Whatif Control pannel'!$B$6)*T613</f>
        <v>1786.9824</v>
      </c>
      <c r="V613" s="3" t="str">
        <f t="shared" si="141"/>
        <v>Medium</v>
      </c>
      <c r="W613" s="34">
        <v>0.194</v>
      </c>
      <c r="X613" s="24" t="str">
        <f t="shared" si="142"/>
        <v>Okay</v>
      </c>
      <c r="Y613" s="36">
        <f>IF(W613&lt;=0.25,W613,'10. Whatif Control pannel'!$B$2)</f>
        <v>0.194</v>
      </c>
      <c r="Z613" s="24">
        <v>14</v>
      </c>
      <c r="AA613" s="13">
        <f>(1+'10. Whatif Control pannel'!$B$10)*Z613</f>
        <v>16.8</v>
      </c>
      <c r="AB613" s="3">
        <f t="shared" si="143"/>
        <v>18003.84768</v>
      </c>
      <c r="AC613" s="3">
        <f t="shared" si="148"/>
        <v>24197.17128192</v>
      </c>
      <c r="AD613" s="3">
        <f t="shared" si="144"/>
        <v>10002.02</v>
      </c>
      <c r="AE613" s="3">
        <f t="shared" si="145"/>
        <v>8001.82768</v>
      </c>
      <c r="AF613" s="3">
        <f t="shared" si="149"/>
        <v>14195.15128192</v>
      </c>
      <c r="AG613">
        <f t="shared" si="146"/>
        <v>0.444450976381511</v>
      </c>
    </row>
    <row r="614" spans="1:33">
      <c r="A614" t="s">
        <v>1324</v>
      </c>
      <c r="B614" s="20">
        <v>45584</v>
      </c>
      <c r="C614" s="2">
        <f t="shared" si="135"/>
        <v>10</v>
      </c>
      <c r="D614" s="21">
        <f t="shared" si="147"/>
        <v>45584</v>
      </c>
      <c r="E614" s="19" t="str">
        <f t="shared" si="136"/>
        <v>Quarter 4</v>
      </c>
      <c r="F614" s="19">
        <v>45602</v>
      </c>
      <c r="G614" s="19">
        <f t="shared" si="137"/>
        <v>45602</v>
      </c>
      <c r="H614" s="22">
        <f t="shared" si="138"/>
        <v>18</v>
      </c>
      <c r="I614" t="str">
        <f t="shared" si="139"/>
        <v>Delayed </v>
      </c>
      <c r="J614" t="s">
        <v>52</v>
      </c>
      <c r="K614" t="s">
        <v>122</v>
      </c>
      <c r="L614" t="s">
        <v>123</v>
      </c>
      <c r="M614" t="s">
        <v>27</v>
      </c>
      <c r="N614" t="s">
        <v>1441</v>
      </c>
      <c r="O614" t="s">
        <v>21</v>
      </c>
      <c r="P614" t="s">
        <v>64</v>
      </c>
      <c r="Q614" t="s">
        <v>1325</v>
      </c>
      <c r="R614" s="3">
        <v>942.02</v>
      </c>
      <c r="S614" s="3">
        <v>1028.46</v>
      </c>
      <c r="T614" s="3">
        <f t="shared" si="140"/>
        <v>1028.46</v>
      </c>
      <c r="U614" s="3">
        <f>(1+'10. Whatif Control pannel'!$B$6)*T614</f>
        <v>1151.8752</v>
      </c>
      <c r="V614" s="3" t="str">
        <f t="shared" si="141"/>
        <v>Medium</v>
      </c>
      <c r="W614" s="34">
        <v>0</v>
      </c>
      <c r="X614" s="24" t="str">
        <f t="shared" si="142"/>
        <v>Okay</v>
      </c>
      <c r="Y614" s="36">
        <f>IF(W614&lt;=0.25,W614,'10. Whatif Control pannel'!$B$2)</f>
        <v>0</v>
      </c>
      <c r="Z614" s="24">
        <v>9</v>
      </c>
      <c r="AA614" s="13">
        <f>(1+'10. Whatif Control pannel'!$B$10)*Z614</f>
        <v>10.8</v>
      </c>
      <c r="AB614" s="3">
        <f t="shared" si="143"/>
        <v>9256.14</v>
      </c>
      <c r="AC614" s="3">
        <f t="shared" si="148"/>
        <v>12440.25216</v>
      </c>
      <c r="AD614" s="3">
        <f t="shared" si="144"/>
        <v>8478.18</v>
      </c>
      <c r="AE614" s="3">
        <f t="shared" si="145"/>
        <v>777.959999999999</v>
      </c>
      <c r="AF614" s="3">
        <f t="shared" si="149"/>
        <v>3962.07216</v>
      </c>
      <c r="AG614">
        <f t="shared" si="146"/>
        <v>0.0840479940882484</v>
      </c>
    </row>
    <row r="615" spans="1:33">
      <c r="A615" t="s">
        <v>1326</v>
      </c>
      <c r="B615" s="20">
        <v>45468</v>
      </c>
      <c r="C615" s="2">
        <f t="shared" si="135"/>
        <v>6</v>
      </c>
      <c r="D615" s="21">
        <f t="shared" si="147"/>
        <v>45468</v>
      </c>
      <c r="E615" s="19" t="str">
        <f t="shared" si="136"/>
        <v>Quarter 2</v>
      </c>
      <c r="F615" s="19">
        <v>45473</v>
      </c>
      <c r="G615" s="19">
        <f t="shared" si="137"/>
        <v>45473</v>
      </c>
      <c r="H615" s="22">
        <f t="shared" si="138"/>
        <v>5</v>
      </c>
      <c r="I615" t="str">
        <f t="shared" si="139"/>
        <v>Ontime</v>
      </c>
      <c r="J615" t="s">
        <v>16</v>
      </c>
      <c r="K615" t="s">
        <v>17</v>
      </c>
      <c r="L615" t="s">
        <v>18</v>
      </c>
      <c r="M615" t="s">
        <v>27</v>
      </c>
      <c r="N615" t="s">
        <v>98</v>
      </c>
      <c r="O615" t="s">
        <v>110</v>
      </c>
      <c r="P615" t="s">
        <v>35</v>
      </c>
      <c r="Q615" t="s">
        <v>1327</v>
      </c>
      <c r="R615" s="3">
        <v>1323.55</v>
      </c>
      <c r="S615" s="3">
        <v>3230.35</v>
      </c>
      <c r="T615" s="3">
        <f t="shared" si="140"/>
        <v>3230.35</v>
      </c>
      <c r="U615" s="3">
        <f>(1+'10. Whatif Control pannel'!$B$6)*T615</f>
        <v>3617.992</v>
      </c>
      <c r="V615" s="3" t="str">
        <f t="shared" si="141"/>
        <v>High</v>
      </c>
      <c r="W615" s="34">
        <v>0.022</v>
      </c>
      <c r="X615" s="24" t="str">
        <f t="shared" si="142"/>
        <v>Okay</v>
      </c>
      <c r="Y615" s="36">
        <f>IF(W615&lt;=0.25,W615,'10. Whatif Control pannel'!$B$2)</f>
        <v>0.022</v>
      </c>
      <c r="Z615" s="24">
        <v>26</v>
      </c>
      <c r="AA615" s="13">
        <f>(1+'10. Whatif Control pannel'!$B$10)*Z615</f>
        <v>31.2</v>
      </c>
      <c r="AB615" s="3">
        <f t="shared" si="143"/>
        <v>82141.3398</v>
      </c>
      <c r="AC615" s="3">
        <f t="shared" si="148"/>
        <v>110397.9606912</v>
      </c>
      <c r="AD615" s="3">
        <f t="shared" si="144"/>
        <v>34412.3</v>
      </c>
      <c r="AE615" s="3">
        <f t="shared" si="145"/>
        <v>47729.0398</v>
      </c>
      <c r="AF615" s="3">
        <f t="shared" si="149"/>
        <v>75985.6606912</v>
      </c>
      <c r="AG615">
        <f t="shared" si="146"/>
        <v>0.581059913512635</v>
      </c>
    </row>
    <row r="616" spans="1:33">
      <c r="A616" t="s">
        <v>1328</v>
      </c>
      <c r="B616" s="20">
        <v>45137</v>
      </c>
      <c r="C616" s="2">
        <f t="shared" si="135"/>
        <v>7</v>
      </c>
      <c r="D616" s="21">
        <f t="shared" si="147"/>
        <v>45137</v>
      </c>
      <c r="E616" s="19" t="str">
        <f t="shared" si="136"/>
        <v>Quarter 3</v>
      </c>
      <c r="F616" s="19">
        <v>45157</v>
      </c>
      <c r="G616" s="19">
        <f t="shared" si="137"/>
        <v>45157</v>
      </c>
      <c r="H616" s="22">
        <f t="shared" si="138"/>
        <v>20</v>
      </c>
      <c r="I616" t="str">
        <f t="shared" si="139"/>
        <v>Delayed </v>
      </c>
      <c r="J616" t="s">
        <v>78</v>
      </c>
      <c r="K616" t="s">
        <v>90</v>
      </c>
      <c r="L616" t="s">
        <v>217</v>
      </c>
      <c r="M616" t="s">
        <v>105</v>
      </c>
      <c r="N616" t="s">
        <v>40</v>
      </c>
      <c r="O616" t="s">
        <v>41</v>
      </c>
      <c r="P616" t="s">
        <v>35</v>
      </c>
      <c r="Q616" t="s">
        <v>1329</v>
      </c>
      <c r="R616" s="3">
        <v>1418.51</v>
      </c>
      <c r="S616" s="3">
        <v>2789.61</v>
      </c>
      <c r="T616" s="3">
        <f t="shared" si="140"/>
        <v>2789.61</v>
      </c>
      <c r="U616" s="3">
        <f>(1+'10. Whatif Control pannel'!$B$6)*T616</f>
        <v>3124.3632</v>
      </c>
      <c r="V616" s="3" t="str">
        <f t="shared" si="141"/>
        <v>High</v>
      </c>
      <c r="W616" s="34">
        <v>0.171</v>
      </c>
      <c r="X616" s="24" t="str">
        <f t="shared" si="142"/>
        <v>Okay</v>
      </c>
      <c r="Y616" s="36">
        <f>IF(W616&lt;=0.25,W616,'10. Whatif Control pannel'!$B$2)</f>
        <v>0.171</v>
      </c>
      <c r="Z616" s="24">
        <v>8</v>
      </c>
      <c r="AA616" s="13">
        <f>(1+'10. Whatif Control pannel'!$B$10)*Z616</f>
        <v>9.6</v>
      </c>
      <c r="AB616" s="3">
        <f t="shared" si="143"/>
        <v>18500.69352</v>
      </c>
      <c r="AC616" s="3">
        <f t="shared" si="148"/>
        <v>24864.93209088</v>
      </c>
      <c r="AD616" s="3">
        <f t="shared" si="144"/>
        <v>11348.08</v>
      </c>
      <c r="AE616" s="3">
        <f t="shared" si="145"/>
        <v>7152.61352</v>
      </c>
      <c r="AF616" s="3">
        <f t="shared" si="149"/>
        <v>13516.85209088</v>
      </c>
      <c r="AG616">
        <f t="shared" si="146"/>
        <v>0.386613264646957</v>
      </c>
    </row>
    <row r="617" spans="1:33">
      <c r="A617" t="s">
        <v>1330</v>
      </c>
      <c r="B617" s="20">
        <v>45727</v>
      </c>
      <c r="C617" s="2">
        <f t="shared" si="135"/>
        <v>3</v>
      </c>
      <c r="D617" s="21">
        <f t="shared" si="147"/>
        <v>45727</v>
      </c>
      <c r="E617" s="19" t="str">
        <f t="shared" si="136"/>
        <v>Quarter 1</v>
      </c>
      <c r="F617" s="19">
        <v>45743</v>
      </c>
      <c r="G617" s="19">
        <f t="shared" si="137"/>
        <v>45743</v>
      </c>
      <c r="H617" s="22">
        <f t="shared" si="138"/>
        <v>16</v>
      </c>
      <c r="I617" t="str">
        <f t="shared" si="139"/>
        <v>Delayed </v>
      </c>
      <c r="J617" t="s">
        <v>45</v>
      </c>
      <c r="K617" t="s">
        <v>46</v>
      </c>
      <c r="L617" t="s">
        <v>214</v>
      </c>
      <c r="M617" t="s">
        <v>105</v>
      </c>
      <c r="N617" t="s">
        <v>55</v>
      </c>
      <c r="O617" t="s">
        <v>56</v>
      </c>
      <c r="P617" t="s">
        <v>30</v>
      </c>
      <c r="Q617" t="s">
        <v>1331</v>
      </c>
      <c r="R617" s="3">
        <v>1317.58</v>
      </c>
      <c r="S617" s="3">
        <v>1897.74</v>
      </c>
      <c r="T617" s="3">
        <f t="shared" si="140"/>
        <v>1897.74</v>
      </c>
      <c r="U617" s="3">
        <f>(1+'10. Whatif Control pannel'!$B$6)*T617</f>
        <v>2125.4688</v>
      </c>
      <c r="V617" s="3" t="str">
        <f t="shared" si="141"/>
        <v>High</v>
      </c>
      <c r="W617" s="34">
        <v>0.081</v>
      </c>
      <c r="X617" s="24" t="str">
        <f t="shared" si="142"/>
        <v>Okay</v>
      </c>
      <c r="Y617" s="36">
        <f>IF(W617&lt;=0.25,W617,'10. Whatif Control pannel'!$B$2)</f>
        <v>0.081</v>
      </c>
      <c r="Z617" s="24">
        <v>6</v>
      </c>
      <c r="AA617" s="13">
        <f>(1+'10. Whatif Control pannel'!$B$10)*Z617</f>
        <v>7.2</v>
      </c>
      <c r="AB617" s="3">
        <f t="shared" si="143"/>
        <v>10464.13836</v>
      </c>
      <c r="AC617" s="3">
        <f t="shared" si="148"/>
        <v>14063.80195584</v>
      </c>
      <c r="AD617" s="3">
        <f t="shared" si="144"/>
        <v>7905.48</v>
      </c>
      <c r="AE617" s="3">
        <f t="shared" si="145"/>
        <v>2558.65836</v>
      </c>
      <c r="AF617" s="3">
        <f t="shared" si="149"/>
        <v>6158.32195584</v>
      </c>
      <c r="AG617">
        <f t="shared" si="146"/>
        <v>0.244516870092303</v>
      </c>
    </row>
    <row r="618" spans="1:33">
      <c r="A618" t="s">
        <v>1332</v>
      </c>
      <c r="B618" s="20">
        <v>45208</v>
      </c>
      <c r="C618" s="2">
        <f t="shared" si="135"/>
        <v>10</v>
      </c>
      <c r="D618" s="21">
        <f t="shared" si="147"/>
        <v>45208</v>
      </c>
      <c r="E618" s="19" t="str">
        <f t="shared" si="136"/>
        <v>Quarter 4</v>
      </c>
      <c r="F618" s="19">
        <v>45210</v>
      </c>
      <c r="G618" s="19">
        <f t="shared" si="137"/>
        <v>45210</v>
      </c>
      <c r="H618" s="22">
        <f t="shared" si="138"/>
        <v>2</v>
      </c>
      <c r="I618" t="str">
        <f t="shared" si="139"/>
        <v>Ontime</v>
      </c>
      <c r="J618" t="s">
        <v>16</v>
      </c>
      <c r="K618" t="s">
        <v>25</v>
      </c>
      <c r="L618" t="s">
        <v>26</v>
      </c>
      <c r="M618" t="s">
        <v>27</v>
      </c>
      <c r="N618" t="s">
        <v>40</v>
      </c>
      <c r="O618" t="s">
        <v>95</v>
      </c>
      <c r="P618" t="s">
        <v>35</v>
      </c>
      <c r="Q618" t="s">
        <v>1333</v>
      </c>
      <c r="R618" s="3">
        <v>391.16</v>
      </c>
      <c r="S618" s="3">
        <v>902.47</v>
      </c>
      <c r="T618" s="3">
        <f t="shared" si="140"/>
        <v>902.47</v>
      </c>
      <c r="U618" s="3">
        <f>(1+'10. Whatif Control pannel'!$B$6)*T618</f>
        <v>1010.7664</v>
      </c>
      <c r="V618" s="3" t="str">
        <f t="shared" si="141"/>
        <v>Medium</v>
      </c>
      <c r="W618" s="34">
        <v>0.004</v>
      </c>
      <c r="X618" s="24" t="str">
        <f t="shared" si="142"/>
        <v>Okay</v>
      </c>
      <c r="Y618" s="36">
        <f>IF(W618&lt;=0.25,W618,'10. Whatif Control pannel'!$B$2)</f>
        <v>0.004</v>
      </c>
      <c r="Z618" s="24">
        <v>12</v>
      </c>
      <c r="AA618" s="13">
        <f>(1+'10. Whatif Control pannel'!$B$10)*Z618</f>
        <v>14.4</v>
      </c>
      <c r="AB618" s="3">
        <f t="shared" si="143"/>
        <v>10786.32144</v>
      </c>
      <c r="AC618" s="3">
        <f t="shared" si="148"/>
        <v>14496.81601536</v>
      </c>
      <c r="AD618" s="3">
        <f t="shared" si="144"/>
        <v>4693.92</v>
      </c>
      <c r="AE618" s="3">
        <f t="shared" si="145"/>
        <v>6092.40144</v>
      </c>
      <c r="AF618" s="3">
        <f t="shared" si="149"/>
        <v>9802.89601536</v>
      </c>
      <c r="AG618">
        <f t="shared" si="146"/>
        <v>0.564826616181392</v>
      </c>
    </row>
    <row r="619" spans="1:33">
      <c r="A619" t="s">
        <v>1334</v>
      </c>
      <c r="B619" s="20">
        <v>45643</v>
      </c>
      <c r="C619" s="2">
        <f t="shared" si="135"/>
        <v>12</v>
      </c>
      <c r="D619" s="21">
        <f t="shared" si="147"/>
        <v>45643</v>
      </c>
      <c r="E619" s="19" t="str">
        <f t="shared" si="136"/>
        <v>Quarter 4</v>
      </c>
      <c r="F619" s="19">
        <v>45673</v>
      </c>
      <c r="G619" s="19">
        <f t="shared" si="137"/>
        <v>45673</v>
      </c>
      <c r="H619" s="22">
        <f t="shared" si="138"/>
        <v>30</v>
      </c>
      <c r="I619" t="str">
        <f t="shared" si="139"/>
        <v>Delayed </v>
      </c>
      <c r="J619" t="s">
        <v>78</v>
      </c>
      <c r="K619" t="s">
        <v>108</v>
      </c>
      <c r="L619" t="s">
        <v>228</v>
      </c>
      <c r="M619" t="s">
        <v>19</v>
      </c>
      <c r="N619" t="s">
        <v>20</v>
      </c>
      <c r="O619" t="s">
        <v>145</v>
      </c>
      <c r="P619" t="s">
        <v>64</v>
      </c>
      <c r="Q619" t="s">
        <v>1335</v>
      </c>
      <c r="R619" s="3">
        <v>722.87</v>
      </c>
      <c r="S619" s="3">
        <v>-33.66</v>
      </c>
      <c r="T619" s="3">
        <f t="shared" si="140"/>
        <v>722.87</v>
      </c>
      <c r="U619" s="3">
        <f>(1+'10. Whatif Control pannel'!$B$6)*T619</f>
        <v>809.6144</v>
      </c>
      <c r="V619" s="3" t="str">
        <f t="shared" si="141"/>
        <v>Low</v>
      </c>
      <c r="W619" s="34">
        <v>0.102</v>
      </c>
      <c r="X619" s="24" t="str">
        <f t="shared" si="142"/>
        <v>Okay</v>
      </c>
      <c r="Y619" s="36">
        <f>IF(W619&lt;=0.25,W619,'10. Whatif Control pannel'!$B$2)</f>
        <v>0.102</v>
      </c>
      <c r="Z619" s="24">
        <v>28</v>
      </c>
      <c r="AA619" s="13">
        <f>(1+'10. Whatif Control pannel'!$B$10)*Z619</f>
        <v>33.6</v>
      </c>
      <c r="AB619" s="3">
        <f t="shared" si="143"/>
        <v>18175.84328</v>
      </c>
      <c r="AC619" s="3">
        <f t="shared" si="148"/>
        <v>24428.33336832</v>
      </c>
      <c r="AD619" s="3">
        <f t="shared" si="144"/>
        <v>20240.36</v>
      </c>
      <c r="AE619" s="3">
        <f t="shared" si="145"/>
        <v>-2064.51672</v>
      </c>
      <c r="AF619" s="3">
        <f t="shared" si="149"/>
        <v>4187.97336832</v>
      </c>
      <c r="AG619">
        <f t="shared" si="146"/>
        <v>-0.11358574610245</v>
      </c>
    </row>
    <row r="620" spans="1:33">
      <c r="A620" t="s">
        <v>1336</v>
      </c>
      <c r="B620" s="20">
        <v>45849</v>
      </c>
      <c r="C620" s="2">
        <f t="shared" si="135"/>
        <v>7</v>
      </c>
      <c r="D620" s="21">
        <f t="shared" si="147"/>
        <v>45849</v>
      </c>
      <c r="E620" s="19" t="str">
        <f t="shared" si="136"/>
        <v>Quarter 3</v>
      </c>
      <c r="F620" s="19">
        <v>45854</v>
      </c>
      <c r="G620" s="19">
        <f t="shared" si="137"/>
        <v>45854</v>
      </c>
      <c r="H620" s="22">
        <f t="shared" si="138"/>
        <v>5</v>
      </c>
      <c r="I620" t="str">
        <f t="shared" si="139"/>
        <v>Ontime</v>
      </c>
      <c r="J620" t="s">
        <v>78</v>
      </c>
      <c r="K620" t="s">
        <v>108</v>
      </c>
      <c r="L620" t="s">
        <v>152</v>
      </c>
      <c r="M620" t="s">
        <v>105</v>
      </c>
      <c r="N620" t="s">
        <v>28</v>
      </c>
      <c r="O620" t="s">
        <v>95</v>
      </c>
      <c r="P620" t="s">
        <v>30</v>
      </c>
      <c r="Q620" t="s">
        <v>1337</v>
      </c>
      <c r="R620" s="3">
        <v>930.03</v>
      </c>
      <c r="S620" s="3">
        <v>1086.68</v>
      </c>
      <c r="T620" s="3">
        <f t="shared" si="140"/>
        <v>1086.68</v>
      </c>
      <c r="U620" s="3">
        <f>(1+'10. Whatif Control pannel'!$B$6)*T620</f>
        <v>1217.0816</v>
      </c>
      <c r="V620" s="3" t="str">
        <f t="shared" si="141"/>
        <v>Medium</v>
      </c>
      <c r="W620" s="34">
        <v>0.109</v>
      </c>
      <c r="X620" s="24" t="str">
        <f t="shared" si="142"/>
        <v>Okay</v>
      </c>
      <c r="Y620" s="36">
        <f>IF(W620&lt;=0.25,W620,'10. Whatif Control pannel'!$B$2)</f>
        <v>0.109</v>
      </c>
      <c r="Z620" s="24">
        <v>26</v>
      </c>
      <c r="AA620" s="13">
        <f>(1+'10. Whatif Control pannel'!$B$10)*Z620</f>
        <v>31.2</v>
      </c>
      <c r="AB620" s="3">
        <f t="shared" si="143"/>
        <v>25174.02888</v>
      </c>
      <c r="AC620" s="3">
        <f t="shared" si="148"/>
        <v>33833.89481472</v>
      </c>
      <c r="AD620" s="3">
        <f t="shared" si="144"/>
        <v>24180.78</v>
      </c>
      <c r="AE620" s="3">
        <f t="shared" si="145"/>
        <v>993.248880000003</v>
      </c>
      <c r="AF620" s="3">
        <f t="shared" si="149"/>
        <v>9653.11481472001</v>
      </c>
      <c r="AG620">
        <f t="shared" si="146"/>
        <v>0.0394553007281687</v>
      </c>
    </row>
    <row r="621" spans="1:33">
      <c r="A621" t="s">
        <v>1338</v>
      </c>
      <c r="B621" s="20">
        <v>45578</v>
      </c>
      <c r="C621" s="2">
        <f t="shared" si="135"/>
        <v>10</v>
      </c>
      <c r="D621" s="21">
        <f t="shared" si="147"/>
        <v>45578</v>
      </c>
      <c r="E621" s="19" t="str">
        <f t="shared" si="136"/>
        <v>Quarter 4</v>
      </c>
      <c r="F621" s="19">
        <v>45589</v>
      </c>
      <c r="G621" s="19">
        <f t="shared" si="137"/>
        <v>45589</v>
      </c>
      <c r="H621" s="22">
        <f t="shared" si="138"/>
        <v>11</v>
      </c>
      <c r="I621" t="str">
        <f t="shared" si="139"/>
        <v>Delayed </v>
      </c>
      <c r="J621" t="s">
        <v>78</v>
      </c>
      <c r="K621" t="s">
        <v>90</v>
      </c>
      <c r="L621" t="s">
        <v>217</v>
      </c>
      <c r="M621" t="s">
        <v>27</v>
      </c>
      <c r="N621" t="s">
        <v>55</v>
      </c>
      <c r="O621" t="s">
        <v>84</v>
      </c>
      <c r="P621" t="s">
        <v>22</v>
      </c>
      <c r="Q621" t="s">
        <v>1339</v>
      </c>
      <c r="R621" s="3">
        <v>816.7</v>
      </c>
      <c r="S621" s="3">
        <v>1010.75</v>
      </c>
      <c r="T621" s="3">
        <f t="shared" si="140"/>
        <v>1010.75</v>
      </c>
      <c r="U621" s="3">
        <f>(1+'10. Whatif Control pannel'!$B$6)*T621</f>
        <v>1132.04</v>
      </c>
      <c r="V621" s="3" t="str">
        <f t="shared" si="141"/>
        <v>Medium</v>
      </c>
      <c r="W621" s="34">
        <v>0.047</v>
      </c>
      <c r="X621" s="24" t="str">
        <f t="shared" si="142"/>
        <v>Okay</v>
      </c>
      <c r="Y621" s="36">
        <f>IF(W621&lt;=0.25,W621,'10. Whatif Control pannel'!$B$2)</f>
        <v>0.047</v>
      </c>
      <c r="Z621" s="24">
        <v>43</v>
      </c>
      <c r="AA621" s="13">
        <f>(1+'10. Whatif Control pannel'!$B$10)*Z621</f>
        <v>51.6</v>
      </c>
      <c r="AB621" s="3">
        <f t="shared" si="143"/>
        <v>41419.52425</v>
      </c>
      <c r="AC621" s="3">
        <f t="shared" si="148"/>
        <v>55667.840592</v>
      </c>
      <c r="AD621" s="3">
        <f t="shared" si="144"/>
        <v>35118.1</v>
      </c>
      <c r="AE621" s="3">
        <f t="shared" si="145"/>
        <v>6301.42425</v>
      </c>
      <c r="AF621" s="3">
        <f t="shared" si="149"/>
        <v>20549.740592</v>
      </c>
      <c r="AG621">
        <f t="shared" si="146"/>
        <v>0.152136567575375</v>
      </c>
    </row>
    <row r="622" spans="1:33">
      <c r="A622" t="s">
        <v>1340</v>
      </c>
      <c r="B622" s="20">
        <v>45177</v>
      </c>
      <c r="C622" s="2">
        <f t="shared" si="135"/>
        <v>9</v>
      </c>
      <c r="D622" s="21">
        <f t="shared" si="147"/>
        <v>45177</v>
      </c>
      <c r="E622" s="19" t="str">
        <f t="shared" si="136"/>
        <v>Quarter 3</v>
      </c>
      <c r="F622" s="19">
        <v>45183</v>
      </c>
      <c r="G622" s="19">
        <f t="shared" si="137"/>
        <v>45183</v>
      </c>
      <c r="H622" s="22">
        <f t="shared" si="138"/>
        <v>6</v>
      </c>
      <c r="I622" t="str">
        <f t="shared" si="139"/>
        <v>Ontime</v>
      </c>
      <c r="J622" t="s">
        <v>16</v>
      </c>
      <c r="K622" t="s">
        <v>17</v>
      </c>
      <c r="L622" t="s">
        <v>135</v>
      </c>
      <c r="M622" t="s">
        <v>27</v>
      </c>
      <c r="N622" t="s">
        <v>98</v>
      </c>
      <c r="O622" t="s">
        <v>34</v>
      </c>
      <c r="P622" t="s">
        <v>81</v>
      </c>
      <c r="Q622" t="s">
        <v>1341</v>
      </c>
      <c r="R622" s="3">
        <v>251.03</v>
      </c>
      <c r="S622" s="3">
        <v>411.48</v>
      </c>
      <c r="T622" s="3">
        <f t="shared" si="140"/>
        <v>411.48</v>
      </c>
      <c r="U622" s="3">
        <f>(1+'10. Whatif Control pannel'!$B$6)*T622</f>
        <v>460.8576</v>
      </c>
      <c r="V622" s="3" t="str">
        <f t="shared" si="141"/>
        <v>Low</v>
      </c>
      <c r="W622" s="34">
        <v>0.165</v>
      </c>
      <c r="X622" s="24" t="str">
        <f t="shared" si="142"/>
        <v>Okay</v>
      </c>
      <c r="Y622" s="36">
        <f>IF(W622&lt;=0.25,W622,'10. Whatif Control pannel'!$B$2)</f>
        <v>0.165</v>
      </c>
      <c r="Z622" s="24">
        <v>3</v>
      </c>
      <c r="AA622" s="13">
        <f>(1+'10. Whatif Control pannel'!$B$10)*Z622</f>
        <v>3.6</v>
      </c>
      <c r="AB622" s="3">
        <f t="shared" si="143"/>
        <v>1030.7574</v>
      </c>
      <c r="AC622" s="3">
        <f t="shared" si="148"/>
        <v>1385.3379456</v>
      </c>
      <c r="AD622" s="3">
        <f t="shared" si="144"/>
        <v>753.09</v>
      </c>
      <c r="AE622" s="3">
        <f t="shared" si="145"/>
        <v>277.6674</v>
      </c>
      <c r="AF622" s="3">
        <f t="shared" si="149"/>
        <v>632.2479456</v>
      </c>
      <c r="AG622">
        <f t="shared" si="146"/>
        <v>0.269381912756581</v>
      </c>
    </row>
    <row r="623" spans="1:33">
      <c r="A623" t="s">
        <v>1342</v>
      </c>
      <c r="B623" s="20">
        <v>45764</v>
      </c>
      <c r="C623" s="2">
        <f t="shared" si="135"/>
        <v>4</v>
      </c>
      <c r="D623" s="21">
        <f t="shared" si="147"/>
        <v>45764</v>
      </c>
      <c r="E623" s="19" t="str">
        <f t="shared" si="136"/>
        <v>Quarter 2</v>
      </c>
      <c r="F623" s="19">
        <v>45780</v>
      </c>
      <c r="G623" s="19">
        <f t="shared" si="137"/>
        <v>45780</v>
      </c>
      <c r="H623" s="22">
        <f t="shared" si="138"/>
        <v>16</v>
      </c>
      <c r="I623" t="str">
        <f t="shared" si="139"/>
        <v>Delayed </v>
      </c>
      <c r="J623" t="s">
        <v>52</v>
      </c>
      <c r="K623" t="s">
        <v>73</v>
      </c>
      <c r="L623" t="s">
        <v>225</v>
      </c>
      <c r="M623" t="s">
        <v>48</v>
      </c>
      <c r="N623" t="s">
        <v>40</v>
      </c>
      <c r="O623" t="s">
        <v>29</v>
      </c>
      <c r="P623" t="s">
        <v>35</v>
      </c>
      <c r="Q623" t="s">
        <v>1343</v>
      </c>
      <c r="R623" s="3">
        <v>168.68</v>
      </c>
      <c r="S623" s="3">
        <v>413.34</v>
      </c>
      <c r="T623" s="3">
        <f t="shared" si="140"/>
        <v>413.34</v>
      </c>
      <c r="U623" s="3">
        <f>(1+'10. Whatif Control pannel'!$B$6)*T623</f>
        <v>462.9408</v>
      </c>
      <c r="V623" s="3" t="str">
        <f t="shared" si="141"/>
        <v>Low</v>
      </c>
      <c r="W623" s="34">
        <v>0.186</v>
      </c>
      <c r="X623" s="24" t="str">
        <f t="shared" si="142"/>
        <v>Okay</v>
      </c>
      <c r="Y623" s="36">
        <f>IF(W623&lt;=0.25,W623,'10. Whatif Control pannel'!$B$2)</f>
        <v>0.186</v>
      </c>
      <c r="Z623" s="24">
        <v>7</v>
      </c>
      <c r="AA623" s="13">
        <f>(1+'10. Whatif Control pannel'!$B$10)*Z623</f>
        <v>8.4</v>
      </c>
      <c r="AB623" s="3">
        <f t="shared" si="143"/>
        <v>2355.21132</v>
      </c>
      <c r="AC623" s="3">
        <f t="shared" si="148"/>
        <v>3165.40401408</v>
      </c>
      <c r="AD623" s="3">
        <f t="shared" si="144"/>
        <v>1180.76</v>
      </c>
      <c r="AE623" s="3">
        <f t="shared" si="145"/>
        <v>1174.45132</v>
      </c>
      <c r="AF623" s="3">
        <f t="shared" si="149"/>
        <v>1984.64401408</v>
      </c>
      <c r="AG623">
        <f t="shared" si="146"/>
        <v>0.498660697673617</v>
      </c>
    </row>
    <row r="624" spans="1:33">
      <c r="A624" t="s">
        <v>1344</v>
      </c>
      <c r="B624" s="20">
        <v>45501</v>
      </c>
      <c r="C624" s="2">
        <f t="shared" si="135"/>
        <v>7</v>
      </c>
      <c r="D624" s="21">
        <f t="shared" si="147"/>
        <v>45501</v>
      </c>
      <c r="E624" s="19" t="str">
        <f t="shared" si="136"/>
        <v>Quarter 3</v>
      </c>
      <c r="F624" s="19">
        <v>45527</v>
      </c>
      <c r="G624" s="19">
        <f t="shared" si="137"/>
        <v>45527</v>
      </c>
      <c r="H624" s="22">
        <f t="shared" si="138"/>
        <v>26</v>
      </c>
      <c r="I624" t="str">
        <f t="shared" si="139"/>
        <v>Delayed </v>
      </c>
      <c r="J624" t="s">
        <v>45</v>
      </c>
      <c r="K624" t="s">
        <v>60</v>
      </c>
      <c r="L624" t="s">
        <v>281</v>
      </c>
      <c r="M624" t="s">
        <v>19</v>
      </c>
      <c r="N624" t="s">
        <v>20</v>
      </c>
      <c r="O624" t="s">
        <v>29</v>
      </c>
      <c r="P624" t="s">
        <v>35</v>
      </c>
      <c r="Q624" t="s">
        <v>1345</v>
      </c>
      <c r="R624" s="3">
        <v>1339.24</v>
      </c>
      <c r="S624" s="3">
        <v>1558.89</v>
      </c>
      <c r="T624" s="3">
        <f t="shared" si="140"/>
        <v>1558.89</v>
      </c>
      <c r="U624" s="3">
        <f>(1+'10. Whatif Control pannel'!$B$6)*T624</f>
        <v>1745.9568</v>
      </c>
      <c r="V624" s="3" t="str">
        <f t="shared" si="141"/>
        <v>Medium</v>
      </c>
      <c r="W624" s="34">
        <v>0.192</v>
      </c>
      <c r="X624" s="24" t="str">
        <f t="shared" si="142"/>
        <v>Okay</v>
      </c>
      <c r="Y624" s="36">
        <f>IF(W624&lt;=0.25,W624,'10. Whatif Control pannel'!$B$2)</f>
        <v>0.192</v>
      </c>
      <c r="Z624" s="24">
        <v>24</v>
      </c>
      <c r="AA624" s="13">
        <f>(1+'10. Whatif Control pannel'!$B$10)*Z624</f>
        <v>28.8</v>
      </c>
      <c r="AB624" s="3">
        <f t="shared" si="143"/>
        <v>30229.99488</v>
      </c>
      <c r="AC624" s="3">
        <f t="shared" si="148"/>
        <v>40629.11311872</v>
      </c>
      <c r="AD624" s="3">
        <f t="shared" si="144"/>
        <v>32141.76</v>
      </c>
      <c r="AE624" s="3">
        <f t="shared" si="145"/>
        <v>-1911.76512</v>
      </c>
      <c r="AF624" s="3">
        <f t="shared" si="149"/>
        <v>8487.35311872001</v>
      </c>
      <c r="AG624">
        <f t="shared" si="146"/>
        <v>-0.0632406696590218</v>
      </c>
    </row>
    <row r="625" spans="1:33">
      <c r="A625" t="s">
        <v>1346</v>
      </c>
      <c r="B625" s="20">
        <v>45857</v>
      </c>
      <c r="C625" s="2">
        <f t="shared" si="135"/>
        <v>7</v>
      </c>
      <c r="D625" s="21">
        <f t="shared" si="147"/>
        <v>45857</v>
      </c>
      <c r="E625" s="19" t="str">
        <f t="shared" si="136"/>
        <v>Quarter 3</v>
      </c>
      <c r="F625" s="19">
        <v>45869</v>
      </c>
      <c r="G625" s="19">
        <f t="shared" si="137"/>
        <v>45869</v>
      </c>
      <c r="H625" s="22">
        <f t="shared" si="138"/>
        <v>12</v>
      </c>
      <c r="I625" t="str">
        <f t="shared" si="139"/>
        <v>Delayed </v>
      </c>
      <c r="J625" t="s">
        <v>16</v>
      </c>
      <c r="K625" t="s">
        <v>17</v>
      </c>
      <c r="L625" t="s">
        <v>33</v>
      </c>
      <c r="M625" t="s">
        <v>62</v>
      </c>
      <c r="N625" t="s">
        <v>40</v>
      </c>
      <c r="O625" t="s">
        <v>68</v>
      </c>
      <c r="P625" t="s">
        <v>81</v>
      </c>
      <c r="Q625" t="s">
        <v>1347</v>
      </c>
      <c r="R625" s="3">
        <v>619.64</v>
      </c>
      <c r="S625" s="3">
        <v>861.16</v>
      </c>
      <c r="T625" s="3">
        <f t="shared" si="140"/>
        <v>861.16</v>
      </c>
      <c r="U625" s="3">
        <f>(1+'10. Whatif Control pannel'!$B$6)*T625</f>
        <v>964.4992</v>
      </c>
      <c r="V625" s="3" t="str">
        <f t="shared" si="141"/>
        <v>Low</v>
      </c>
      <c r="W625" s="34">
        <v>0.113</v>
      </c>
      <c r="X625" s="24" t="str">
        <f t="shared" si="142"/>
        <v>Okay</v>
      </c>
      <c r="Y625" s="36">
        <f>IF(W625&lt;=0.25,W625,'10. Whatif Control pannel'!$B$2)</f>
        <v>0.113</v>
      </c>
      <c r="Z625" s="24">
        <v>14</v>
      </c>
      <c r="AA625" s="13">
        <f>(1+'10. Whatif Control pannel'!$B$10)*Z625</f>
        <v>16.8</v>
      </c>
      <c r="AB625" s="3">
        <f t="shared" si="143"/>
        <v>10693.88488</v>
      </c>
      <c r="AC625" s="3">
        <f t="shared" si="148"/>
        <v>14372.58127872</v>
      </c>
      <c r="AD625" s="3">
        <f t="shared" si="144"/>
        <v>8674.96</v>
      </c>
      <c r="AE625" s="3">
        <f t="shared" si="145"/>
        <v>2018.92488</v>
      </c>
      <c r="AF625" s="3">
        <f t="shared" si="149"/>
        <v>5697.62127872</v>
      </c>
      <c r="AG625">
        <f t="shared" si="146"/>
        <v>0.188792464352768</v>
      </c>
    </row>
    <row r="626" spans="1:33">
      <c r="A626" t="s">
        <v>1348</v>
      </c>
      <c r="B626" s="20">
        <v>45141</v>
      </c>
      <c r="C626" s="2">
        <f t="shared" si="135"/>
        <v>8</v>
      </c>
      <c r="D626" s="21">
        <f t="shared" si="147"/>
        <v>45141</v>
      </c>
      <c r="E626" s="19" t="str">
        <f t="shared" si="136"/>
        <v>Quarter 3</v>
      </c>
      <c r="F626" s="19">
        <v>45140</v>
      </c>
      <c r="G626" s="19">
        <f t="shared" si="137"/>
        <v>45148</v>
      </c>
      <c r="H626" s="22">
        <f t="shared" si="138"/>
        <v>7</v>
      </c>
      <c r="I626" t="str">
        <f t="shared" si="139"/>
        <v>Ontime</v>
      </c>
      <c r="J626" t="s">
        <v>45</v>
      </c>
      <c r="K626" t="s">
        <v>116</v>
      </c>
      <c r="L626" t="s">
        <v>162</v>
      </c>
      <c r="M626" t="s">
        <v>39</v>
      </c>
      <c r="N626" t="s">
        <v>98</v>
      </c>
      <c r="O626" t="s">
        <v>29</v>
      </c>
      <c r="P626" t="s">
        <v>35</v>
      </c>
      <c r="Q626" t="s">
        <v>1349</v>
      </c>
      <c r="R626" s="3">
        <v>1021.97</v>
      </c>
      <c r="S626" s="3">
        <v>2296.25</v>
      </c>
      <c r="T626" s="3">
        <f t="shared" si="140"/>
        <v>2296.25</v>
      </c>
      <c r="U626" s="3">
        <f>(1+'10. Whatif Control pannel'!$B$6)*T626</f>
        <v>2571.8</v>
      </c>
      <c r="V626" s="3" t="str">
        <f t="shared" si="141"/>
        <v>High</v>
      </c>
      <c r="W626" s="34">
        <v>0.161</v>
      </c>
      <c r="X626" s="24" t="str">
        <f t="shared" si="142"/>
        <v>Okay</v>
      </c>
      <c r="Y626" s="36">
        <f>IF(W626&lt;=0.25,W626,'10. Whatif Control pannel'!$B$2)</f>
        <v>0.161</v>
      </c>
      <c r="Z626" s="24">
        <v>26</v>
      </c>
      <c r="AA626" s="13">
        <f>(1+'10. Whatif Control pannel'!$B$10)*Z626</f>
        <v>31.2</v>
      </c>
      <c r="AB626" s="3">
        <f t="shared" si="143"/>
        <v>50090.3975</v>
      </c>
      <c r="AC626" s="3">
        <f t="shared" si="148"/>
        <v>67321.49424</v>
      </c>
      <c r="AD626" s="3">
        <f t="shared" si="144"/>
        <v>26571.22</v>
      </c>
      <c r="AE626" s="3">
        <f t="shared" si="145"/>
        <v>23519.1775</v>
      </c>
      <c r="AF626" s="3">
        <f t="shared" si="149"/>
        <v>40750.27424</v>
      </c>
      <c r="AG626">
        <f t="shared" si="146"/>
        <v>0.469534654820817</v>
      </c>
    </row>
    <row r="627" spans="1:33">
      <c r="A627" t="s">
        <v>1350</v>
      </c>
      <c r="B627" s="20">
        <v>45249</v>
      </c>
      <c r="C627" s="2">
        <f t="shared" si="135"/>
        <v>11</v>
      </c>
      <c r="D627" s="21">
        <f t="shared" si="147"/>
        <v>45249</v>
      </c>
      <c r="E627" s="19" t="str">
        <f t="shared" si="136"/>
        <v>Quarter 4</v>
      </c>
      <c r="F627" s="19">
        <v>45272</v>
      </c>
      <c r="G627" s="19">
        <f t="shared" si="137"/>
        <v>45272</v>
      </c>
      <c r="H627" s="22">
        <f t="shared" si="138"/>
        <v>23</v>
      </c>
      <c r="I627" t="str">
        <f t="shared" si="139"/>
        <v>Delayed </v>
      </c>
      <c r="J627" t="s">
        <v>45</v>
      </c>
      <c r="K627" t="s">
        <v>60</v>
      </c>
      <c r="L627" t="s">
        <v>141</v>
      </c>
      <c r="M627" t="s">
        <v>62</v>
      </c>
      <c r="N627" t="s">
        <v>98</v>
      </c>
      <c r="O627" t="s">
        <v>21</v>
      </c>
      <c r="P627" t="s">
        <v>35</v>
      </c>
      <c r="Q627" t="s">
        <v>1351</v>
      </c>
      <c r="R627" s="3">
        <v>1349.04</v>
      </c>
      <c r="S627" s="3">
        <v>2636.6</v>
      </c>
      <c r="T627" s="3">
        <f t="shared" si="140"/>
        <v>2636.6</v>
      </c>
      <c r="U627" s="3">
        <f>(1+'10. Whatif Control pannel'!$B$6)*T627</f>
        <v>2952.992</v>
      </c>
      <c r="V627" s="3" t="str">
        <f t="shared" si="141"/>
        <v>High</v>
      </c>
      <c r="W627" s="34">
        <v>0.114</v>
      </c>
      <c r="X627" s="24" t="str">
        <f t="shared" si="142"/>
        <v>Okay</v>
      </c>
      <c r="Y627" s="36">
        <f>IF(W627&lt;=0.25,W627,'10. Whatif Control pannel'!$B$2)</f>
        <v>0.114</v>
      </c>
      <c r="Z627" s="24">
        <v>14</v>
      </c>
      <c r="AA627" s="13">
        <f>(1+'10. Whatif Control pannel'!$B$10)*Z627</f>
        <v>16.8</v>
      </c>
      <c r="AB627" s="3">
        <f t="shared" si="143"/>
        <v>32704.3864</v>
      </c>
      <c r="AC627" s="3">
        <f t="shared" si="148"/>
        <v>43954.6953216</v>
      </c>
      <c r="AD627" s="3">
        <f t="shared" si="144"/>
        <v>18886.56</v>
      </c>
      <c r="AE627" s="3">
        <f t="shared" si="145"/>
        <v>13817.8264</v>
      </c>
      <c r="AF627" s="3">
        <f t="shared" si="149"/>
        <v>25068.1353216</v>
      </c>
      <c r="AG627">
        <f t="shared" si="146"/>
        <v>0.422506823121439</v>
      </c>
    </row>
    <row r="628" spans="1:33">
      <c r="A628" t="s">
        <v>1352</v>
      </c>
      <c r="B628" s="20">
        <v>45282</v>
      </c>
      <c r="C628" s="2">
        <f t="shared" si="135"/>
        <v>12</v>
      </c>
      <c r="D628" s="21">
        <f t="shared" si="147"/>
        <v>45282</v>
      </c>
      <c r="E628" s="19" t="str">
        <f t="shared" si="136"/>
        <v>Quarter 4</v>
      </c>
      <c r="F628" s="19">
        <v>45307</v>
      </c>
      <c r="G628" s="19">
        <f t="shared" si="137"/>
        <v>45307</v>
      </c>
      <c r="H628" s="22">
        <f t="shared" si="138"/>
        <v>25</v>
      </c>
      <c r="I628" t="str">
        <f t="shared" si="139"/>
        <v>Delayed </v>
      </c>
      <c r="J628" t="s">
        <v>45</v>
      </c>
      <c r="K628" t="s">
        <v>60</v>
      </c>
      <c r="L628" t="s">
        <v>281</v>
      </c>
      <c r="M628" t="s">
        <v>62</v>
      </c>
      <c r="N628" t="s">
        <v>20</v>
      </c>
      <c r="O628" t="s">
        <v>75</v>
      </c>
      <c r="P628" t="s">
        <v>22</v>
      </c>
      <c r="Q628" t="s">
        <v>1353</v>
      </c>
      <c r="R628" s="3">
        <v>1346.81</v>
      </c>
      <c r="S628" s="3">
        <v>978.09</v>
      </c>
      <c r="T628" s="3">
        <f t="shared" si="140"/>
        <v>978.09</v>
      </c>
      <c r="U628" s="3">
        <f>(1+'10. Whatif Control pannel'!$B$6)*T628</f>
        <v>1095.4608</v>
      </c>
      <c r="V628" s="3" t="str">
        <f t="shared" si="141"/>
        <v>Medium</v>
      </c>
      <c r="W628" s="34">
        <v>0.159</v>
      </c>
      <c r="X628" s="24" t="str">
        <f t="shared" si="142"/>
        <v>Okay</v>
      </c>
      <c r="Y628" s="36">
        <f>IF(W628&lt;=0.25,W628,'10. Whatif Control pannel'!$B$2)</f>
        <v>0.159</v>
      </c>
      <c r="Z628" s="24">
        <v>17</v>
      </c>
      <c r="AA628" s="13">
        <f>(1+'10. Whatif Control pannel'!$B$10)*Z628</f>
        <v>20.4</v>
      </c>
      <c r="AB628" s="3">
        <f t="shared" si="143"/>
        <v>13983.75273</v>
      </c>
      <c r="AC628" s="3">
        <f t="shared" si="148"/>
        <v>18794.16366912</v>
      </c>
      <c r="AD628" s="3">
        <f t="shared" si="144"/>
        <v>22895.77</v>
      </c>
      <c r="AE628" s="3">
        <f t="shared" si="145"/>
        <v>-8912.01727</v>
      </c>
      <c r="AF628" s="3">
        <f t="shared" si="149"/>
        <v>-4101.60633088</v>
      </c>
      <c r="AG628">
        <f t="shared" si="146"/>
        <v>-0.6373122753294</v>
      </c>
    </row>
    <row r="629" spans="1:33">
      <c r="A629" t="s">
        <v>1354</v>
      </c>
      <c r="B629" s="20">
        <v>45141</v>
      </c>
      <c r="C629" s="2">
        <f t="shared" si="135"/>
        <v>8</v>
      </c>
      <c r="D629" s="21">
        <f t="shared" si="147"/>
        <v>45141</v>
      </c>
      <c r="E629" s="19" t="str">
        <f t="shared" si="136"/>
        <v>Quarter 3</v>
      </c>
      <c r="F629" s="19">
        <v>45168</v>
      </c>
      <c r="G629" s="19">
        <f t="shared" si="137"/>
        <v>45168</v>
      </c>
      <c r="H629" s="22">
        <f t="shared" si="138"/>
        <v>27</v>
      </c>
      <c r="I629" t="str">
        <f t="shared" si="139"/>
        <v>Delayed </v>
      </c>
      <c r="J629" t="s">
        <v>45</v>
      </c>
      <c r="K629" t="s">
        <v>116</v>
      </c>
      <c r="L629" t="s">
        <v>162</v>
      </c>
      <c r="M629" t="s">
        <v>48</v>
      </c>
      <c r="N629" t="s">
        <v>55</v>
      </c>
      <c r="O629" t="s">
        <v>126</v>
      </c>
      <c r="P629" t="s">
        <v>64</v>
      </c>
      <c r="Q629" t="s">
        <v>1355</v>
      </c>
      <c r="R629" s="3">
        <v>226.04</v>
      </c>
      <c r="S629" s="3">
        <v>545.72</v>
      </c>
      <c r="T629" s="3">
        <f t="shared" si="140"/>
        <v>545.72</v>
      </c>
      <c r="U629" s="3">
        <f>(1+'10. Whatif Control pannel'!$B$6)*T629</f>
        <v>611.2064</v>
      </c>
      <c r="V629" s="3" t="str">
        <f t="shared" si="141"/>
        <v>Low</v>
      </c>
      <c r="W629" s="34">
        <v>0.151</v>
      </c>
      <c r="X629" s="24" t="str">
        <f t="shared" si="142"/>
        <v>Okay</v>
      </c>
      <c r="Y629" s="36">
        <f>IF(W629&lt;=0.25,W629,'10. Whatif Control pannel'!$B$2)</f>
        <v>0.151</v>
      </c>
      <c r="Z629" s="24">
        <v>11</v>
      </c>
      <c r="AA629" s="13">
        <f>(1+'10. Whatif Control pannel'!$B$10)*Z629</f>
        <v>13.2</v>
      </c>
      <c r="AB629" s="3">
        <f t="shared" si="143"/>
        <v>5096.47908</v>
      </c>
      <c r="AC629" s="3">
        <f t="shared" si="148"/>
        <v>6849.66788352</v>
      </c>
      <c r="AD629" s="3">
        <f t="shared" si="144"/>
        <v>2486.44</v>
      </c>
      <c r="AE629" s="3">
        <f t="shared" si="145"/>
        <v>2610.03908</v>
      </c>
      <c r="AF629" s="3">
        <f t="shared" si="149"/>
        <v>4363.22788352</v>
      </c>
      <c r="AG629">
        <f t="shared" si="146"/>
        <v>0.51212592831834</v>
      </c>
    </row>
    <row r="630" spans="1:33">
      <c r="A630" t="s">
        <v>1356</v>
      </c>
      <c r="B630" s="20">
        <v>45100</v>
      </c>
      <c r="C630" s="2">
        <f t="shared" si="135"/>
        <v>6</v>
      </c>
      <c r="D630" s="21">
        <f t="shared" si="147"/>
        <v>45100</v>
      </c>
      <c r="E630" s="19" t="str">
        <f t="shared" si="136"/>
        <v>Quarter 2</v>
      </c>
      <c r="F630" s="19">
        <v>45125</v>
      </c>
      <c r="G630" s="19">
        <f t="shared" si="137"/>
        <v>45125</v>
      </c>
      <c r="H630" s="22">
        <f t="shared" si="138"/>
        <v>25</v>
      </c>
      <c r="I630" t="str">
        <f t="shared" si="139"/>
        <v>Delayed </v>
      </c>
      <c r="J630" t="s">
        <v>52</v>
      </c>
      <c r="K630" t="s">
        <v>53</v>
      </c>
      <c r="L630" t="s">
        <v>179</v>
      </c>
      <c r="M630" t="s">
        <v>105</v>
      </c>
      <c r="N630" t="s">
        <v>28</v>
      </c>
      <c r="O630" t="s">
        <v>126</v>
      </c>
      <c r="P630" t="s">
        <v>42</v>
      </c>
      <c r="Q630" t="s">
        <v>1357</v>
      </c>
      <c r="R630" s="3">
        <v>807.02</v>
      </c>
      <c r="S630" s="3">
        <v>1435.54</v>
      </c>
      <c r="T630" s="3">
        <f t="shared" si="140"/>
        <v>1435.54</v>
      </c>
      <c r="U630" s="3">
        <f>(1+'10. Whatif Control pannel'!$B$6)*T630</f>
        <v>1607.8048</v>
      </c>
      <c r="V630" s="3" t="str">
        <f t="shared" si="141"/>
        <v>Medium</v>
      </c>
      <c r="W630" s="34">
        <v>0</v>
      </c>
      <c r="X630" s="24" t="str">
        <f t="shared" si="142"/>
        <v>Okay</v>
      </c>
      <c r="Y630" s="36">
        <f>IF(W630&lt;=0.25,W630,'10. Whatif Control pannel'!$B$2)</f>
        <v>0</v>
      </c>
      <c r="Z630" s="24">
        <v>23</v>
      </c>
      <c r="AA630" s="13">
        <f>(1+'10. Whatif Control pannel'!$B$10)*Z630</f>
        <v>27.6</v>
      </c>
      <c r="AB630" s="3">
        <f t="shared" si="143"/>
        <v>33017.42</v>
      </c>
      <c r="AC630" s="3">
        <f t="shared" si="148"/>
        <v>44375.41248</v>
      </c>
      <c r="AD630" s="3">
        <f t="shared" si="144"/>
        <v>18561.46</v>
      </c>
      <c r="AE630" s="3">
        <f t="shared" si="145"/>
        <v>14455.96</v>
      </c>
      <c r="AF630" s="3">
        <f t="shared" si="149"/>
        <v>25813.95248</v>
      </c>
      <c r="AG630">
        <f t="shared" si="146"/>
        <v>0.437828273680984</v>
      </c>
    </row>
    <row r="631" spans="1:33">
      <c r="A631" t="s">
        <v>1358</v>
      </c>
      <c r="B631" s="20">
        <v>45267</v>
      </c>
      <c r="C631" s="2">
        <f t="shared" si="135"/>
        <v>12</v>
      </c>
      <c r="D631" s="21">
        <f t="shared" si="147"/>
        <v>45267</v>
      </c>
      <c r="E631" s="19" t="str">
        <f t="shared" si="136"/>
        <v>Quarter 4</v>
      </c>
      <c r="F631" s="19">
        <v>45293</v>
      </c>
      <c r="G631" s="19">
        <f t="shared" si="137"/>
        <v>45293</v>
      </c>
      <c r="H631" s="22">
        <f t="shared" si="138"/>
        <v>26</v>
      </c>
      <c r="I631" t="str">
        <f t="shared" si="139"/>
        <v>Delayed </v>
      </c>
      <c r="J631" t="s">
        <v>78</v>
      </c>
      <c r="K631" t="s">
        <v>79</v>
      </c>
      <c r="L631" t="s">
        <v>335</v>
      </c>
      <c r="M631" t="s">
        <v>105</v>
      </c>
      <c r="N631" t="s">
        <v>55</v>
      </c>
      <c r="O631" t="s">
        <v>63</v>
      </c>
      <c r="P631" t="s">
        <v>22</v>
      </c>
      <c r="Q631" t="s">
        <v>1359</v>
      </c>
      <c r="R631" s="3">
        <v>1071.99</v>
      </c>
      <c r="S631" s="3">
        <v>2397.3</v>
      </c>
      <c r="T631" s="3">
        <f t="shared" si="140"/>
        <v>2397.3</v>
      </c>
      <c r="U631" s="3">
        <f>(1+'10. Whatif Control pannel'!$B$6)*T631</f>
        <v>2684.976</v>
      </c>
      <c r="V631" s="3" t="str">
        <f t="shared" si="141"/>
        <v>High</v>
      </c>
      <c r="W631" s="34">
        <v>0.062</v>
      </c>
      <c r="X631" s="24" t="str">
        <f t="shared" si="142"/>
        <v>Okay</v>
      </c>
      <c r="Y631" s="36">
        <f>IF(W631&lt;=0.25,W631,'10. Whatif Control pannel'!$B$2)</f>
        <v>0.062</v>
      </c>
      <c r="Z631" s="24">
        <v>18</v>
      </c>
      <c r="AA631" s="13">
        <f>(1+'10. Whatif Control pannel'!$B$10)*Z631</f>
        <v>21.6</v>
      </c>
      <c r="AB631" s="3">
        <f t="shared" si="143"/>
        <v>40476.0132</v>
      </c>
      <c r="AC631" s="3">
        <f t="shared" si="148"/>
        <v>54399.7617408</v>
      </c>
      <c r="AD631" s="3">
        <f t="shared" si="144"/>
        <v>19295.82</v>
      </c>
      <c r="AE631" s="3">
        <f t="shared" si="145"/>
        <v>21180.1932</v>
      </c>
      <c r="AF631" s="3">
        <f t="shared" si="149"/>
        <v>35103.9417408</v>
      </c>
      <c r="AG631">
        <f t="shared" si="146"/>
        <v>0.523277653244762</v>
      </c>
    </row>
    <row r="632" spans="1:33">
      <c r="A632" t="s">
        <v>1360</v>
      </c>
      <c r="B632" s="20">
        <v>45249</v>
      </c>
      <c r="C632" s="2">
        <f t="shared" si="135"/>
        <v>11</v>
      </c>
      <c r="D632" s="21">
        <f t="shared" si="147"/>
        <v>45249</v>
      </c>
      <c r="E632" s="19" t="str">
        <f t="shared" si="136"/>
        <v>Quarter 4</v>
      </c>
      <c r="F632" s="19">
        <v>45279</v>
      </c>
      <c r="G632" s="19">
        <f t="shared" si="137"/>
        <v>45279</v>
      </c>
      <c r="H632" s="22">
        <f t="shared" si="138"/>
        <v>30</v>
      </c>
      <c r="I632" t="str">
        <f t="shared" si="139"/>
        <v>Delayed </v>
      </c>
      <c r="J632" t="s">
        <v>45</v>
      </c>
      <c r="K632" t="s">
        <v>46</v>
      </c>
      <c r="L632" t="s">
        <v>231</v>
      </c>
      <c r="M632" t="s">
        <v>48</v>
      </c>
      <c r="N632" t="s">
        <v>20</v>
      </c>
      <c r="O632" t="s">
        <v>1442</v>
      </c>
      <c r="P632" t="s">
        <v>42</v>
      </c>
      <c r="Q632" t="s">
        <v>1361</v>
      </c>
      <c r="R632" s="3">
        <v>807.11</v>
      </c>
      <c r="S632" s="3">
        <v>1853.86</v>
      </c>
      <c r="T632" s="3">
        <f t="shared" si="140"/>
        <v>1853.86</v>
      </c>
      <c r="U632" s="3">
        <f>(1+'10. Whatif Control pannel'!$B$6)*T632</f>
        <v>2076.3232</v>
      </c>
      <c r="V632" s="3" t="str">
        <f t="shared" si="141"/>
        <v>High</v>
      </c>
      <c r="W632" s="34">
        <v>0.139</v>
      </c>
      <c r="X632" s="24" t="str">
        <f t="shared" si="142"/>
        <v>Okay</v>
      </c>
      <c r="Y632" s="36">
        <f>IF(W632&lt;=0.25,W632,'10. Whatif Control pannel'!$B$2)</f>
        <v>0.139</v>
      </c>
      <c r="Z632" s="24">
        <v>8</v>
      </c>
      <c r="AA632" s="13">
        <f>(1+'10. Whatif Control pannel'!$B$10)*Z632</f>
        <v>9.6</v>
      </c>
      <c r="AB632" s="3">
        <f t="shared" si="143"/>
        <v>12769.38768</v>
      </c>
      <c r="AC632" s="3">
        <f t="shared" si="148"/>
        <v>17162.05704192</v>
      </c>
      <c r="AD632" s="3">
        <f t="shared" si="144"/>
        <v>6456.88</v>
      </c>
      <c r="AE632" s="3">
        <f t="shared" si="145"/>
        <v>6312.50768</v>
      </c>
      <c r="AF632" s="3">
        <f t="shared" si="149"/>
        <v>10705.17704192</v>
      </c>
      <c r="AG632">
        <f t="shared" si="146"/>
        <v>0.494346936453886</v>
      </c>
    </row>
    <row r="633" spans="1:33">
      <c r="A633" t="s">
        <v>1362</v>
      </c>
      <c r="B633" s="20">
        <v>45716</v>
      </c>
      <c r="C633" s="2">
        <f t="shared" si="135"/>
        <v>2</v>
      </c>
      <c r="D633" s="21">
        <f t="shared" si="147"/>
        <v>45716</v>
      </c>
      <c r="E633" s="19" t="str">
        <f t="shared" si="136"/>
        <v>Quarter 1</v>
      </c>
      <c r="F633" s="19">
        <v>45726</v>
      </c>
      <c r="G633" s="19">
        <f t="shared" si="137"/>
        <v>45726</v>
      </c>
      <c r="H633" s="22">
        <f t="shared" si="138"/>
        <v>10</v>
      </c>
      <c r="I633" t="str">
        <f t="shared" si="139"/>
        <v>Delayed </v>
      </c>
      <c r="J633" t="s">
        <v>45</v>
      </c>
      <c r="K633" t="s">
        <v>46</v>
      </c>
      <c r="L633" t="s">
        <v>47</v>
      </c>
      <c r="M633" t="s">
        <v>27</v>
      </c>
      <c r="N633" t="s">
        <v>55</v>
      </c>
      <c r="O633" t="s">
        <v>126</v>
      </c>
      <c r="P633" t="s">
        <v>57</v>
      </c>
      <c r="Q633" t="s">
        <v>1363</v>
      </c>
      <c r="R633" s="3">
        <v>51.86</v>
      </c>
      <c r="S633" s="3">
        <v>45.98</v>
      </c>
      <c r="T633" s="3">
        <f t="shared" si="140"/>
        <v>45.98</v>
      </c>
      <c r="U633" s="3">
        <f>(1+'10. Whatif Control pannel'!$B$6)*T633</f>
        <v>51.4976</v>
      </c>
      <c r="V633" s="3" t="str">
        <f t="shared" si="141"/>
        <v>Low</v>
      </c>
      <c r="W633" s="34">
        <v>0.173</v>
      </c>
      <c r="X633" s="24" t="str">
        <f t="shared" si="142"/>
        <v>Okay</v>
      </c>
      <c r="Y633" s="36">
        <f>IF(W633&lt;=0.25,W633,'10. Whatif Control pannel'!$B$2)</f>
        <v>0.173</v>
      </c>
      <c r="Z633" s="24">
        <v>7</v>
      </c>
      <c r="AA633" s="13">
        <f>(1+'10. Whatif Control pannel'!$B$10)*Z633</f>
        <v>8.4</v>
      </c>
      <c r="AB633" s="3">
        <f t="shared" si="143"/>
        <v>266.17822</v>
      </c>
      <c r="AC633" s="3">
        <f t="shared" si="148"/>
        <v>357.74352768</v>
      </c>
      <c r="AD633" s="3">
        <f t="shared" si="144"/>
        <v>363.02</v>
      </c>
      <c r="AE633" s="3">
        <f t="shared" si="145"/>
        <v>-96.84178</v>
      </c>
      <c r="AF633" s="3">
        <f t="shared" si="149"/>
        <v>-5.27647231999998</v>
      </c>
      <c r="AG633">
        <f t="shared" si="146"/>
        <v>-0.363823080641234</v>
      </c>
    </row>
    <row r="637" ht="15.5" spans="28:32">
      <c r="AB637" s="37">
        <f>SUM(AB2:AB633)</f>
        <v>11024296.20954</v>
      </c>
      <c r="AC637" s="37">
        <f>SUM(AC2:AC633)</f>
        <v>14886303.1214285</v>
      </c>
      <c r="AE637" s="38">
        <f>SUM(AE2:AE633)</f>
        <v>3496548.49954</v>
      </c>
      <c r="AF637" s="38">
        <f>SUM(AF2:AF633)</f>
        <v>7358555.41142848</v>
      </c>
    </row>
    <row r="638" spans="30:30">
      <c r="AD638" s="3">
        <f>AB637/632</f>
        <v>17443.5066606646</v>
      </c>
    </row>
  </sheetData>
  <sortState ref="A2:AG633">
    <sortCondition ref="AB2:AB633" descending="1"/>
  </sortState>
  <conditionalFormatting sqref="F2">
    <cfRule type="cellIs" dxfId="1083" priority="2" operator="lessThan">
      <formula>$B$2</formula>
    </cfRule>
    <cfRule type="cellIs" dxfId="1083" priority="3" operator="lessThan">
      <formula>$B$2</formula>
    </cfRule>
  </conditionalFormatting>
  <conditionalFormatting sqref="S$1:S$1048576">
    <cfRule type="cellIs" dxfId="1083" priority="4" operator="lessThan">
      <formula>0</formula>
    </cfRule>
  </conditionalFormatting>
  <conditionalFormatting sqref="W2:W633 W634:Y1048576">
    <cfRule type="cellIs" dxfId="1083" priority="1" operator="greaterThan">
      <formula>0.3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61"/>
  <sheetViews>
    <sheetView workbookViewId="0">
      <selection activeCell="A1" sqref="A1"/>
    </sheetView>
  </sheetViews>
  <sheetFormatPr defaultColWidth="8.70909090909091" defaultRowHeight="14.5" outlineLevelCol="2"/>
  <cols>
    <col min="1" max="1" width="11.5727272727273"/>
    <col min="2" max="2" width="15.4272727272727"/>
    <col min="3" max="3" width="13.5727272727273"/>
  </cols>
  <sheetData>
    <row r="3" spans="1:3">
      <c r="A3" t="s">
        <v>3</v>
      </c>
      <c r="B3" t="s">
        <v>4</v>
      </c>
      <c r="C3" t="s">
        <v>5</v>
      </c>
    </row>
    <row r="4" spans="1:1">
      <c r="A4" t="s">
        <v>16</v>
      </c>
    </row>
    <row r="5" spans="2:2">
      <c r="B5" t="s">
        <v>17</v>
      </c>
    </row>
    <row r="6" spans="2:2">
      <c r="B6" t="s">
        <v>25</v>
      </c>
    </row>
    <row r="7" spans="3:3">
      <c r="C7" t="s">
        <v>67</v>
      </c>
    </row>
    <row r="8" spans="3:3">
      <c r="C8" t="s">
        <v>38</v>
      </c>
    </row>
    <row r="9" spans="3:3">
      <c r="C9" t="s">
        <v>26</v>
      </c>
    </row>
    <row r="10" spans="3:3">
      <c r="C10" t="s">
        <v>1443</v>
      </c>
    </row>
    <row r="11" spans="2:2">
      <c r="B11" t="s">
        <v>148</v>
      </c>
    </row>
    <row r="12" spans="3:3">
      <c r="C12" t="s">
        <v>258</v>
      </c>
    </row>
    <row r="13" spans="3:3">
      <c r="C13" t="s">
        <v>172</v>
      </c>
    </row>
    <row r="14" spans="3:3">
      <c r="C14" t="s">
        <v>149</v>
      </c>
    </row>
    <row r="15" spans="1:1">
      <c r="A15" t="s">
        <v>52</v>
      </c>
    </row>
    <row r="16" spans="2:2">
      <c r="B16" t="s">
        <v>73</v>
      </c>
    </row>
    <row r="17" spans="3:3">
      <c r="C17" t="s">
        <v>87</v>
      </c>
    </row>
    <row r="18" spans="3:3">
      <c r="C18" t="s">
        <v>225</v>
      </c>
    </row>
    <row r="19" spans="3:3">
      <c r="C19" t="s">
        <v>74</v>
      </c>
    </row>
    <row r="20" spans="3:3">
      <c r="C20" t="s">
        <v>1443</v>
      </c>
    </row>
    <row r="21" spans="2:2">
      <c r="B21" t="s">
        <v>53</v>
      </c>
    </row>
    <row r="22" spans="3:3">
      <c r="C22" t="s">
        <v>144</v>
      </c>
    </row>
    <row r="23" spans="3:3">
      <c r="C23" t="s">
        <v>54</v>
      </c>
    </row>
    <row r="24" spans="3:3">
      <c r="C24" t="s">
        <v>1443</v>
      </c>
    </row>
    <row r="25" spans="3:3">
      <c r="C25" t="s">
        <v>179</v>
      </c>
    </row>
    <row r="26" spans="2:2">
      <c r="B26" t="s">
        <v>122</v>
      </c>
    </row>
    <row r="27" spans="3:3">
      <c r="C27" t="s">
        <v>326</v>
      </c>
    </row>
    <row r="28" spans="3:3">
      <c r="C28" t="s">
        <v>123</v>
      </c>
    </row>
    <row r="29" spans="3:3">
      <c r="C29" t="s">
        <v>387</v>
      </c>
    </row>
    <row r="30" spans="3:3">
      <c r="C30" t="s">
        <v>167</v>
      </c>
    </row>
    <row r="31" spans="1:1">
      <c r="A31" t="s">
        <v>45</v>
      </c>
    </row>
    <row r="32" spans="2:2">
      <c r="B32" t="s">
        <v>116</v>
      </c>
    </row>
    <row r="33" spans="3:3">
      <c r="C33" t="s">
        <v>338</v>
      </c>
    </row>
    <row r="34" spans="3:3">
      <c r="C34" t="s">
        <v>162</v>
      </c>
    </row>
    <row r="35" spans="3:3">
      <c r="C35" t="s">
        <v>117</v>
      </c>
    </row>
    <row r="36" spans="3:3">
      <c r="C36" t="s">
        <v>1443</v>
      </c>
    </row>
    <row r="37" spans="2:2">
      <c r="B37" t="s">
        <v>60</v>
      </c>
    </row>
    <row r="38" spans="3:3">
      <c r="C38" t="s">
        <v>61</v>
      </c>
    </row>
    <row r="39" spans="3:3">
      <c r="C39" t="s">
        <v>141</v>
      </c>
    </row>
    <row r="40" spans="3:3">
      <c r="C40" t="s">
        <v>281</v>
      </c>
    </row>
    <row r="41" spans="3:3">
      <c r="C41" t="s">
        <v>220</v>
      </c>
    </row>
    <row r="42" spans="3:3">
      <c r="C42" t="s">
        <v>1443</v>
      </c>
    </row>
    <row r="43" spans="2:2">
      <c r="B43" t="s">
        <v>46</v>
      </c>
    </row>
    <row r="44" spans="3:3">
      <c r="C44" t="s">
        <v>231</v>
      </c>
    </row>
    <row r="45" spans="3:3">
      <c r="C45" t="s">
        <v>47</v>
      </c>
    </row>
    <row r="46" spans="3:3">
      <c r="C46" t="s">
        <v>214</v>
      </c>
    </row>
    <row r="47" spans="1:1">
      <c r="A47" t="s">
        <v>78</v>
      </c>
    </row>
    <row r="48" spans="2:2">
      <c r="B48" t="s">
        <v>90</v>
      </c>
    </row>
    <row r="49" spans="3:3">
      <c r="C49" t="s">
        <v>138</v>
      </c>
    </row>
    <row r="50" spans="3:3">
      <c r="C50" t="s">
        <v>91</v>
      </c>
    </row>
    <row r="51" spans="3:3">
      <c r="C51" t="s">
        <v>217</v>
      </c>
    </row>
    <row r="52" spans="2:2">
      <c r="B52" t="s">
        <v>79</v>
      </c>
    </row>
    <row r="53" spans="3:3">
      <c r="C53" t="s">
        <v>80</v>
      </c>
    </row>
    <row r="54" spans="3:3">
      <c r="C54" t="s">
        <v>335</v>
      </c>
    </row>
    <row r="55" spans="3:3">
      <c r="C55" t="s">
        <v>159</v>
      </c>
    </row>
    <row r="56" spans="2:2">
      <c r="B56" t="s">
        <v>108</v>
      </c>
    </row>
    <row r="57" spans="3:3">
      <c r="C57" t="s">
        <v>109</v>
      </c>
    </row>
    <row r="58" spans="3:3">
      <c r="C58" t="s">
        <v>152</v>
      </c>
    </row>
    <row r="59" spans="3:3">
      <c r="C59" t="s">
        <v>228</v>
      </c>
    </row>
    <row r="60" spans="3:3">
      <c r="C60" t="s">
        <v>1443</v>
      </c>
    </row>
    <row r="61" spans="1:1">
      <c r="A61" t="s">
        <v>1444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2"/>
  <sheetViews>
    <sheetView workbookViewId="0">
      <selection activeCell="A1" sqref="A1"/>
    </sheetView>
  </sheetViews>
  <sheetFormatPr defaultColWidth="8.70909090909091" defaultRowHeight="14.5" outlineLevelCol="4"/>
  <cols>
    <col min="1" max="1" width="26.2818181818182" customWidth="1"/>
    <col min="2" max="4" width="20.2818181818182" customWidth="1"/>
    <col min="5" max="5" width="11.2818181818182" customWidth="1"/>
  </cols>
  <sheetData>
    <row r="3" spans="1:2">
      <c r="A3" t="s">
        <v>1445</v>
      </c>
      <c r="B3" t="s">
        <v>1431</v>
      </c>
    </row>
    <row r="4" spans="1:5">
      <c r="A4" t="s">
        <v>9</v>
      </c>
      <c r="B4" t="s">
        <v>1446</v>
      </c>
      <c r="C4" t="s">
        <v>1447</v>
      </c>
      <c r="D4" t="s">
        <v>1448</v>
      </c>
      <c r="E4" t="s">
        <v>1444</v>
      </c>
    </row>
    <row r="5" spans="1:5">
      <c r="A5" t="s">
        <v>81</v>
      </c>
      <c r="B5" s="2">
        <v>25</v>
      </c>
      <c r="C5" s="2">
        <v>32</v>
      </c>
      <c r="D5" s="2">
        <v>31</v>
      </c>
      <c r="E5" s="2">
        <v>88</v>
      </c>
    </row>
    <row r="6" spans="1:5">
      <c r="A6" t="s">
        <v>22</v>
      </c>
      <c r="B6" s="2">
        <v>34</v>
      </c>
      <c r="C6" s="2">
        <v>31</v>
      </c>
      <c r="D6" s="2">
        <v>26</v>
      </c>
      <c r="E6" s="2">
        <v>91</v>
      </c>
    </row>
    <row r="7" spans="1:5">
      <c r="A7" t="s">
        <v>57</v>
      </c>
      <c r="B7" s="2">
        <v>37</v>
      </c>
      <c r="C7" s="2">
        <v>22</v>
      </c>
      <c r="D7" s="2">
        <v>23</v>
      </c>
      <c r="E7" s="2">
        <v>82</v>
      </c>
    </row>
    <row r="8" spans="1:5">
      <c r="A8" t="s">
        <v>64</v>
      </c>
      <c r="B8" s="2">
        <v>25</v>
      </c>
      <c r="C8" s="2">
        <v>35</v>
      </c>
      <c r="D8" s="2">
        <v>34</v>
      </c>
      <c r="E8" s="2">
        <v>94</v>
      </c>
    </row>
    <row r="9" spans="1:5">
      <c r="A9" t="s">
        <v>35</v>
      </c>
      <c r="B9" s="2">
        <v>36</v>
      </c>
      <c r="C9" s="2">
        <v>27</v>
      </c>
      <c r="D9" s="2">
        <v>23</v>
      </c>
      <c r="E9" s="2">
        <v>86</v>
      </c>
    </row>
    <row r="10" spans="1:5">
      <c r="A10" t="s">
        <v>42</v>
      </c>
      <c r="B10" s="2">
        <v>27</v>
      </c>
      <c r="C10" s="2">
        <v>30</v>
      </c>
      <c r="D10" s="2">
        <v>31</v>
      </c>
      <c r="E10" s="2">
        <v>88</v>
      </c>
    </row>
    <row r="11" spans="1:5">
      <c r="A11" t="s">
        <v>30</v>
      </c>
      <c r="B11" s="2">
        <v>25</v>
      </c>
      <c r="C11" s="2">
        <v>42</v>
      </c>
      <c r="D11" s="2">
        <v>36</v>
      </c>
      <c r="E11" s="2">
        <v>103</v>
      </c>
    </row>
    <row r="12" spans="1:5">
      <c r="A12" t="s">
        <v>1444</v>
      </c>
      <c r="B12" s="2">
        <v>209</v>
      </c>
      <c r="C12" s="2">
        <v>219</v>
      </c>
      <c r="D12" s="2">
        <v>204</v>
      </c>
      <c r="E12" s="2">
        <v>632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371"/>
  <sheetViews>
    <sheetView workbookViewId="0">
      <selection activeCell="A1" sqref="A1"/>
    </sheetView>
  </sheetViews>
  <sheetFormatPr defaultColWidth="8.70909090909091" defaultRowHeight="14.5" outlineLevelCol="3"/>
  <cols>
    <col min="1" max="1" width="15.4272727272727"/>
    <col min="2" max="3" width="12.5727272727273"/>
    <col min="4" max="4" width="20.7090909090909" customWidth="1"/>
    <col min="5" max="6" width="21"/>
  </cols>
  <sheetData>
    <row r="3" spans="1:4">
      <c r="A3" t="s">
        <v>4</v>
      </c>
      <c r="B3" t="s">
        <v>1449</v>
      </c>
      <c r="C3" t="s">
        <v>1</v>
      </c>
      <c r="D3" t="s">
        <v>1450</v>
      </c>
    </row>
    <row r="4" spans="1:4">
      <c r="A4" t="s">
        <v>73</v>
      </c>
      <c r="D4" s="3">
        <v>1037432.45522</v>
      </c>
    </row>
    <row r="5" spans="2:4">
      <c r="B5" t="s">
        <v>1451</v>
      </c>
      <c r="D5" s="3"/>
    </row>
    <row r="6" spans="3:4">
      <c r="C6" s="19" t="s">
        <v>1452</v>
      </c>
      <c r="D6" s="3">
        <v>1801.4076</v>
      </c>
    </row>
    <row r="7" spans="3:4">
      <c r="C7" s="19" t="s">
        <v>1453</v>
      </c>
      <c r="D7" s="3">
        <v>24894.43056</v>
      </c>
    </row>
    <row r="8" spans="3:4">
      <c r="C8" s="19" t="s">
        <v>1454</v>
      </c>
      <c r="D8" s="3">
        <v>24523.00672</v>
      </c>
    </row>
    <row r="9" spans="3:4">
      <c r="C9" s="19" t="s">
        <v>1455</v>
      </c>
      <c r="D9" s="3">
        <v>12248.676</v>
      </c>
    </row>
    <row r="10" spans="3:4">
      <c r="C10" s="19" t="s">
        <v>1456</v>
      </c>
      <c r="D10" s="3">
        <v>27194.15204</v>
      </c>
    </row>
    <row r="11" spans="3:4">
      <c r="C11" s="19" t="s">
        <v>1457</v>
      </c>
      <c r="D11" s="3">
        <v>46991.7472</v>
      </c>
    </row>
    <row r="12" spans="3:4">
      <c r="C12" s="19" t="s">
        <v>1458</v>
      </c>
      <c r="D12" s="3">
        <v>93430.7354</v>
      </c>
    </row>
    <row r="13" spans="3:4">
      <c r="C13" s="19" t="s">
        <v>1459</v>
      </c>
      <c r="D13" s="3">
        <v>37330.00275</v>
      </c>
    </row>
    <row r="14" spans="3:4">
      <c r="C14" s="19" t="s">
        <v>1460</v>
      </c>
      <c r="D14" s="3">
        <v>7071.63314</v>
      </c>
    </row>
    <row r="15" spans="3:4">
      <c r="C15" s="19" t="s">
        <v>1461</v>
      </c>
      <c r="D15" s="3">
        <v>16213.6328</v>
      </c>
    </row>
    <row r="16" spans="3:4">
      <c r="C16" s="19" t="s">
        <v>1462</v>
      </c>
      <c r="D16" s="3">
        <v>24161.26311</v>
      </c>
    </row>
    <row r="17" spans="3:4">
      <c r="C17" s="19" t="s">
        <v>1463</v>
      </c>
      <c r="D17" s="3">
        <v>61471.69686</v>
      </c>
    </row>
    <row r="18" spans="2:4">
      <c r="B18" t="s">
        <v>1464</v>
      </c>
      <c r="D18" s="3"/>
    </row>
    <row r="19" spans="3:4">
      <c r="C19" s="19" t="s">
        <v>1452</v>
      </c>
      <c r="D19" s="3">
        <v>8567.3925</v>
      </c>
    </row>
    <row r="20" spans="3:4">
      <c r="C20" s="19" t="s">
        <v>1453</v>
      </c>
      <c r="D20" s="3">
        <v>39239.1979</v>
      </c>
    </row>
    <row r="21" spans="3:4">
      <c r="C21" s="19" t="s">
        <v>1454</v>
      </c>
      <c r="D21" s="3">
        <v>110.1492</v>
      </c>
    </row>
    <row r="22" spans="3:4">
      <c r="C22" s="19" t="s">
        <v>1455</v>
      </c>
      <c r="D22" s="3">
        <v>57491.06256</v>
      </c>
    </row>
    <row r="23" spans="3:4">
      <c r="C23" s="19" t="s">
        <v>1456</v>
      </c>
      <c r="D23" s="3">
        <v>9469.7678</v>
      </c>
    </row>
    <row r="24" spans="3:4">
      <c r="C24" s="19" t="s">
        <v>1457</v>
      </c>
      <c r="D24" s="3">
        <v>41658.52704</v>
      </c>
    </row>
    <row r="25" spans="3:4">
      <c r="C25" s="19" t="s">
        <v>1458</v>
      </c>
      <c r="D25" s="3">
        <v>10937.52</v>
      </c>
    </row>
    <row r="26" spans="3:4">
      <c r="C26" s="19" t="s">
        <v>1459</v>
      </c>
      <c r="D26" s="3">
        <v>41358.42005</v>
      </c>
    </row>
    <row r="27" spans="3:4">
      <c r="C27" s="19" t="s">
        <v>1460</v>
      </c>
      <c r="D27" s="3">
        <v>85419.01786</v>
      </c>
    </row>
    <row r="28" spans="3:4">
      <c r="C28" s="19" t="s">
        <v>1462</v>
      </c>
      <c r="D28" s="3">
        <v>11939.4312</v>
      </c>
    </row>
    <row r="29" spans="2:4">
      <c r="B29" t="s">
        <v>1465</v>
      </c>
      <c r="D29" s="3"/>
    </row>
    <row r="30" spans="3:4">
      <c r="C30" s="19" t="s">
        <v>1452</v>
      </c>
      <c r="D30" s="3">
        <v>22987.3279</v>
      </c>
    </row>
    <row r="31" spans="3:4">
      <c r="C31" s="19" t="s">
        <v>1453</v>
      </c>
      <c r="D31" s="3">
        <v>70563.59211</v>
      </c>
    </row>
    <row r="32" spans="3:4">
      <c r="C32" s="19" t="s">
        <v>1454</v>
      </c>
      <c r="D32" s="3">
        <v>16257.34018</v>
      </c>
    </row>
    <row r="33" spans="3:4">
      <c r="C33" s="19" t="s">
        <v>1455</v>
      </c>
      <c r="D33" s="3">
        <v>68920.10726</v>
      </c>
    </row>
    <row r="34" spans="3:4">
      <c r="C34" s="19" t="s">
        <v>1456</v>
      </c>
      <c r="D34" s="3">
        <v>67158.24476</v>
      </c>
    </row>
    <row r="35" spans="3:4">
      <c r="C35" s="19" t="s">
        <v>1458</v>
      </c>
      <c r="D35" s="3">
        <v>38096.18406</v>
      </c>
    </row>
    <row r="36" spans="3:4">
      <c r="C36" s="19" t="s">
        <v>1459</v>
      </c>
      <c r="D36" s="3">
        <v>45754.74408</v>
      </c>
    </row>
    <row r="37" spans="3:4">
      <c r="C37" s="19" t="s">
        <v>1460</v>
      </c>
      <c r="D37" s="3">
        <v>24172.04458</v>
      </c>
    </row>
    <row r="38" spans="1:4">
      <c r="A38" t="s">
        <v>53</v>
      </c>
      <c r="D38" s="3">
        <v>882622.97854</v>
      </c>
    </row>
    <row r="39" spans="2:4">
      <c r="B39" t="s">
        <v>1451</v>
      </c>
      <c r="D39" s="3"/>
    </row>
    <row r="40" spans="3:4">
      <c r="C40" s="19" t="s">
        <v>1452</v>
      </c>
      <c r="D40" s="3">
        <v>4141.76</v>
      </c>
    </row>
    <row r="41" spans="3:4">
      <c r="C41" s="19" t="s">
        <v>1453</v>
      </c>
      <c r="D41" s="3">
        <v>26150.36432</v>
      </c>
    </row>
    <row r="42" spans="3:4">
      <c r="C42" s="19" t="s">
        <v>1454</v>
      </c>
      <c r="D42" s="3">
        <v>17453.3436</v>
      </c>
    </row>
    <row r="43" spans="3:4">
      <c r="C43" s="19" t="s">
        <v>1455</v>
      </c>
      <c r="D43" s="3">
        <v>15618.84504</v>
      </c>
    </row>
    <row r="44" spans="3:4">
      <c r="C44" s="19" t="s">
        <v>1457</v>
      </c>
      <c r="D44" s="3">
        <v>46226.11952</v>
      </c>
    </row>
    <row r="45" spans="3:4">
      <c r="C45" s="19" t="s">
        <v>1458</v>
      </c>
      <c r="D45" s="3">
        <v>29536.716</v>
      </c>
    </row>
    <row r="46" spans="3:4">
      <c r="C46" s="19" t="s">
        <v>1459</v>
      </c>
      <c r="D46" s="3">
        <v>52625.80416</v>
      </c>
    </row>
    <row r="47" spans="3:4">
      <c r="C47" s="19" t="s">
        <v>1460</v>
      </c>
      <c r="D47" s="3">
        <v>15530.92992</v>
      </c>
    </row>
    <row r="48" spans="3:4">
      <c r="C48" s="19" t="s">
        <v>1461</v>
      </c>
      <c r="D48" s="3">
        <v>27756.432</v>
      </c>
    </row>
    <row r="49" spans="3:4">
      <c r="C49" s="19" t="s">
        <v>1463</v>
      </c>
      <c r="D49" s="3">
        <v>14466.95104</v>
      </c>
    </row>
    <row r="50" spans="2:4">
      <c r="B50" t="s">
        <v>1464</v>
      </c>
      <c r="D50" s="3"/>
    </row>
    <row r="51" spans="3:4">
      <c r="C51" s="19" t="s">
        <v>1452</v>
      </c>
      <c r="D51" s="3">
        <v>19139.59424</v>
      </c>
    </row>
    <row r="52" spans="3:4">
      <c r="C52" s="19" t="s">
        <v>1453</v>
      </c>
      <c r="D52" s="3">
        <v>9774.3888</v>
      </c>
    </row>
    <row r="53" spans="3:4">
      <c r="C53" s="19" t="s">
        <v>1454</v>
      </c>
      <c r="D53" s="3">
        <v>21931.50405</v>
      </c>
    </row>
    <row r="54" spans="3:4">
      <c r="C54" s="19" t="s">
        <v>1456</v>
      </c>
      <c r="D54" s="3">
        <v>17930.49456</v>
      </c>
    </row>
    <row r="55" spans="3:4">
      <c r="C55" s="19" t="s">
        <v>1457</v>
      </c>
      <c r="D55" s="3">
        <v>55516.60351</v>
      </c>
    </row>
    <row r="56" spans="3:4">
      <c r="C56" s="19" t="s">
        <v>1458</v>
      </c>
      <c r="D56" s="3">
        <v>79082.50701</v>
      </c>
    </row>
    <row r="57" spans="3:4">
      <c r="C57" s="19" t="s">
        <v>1459</v>
      </c>
      <c r="D57" s="3">
        <v>7466.3064</v>
      </c>
    </row>
    <row r="58" spans="3:4">
      <c r="C58" s="19" t="s">
        <v>1460</v>
      </c>
      <c r="D58" s="3">
        <v>64160.24544</v>
      </c>
    </row>
    <row r="59" spans="3:4">
      <c r="C59" s="19" t="s">
        <v>1462</v>
      </c>
      <c r="D59" s="3">
        <v>60697.47084</v>
      </c>
    </row>
    <row r="60" spans="3:4">
      <c r="C60" s="19" t="s">
        <v>1463</v>
      </c>
      <c r="D60" s="3">
        <v>20713.04008</v>
      </c>
    </row>
    <row r="61" spans="2:4">
      <c r="B61" t="s">
        <v>1465</v>
      </c>
      <c r="D61" s="3"/>
    </row>
    <row r="62" spans="3:4">
      <c r="C62" s="19" t="s">
        <v>1453</v>
      </c>
      <c r="D62" s="3">
        <v>8128.51875</v>
      </c>
    </row>
    <row r="63" spans="3:4">
      <c r="C63" s="19" t="s">
        <v>1455</v>
      </c>
      <c r="D63" s="3">
        <v>7901.50416</v>
      </c>
    </row>
    <row r="64" spans="3:4">
      <c r="C64" s="19" t="s">
        <v>1456</v>
      </c>
      <c r="D64" s="3">
        <v>76122.5933</v>
      </c>
    </row>
    <row r="65" spans="3:4">
      <c r="C65" s="19" t="s">
        <v>1457</v>
      </c>
      <c r="D65" s="3">
        <v>5335.56555</v>
      </c>
    </row>
    <row r="66" spans="3:4">
      <c r="C66" s="19" t="s">
        <v>1458</v>
      </c>
      <c r="D66" s="3">
        <v>141645.56601</v>
      </c>
    </row>
    <row r="67" spans="3:4">
      <c r="C67" s="19" t="s">
        <v>1459</v>
      </c>
      <c r="D67" s="3">
        <v>24972.288</v>
      </c>
    </row>
    <row r="68" spans="3:4">
      <c r="C68" s="19" t="s">
        <v>1460</v>
      </c>
      <c r="D68" s="3">
        <v>12597.52224</v>
      </c>
    </row>
    <row r="69" spans="1:4">
      <c r="A69" t="s">
        <v>116</v>
      </c>
      <c r="D69" s="3">
        <v>894790.37817</v>
      </c>
    </row>
    <row r="70" spans="2:4">
      <c r="B70" t="s">
        <v>1451</v>
      </c>
      <c r="D70" s="3"/>
    </row>
    <row r="71" spans="3:4">
      <c r="C71" s="19" t="s">
        <v>1452</v>
      </c>
      <c r="D71" s="3">
        <v>11406.96</v>
      </c>
    </row>
    <row r="72" spans="3:4">
      <c r="C72" s="19" t="s">
        <v>1453</v>
      </c>
      <c r="D72" s="3">
        <v>10869.18294</v>
      </c>
    </row>
    <row r="73" spans="3:4">
      <c r="C73" s="19" t="s">
        <v>1454</v>
      </c>
      <c r="D73" s="3">
        <v>13437.30024</v>
      </c>
    </row>
    <row r="74" spans="3:4">
      <c r="C74" s="19" t="s">
        <v>1455</v>
      </c>
      <c r="D74" s="3">
        <v>23379.0112</v>
      </c>
    </row>
    <row r="75" spans="3:4">
      <c r="C75" s="19" t="s">
        <v>1456</v>
      </c>
      <c r="D75" s="3">
        <v>49097.71724</v>
      </c>
    </row>
    <row r="76" spans="3:4">
      <c r="C76" s="19" t="s">
        <v>1457</v>
      </c>
      <c r="D76" s="3">
        <v>5769.2758</v>
      </c>
    </row>
    <row r="77" spans="3:4">
      <c r="C77" s="19" t="s">
        <v>1459</v>
      </c>
      <c r="D77" s="3">
        <v>64096.7353</v>
      </c>
    </row>
    <row r="78" spans="3:4">
      <c r="C78" s="19" t="s">
        <v>1460</v>
      </c>
      <c r="D78" s="3">
        <v>14108.16791</v>
      </c>
    </row>
    <row r="79" spans="3:4">
      <c r="C79" s="19" t="s">
        <v>1461</v>
      </c>
      <c r="D79" s="3">
        <v>62366.33801</v>
      </c>
    </row>
    <row r="80" spans="3:4">
      <c r="C80" s="19" t="s">
        <v>1463</v>
      </c>
      <c r="D80" s="3">
        <v>23668.56</v>
      </c>
    </row>
    <row r="81" spans="2:4">
      <c r="B81" t="s">
        <v>1464</v>
      </c>
      <c r="D81" s="3"/>
    </row>
    <row r="82" spans="3:4">
      <c r="C82" s="19" t="s">
        <v>1453</v>
      </c>
      <c r="D82" s="3">
        <v>79081.56101</v>
      </c>
    </row>
    <row r="83" spans="3:4">
      <c r="C83" s="19" t="s">
        <v>1454</v>
      </c>
      <c r="D83" s="3">
        <v>45749.97568</v>
      </c>
    </row>
    <row r="84" spans="3:4">
      <c r="C84" s="19" t="s">
        <v>1455</v>
      </c>
      <c r="D84" s="3">
        <v>14197.0644</v>
      </c>
    </row>
    <row r="85" spans="3:4">
      <c r="C85" s="19" t="s">
        <v>1457</v>
      </c>
      <c r="D85" s="3">
        <v>70180.55992</v>
      </c>
    </row>
    <row r="86" spans="3:4">
      <c r="C86" s="19" t="s">
        <v>1458</v>
      </c>
      <c r="D86" s="3">
        <v>50774.40656</v>
      </c>
    </row>
    <row r="87" spans="3:4">
      <c r="C87" s="19" t="s">
        <v>1460</v>
      </c>
      <c r="D87" s="3">
        <v>21270.48261</v>
      </c>
    </row>
    <row r="88" spans="3:4">
      <c r="C88" s="19" t="s">
        <v>1461</v>
      </c>
      <c r="D88" s="3">
        <v>68861.97988</v>
      </c>
    </row>
    <row r="89" spans="3:4">
      <c r="C89" s="19" t="s">
        <v>1462</v>
      </c>
      <c r="D89" s="3">
        <v>4071.8</v>
      </c>
    </row>
    <row r="90" spans="3:4">
      <c r="C90" s="19" t="s">
        <v>1463</v>
      </c>
      <c r="D90" s="3">
        <v>77129.27406</v>
      </c>
    </row>
    <row r="91" spans="2:4">
      <c r="B91" t="s">
        <v>1465</v>
      </c>
      <c r="D91" s="3"/>
    </row>
    <row r="92" spans="3:4">
      <c r="C92" s="19" t="s">
        <v>1452</v>
      </c>
      <c r="D92" s="3">
        <v>56274.47408</v>
      </c>
    </row>
    <row r="93" spans="3:4">
      <c r="C93" s="19" t="s">
        <v>1454</v>
      </c>
      <c r="D93" s="3">
        <v>9378.62581</v>
      </c>
    </row>
    <row r="94" spans="3:4">
      <c r="C94" s="19" t="s">
        <v>1456</v>
      </c>
      <c r="D94" s="3">
        <v>9684.8756</v>
      </c>
    </row>
    <row r="95" spans="3:4">
      <c r="C95" s="19" t="s">
        <v>1457</v>
      </c>
      <c r="D95" s="3">
        <v>55548.64698</v>
      </c>
    </row>
    <row r="96" spans="3:4">
      <c r="C96" s="19" t="s">
        <v>1458</v>
      </c>
      <c r="D96" s="3">
        <v>20703.05224</v>
      </c>
    </row>
    <row r="97" spans="3:4">
      <c r="C97" s="19" t="s">
        <v>1459</v>
      </c>
      <c r="D97" s="3">
        <v>33684.3507</v>
      </c>
    </row>
    <row r="98" spans="1:4">
      <c r="A98" t="s">
        <v>90</v>
      </c>
      <c r="D98" s="3">
        <v>821488.83089</v>
      </c>
    </row>
    <row r="99" spans="2:4">
      <c r="B99" t="s">
        <v>1451</v>
      </c>
      <c r="D99" s="3"/>
    </row>
    <row r="100" spans="3:4">
      <c r="C100" s="19" t="s">
        <v>1452</v>
      </c>
      <c r="D100" s="3">
        <v>9847.23586</v>
      </c>
    </row>
    <row r="101" spans="3:4">
      <c r="C101" s="19" t="s">
        <v>1453</v>
      </c>
      <c r="D101" s="3">
        <v>39546.77454</v>
      </c>
    </row>
    <row r="102" spans="3:4">
      <c r="C102" s="19" t="s">
        <v>1455</v>
      </c>
      <c r="D102" s="3">
        <v>40811.05186</v>
      </c>
    </row>
    <row r="103" spans="3:4">
      <c r="C103" s="19" t="s">
        <v>1457</v>
      </c>
      <c r="D103" s="3">
        <v>10388.43</v>
      </c>
    </row>
    <row r="104" spans="3:4">
      <c r="C104" s="19" t="s">
        <v>1458</v>
      </c>
      <c r="D104" s="3">
        <v>60768.60312</v>
      </c>
    </row>
    <row r="105" spans="3:4">
      <c r="C105" s="19" t="s">
        <v>1459</v>
      </c>
      <c r="D105" s="3">
        <v>36549.42926</v>
      </c>
    </row>
    <row r="106" spans="3:4">
      <c r="C106" s="19" t="s">
        <v>1460</v>
      </c>
      <c r="D106" s="3">
        <v>14877.464</v>
      </c>
    </row>
    <row r="107" spans="3:4">
      <c r="C107" s="19" t="s">
        <v>1461</v>
      </c>
      <c r="D107" s="3">
        <v>5159.78936</v>
      </c>
    </row>
    <row r="108" spans="3:4">
      <c r="C108" s="19" t="s">
        <v>1462</v>
      </c>
      <c r="D108" s="3">
        <v>22983.34563</v>
      </c>
    </row>
    <row r="109" spans="3:4">
      <c r="C109" s="19" t="s">
        <v>1463</v>
      </c>
      <c r="D109" s="3">
        <v>28412.10036</v>
      </c>
    </row>
    <row r="110" spans="2:4">
      <c r="B110" t="s">
        <v>1464</v>
      </c>
      <c r="D110" s="3"/>
    </row>
    <row r="111" spans="3:4">
      <c r="C111" s="19" t="s">
        <v>1452</v>
      </c>
      <c r="D111" s="3">
        <v>29263.3614</v>
      </c>
    </row>
    <row r="112" spans="3:4">
      <c r="C112" s="19" t="s">
        <v>1453</v>
      </c>
      <c r="D112" s="3">
        <v>20654.5447</v>
      </c>
    </row>
    <row r="113" spans="3:4">
      <c r="C113" s="19" t="s">
        <v>1454</v>
      </c>
      <c r="D113" s="3">
        <v>45104.9309</v>
      </c>
    </row>
    <row r="114" spans="3:4">
      <c r="C114" s="19" t="s">
        <v>1455</v>
      </c>
      <c r="D114" s="3">
        <v>16219.34496</v>
      </c>
    </row>
    <row r="115" spans="3:4">
      <c r="C115" s="19" t="s">
        <v>1456</v>
      </c>
      <c r="D115" s="3">
        <v>43635.43504</v>
      </c>
    </row>
    <row r="116" spans="3:4">
      <c r="C116" s="19" t="s">
        <v>1458</v>
      </c>
      <c r="D116" s="3">
        <v>27907.42458</v>
      </c>
    </row>
    <row r="117" spans="3:4">
      <c r="C117" s="19" t="s">
        <v>1459</v>
      </c>
      <c r="D117" s="3">
        <v>9189.1635</v>
      </c>
    </row>
    <row r="118" spans="3:4">
      <c r="C118" s="19" t="s">
        <v>1461</v>
      </c>
      <c r="D118" s="3">
        <v>41419.52425</v>
      </c>
    </row>
    <row r="119" spans="3:4">
      <c r="C119" s="19" t="s">
        <v>1462</v>
      </c>
      <c r="D119" s="3">
        <v>67281.05659</v>
      </c>
    </row>
    <row r="120" spans="3:4">
      <c r="C120" s="19" t="s">
        <v>1463</v>
      </c>
      <c r="D120" s="3">
        <v>32011.66652</v>
      </c>
    </row>
    <row r="121" spans="2:4">
      <c r="B121" t="s">
        <v>1465</v>
      </c>
      <c r="D121" s="3"/>
    </row>
    <row r="122" spans="3:4">
      <c r="C122" s="19" t="s">
        <v>1452</v>
      </c>
      <c r="D122" s="3">
        <v>20050.10204</v>
      </c>
    </row>
    <row r="123" spans="3:4">
      <c r="C123" s="19" t="s">
        <v>1453</v>
      </c>
      <c r="D123" s="3">
        <v>12040.64352</v>
      </c>
    </row>
    <row r="124" spans="3:4">
      <c r="C124" s="19" t="s">
        <v>1455</v>
      </c>
      <c r="D124" s="3">
        <v>33208.3254</v>
      </c>
    </row>
    <row r="125" spans="3:4">
      <c r="C125" s="19" t="s">
        <v>1456</v>
      </c>
      <c r="D125" s="3">
        <v>5331.6696</v>
      </c>
    </row>
    <row r="126" spans="3:4">
      <c r="C126" s="19" t="s">
        <v>1457</v>
      </c>
      <c r="D126" s="3">
        <v>80627.5009</v>
      </c>
    </row>
    <row r="127" spans="3:4">
      <c r="C127" s="19" t="s">
        <v>1459</v>
      </c>
      <c r="D127" s="3">
        <v>68199.913</v>
      </c>
    </row>
    <row r="128" spans="1:4">
      <c r="A128" t="s">
        <v>79</v>
      </c>
      <c r="D128" s="3">
        <v>929424.88822</v>
      </c>
    </row>
    <row r="129" spans="2:4">
      <c r="B129" t="s">
        <v>1451</v>
      </c>
      <c r="D129" s="3"/>
    </row>
    <row r="130" spans="3:4">
      <c r="C130" s="19" t="s">
        <v>1452</v>
      </c>
      <c r="D130" s="3">
        <v>13921.50614</v>
      </c>
    </row>
    <row r="131" spans="3:4">
      <c r="C131" s="19" t="s">
        <v>1453</v>
      </c>
      <c r="D131" s="3">
        <v>142962.67473</v>
      </c>
    </row>
    <row r="132" spans="3:4">
      <c r="C132" s="19" t="s">
        <v>1454</v>
      </c>
      <c r="D132" s="3">
        <v>6271.3802</v>
      </c>
    </row>
    <row r="133" spans="3:4">
      <c r="C133" s="19" t="s">
        <v>1455</v>
      </c>
      <c r="D133" s="3">
        <v>104633.05091</v>
      </c>
    </row>
    <row r="134" spans="3:4">
      <c r="C134" s="19" t="s">
        <v>1456</v>
      </c>
      <c r="D134" s="3">
        <v>17964.4038</v>
      </c>
    </row>
    <row r="135" spans="3:4">
      <c r="C135" s="19" t="s">
        <v>1457</v>
      </c>
      <c r="D135" s="3">
        <v>5189.8836</v>
      </c>
    </row>
    <row r="136" spans="3:4">
      <c r="C136" s="19" t="s">
        <v>1458</v>
      </c>
      <c r="D136" s="3">
        <v>14114.0685</v>
      </c>
    </row>
    <row r="137" spans="3:4">
      <c r="C137" s="19" t="s">
        <v>1459</v>
      </c>
      <c r="D137" s="3">
        <v>215.1984</v>
      </c>
    </row>
    <row r="138" spans="3:4">
      <c r="C138" s="19" t="s">
        <v>1462</v>
      </c>
      <c r="D138" s="3">
        <v>7643.265</v>
      </c>
    </row>
    <row r="139" spans="3:4">
      <c r="C139" s="19" t="s">
        <v>1463</v>
      </c>
      <c r="D139" s="3">
        <v>56963.24101</v>
      </c>
    </row>
    <row r="140" spans="2:4">
      <c r="B140" t="s">
        <v>1464</v>
      </c>
      <c r="D140" s="3"/>
    </row>
    <row r="141" spans="3:4">
      <c r="C141" s="19" t="s">
        <v>1452</v>
      </c>
      <c r="D141" s="3">
        <v>41020.90964</v>
      </c>
    </row>
    <row r="142" spans="3:4">
      <c r="C142" s="19" t="s">
        <v>1453</v>
      </c>
      <c r="D142" s="3">
        <v>321.93291</v>
      </c>
    </row>
    <row r="143" spans="3:4">
      <c r="C143" s="19" t="s">
        <v>1454</v>
      </c>
      <c r="D143" s="3">
        <v>68292.72801</v>
      </c>
    </row>
    <row r="144" spans="3:4">
      <c r="C144" s="19" t="s">
        <v>1455</v>
      </c>
      <c r="D144" s="3">
        <v>37482.3456</v>
      </c>
    </row>
    <row r="145" spans="3:4">
      <c r="C145" s="19" t="s">
        <v>1456</v>
      </c>
      <c r="D145" s="3">
        <v>32187.98828</v>
      </c>
    </row>
    <row r="146" spans="3:4">
      <c r="C146" s="19" t="s">
        <v>1457</v>
      </c>
      <c r="D146" s="3">
        <v>65111.38614</v>
      </c>
    </row>
    <row r="147" spans="3:4">
      <c r="C147" s="19" t="s">
        <v>1459</v>
      </c>
      <c r="D147" s="3">
        <v>47066.84385</v>
      </c>
    </row>
    <row r="148" spans="3:4">
      <c r="C148" s="19" t="s">
        <v>1462</v>
      </c>
      <c r="D148" s="3">
        <v>12955.82475</v>
      </c>
    </row>
    <row r="149" spans="3:4">
      <c r="C149" s="19" t="s">
        <v>1463</v>
      </c>
      <c r="D149" s="3">
        <v>78869.29364</v>
      </c>
    </row>
    <row r="150" spans="2:4">
      <c r="B150" t="s">
        <v>1465</v>
      </c>
      <c r="D150" s="3"/>
    </row>
    <row r="151" spans="3:4">
      <c r="C151" s="19" t="s">
        <v>1453</v>
      </c>
      <c r="D151" s="3">
        <v>30546.06804</v>
      </c>
    </row>
    <row r="152" spans="3:4">
      <c r="C152" s="19" t="s">
        <v>1454</v>
      </c>
      <c r="D152" s="3">
        <v>16870.41978</v>
      </c>
    </row>
    <row r="153" spans="3:4">
      <c r="C153" s="19" t="s">
        <v>1455</v>
      </c>
      <c r="D153" s="3">
        <v>5810.48446</v>
      </c>
    </row>
    <row r="154" spans="3:4">
      <c r="C154" s="19" t="s">
        <v>1456</v>
      </c>
      <c r="D154" s="3">
        <v>10666.22942</v>
      </c>
    </row>
    <row r="155" spans="3:4">
      <c r="C155" s="19" t="s">
        <v>1457</v>
      </c>
      <c r="D155" s="3">
        <v>56166.98361</v>
      </c>
    </row>
    <row r="156" spans="3:4">
      <c r="C156" s="19" t="s">
        <v>1459</v>
      </c>
      <c r="D156" s="3">
        <v>56176.7778</v>
      </c>
    </row>
    <row r="157" spans="1:4">
      <c r="A157" t="s">
        <v>60</v>
      </c>
      <c r="D157" s="3">
        <v>1091932.64678</v>
      </c>
    </row>
    <row r="158" spans="2:4">
      <c r="B158" t="s">
        <v>1451</v>
      </c>
      <c r="D158" s="3"/>
    </row>
    <row r="159" spans="3:4">
      <c r="C159" s="19" t="s">
        <v>1452</v>
      </c>
      <c r="D159" s="3">
        <v>26759.28775</v>
      </c>
    </row>
    <row r="160" spans="3:4">
      <c r="C160" s="19" t="s">
        <v>1453</v>
      </c>
      <c r="D160" s="3">
        <v>22044.8715</v>
      </c>
    </row>
    <row r="161" spans="3:4">
      <c r="C161" s="19" t="s">
        <v>1454</v>
      </c>
      <c r="D161" s="3">
        <v>6631.64431</v>
      </c>
    </row>
    <row r="162" spans="3:4">
      <c r="C162" s="19" t="s">
        <v>1455</v>
      </c>
      <c r="D162" s="3">
        <v>32506.5594</v>
      </c>
    </row>
    <row r="163" spans="3:4">
      <c r="C163" s="19" t="s">
        <v>1456</v>
      </c>
      <c r="D163" s="3">
        <v>249678.13582</v>
      </c>
    </row>
    <row r="164" spans="3:4">
      <c r="C164" s="19" t="s">
        <v>1457</v>
      </c>
      <c r="D164" s="3">
        <v>4577.148</v>
      </c>
    </row>
    <row r="165" spans="3:4">
      <c r="C165" s="19" t="s">
        <v>1458</v>
      </c>
      <c r="D165" s="3">
        <v>12462.65055</v>
      </c>
    </row>
    <row r="166" spans="3:4">
      <c r="C166" s="19" t="s">
        <v>1459</v>
      </c>
      <c r="D166" s="3">
        <v>7105.3528</v>
      </c>
    </row>
    <row r="167" spans="3:4">
      <c r="C167" s="19" t="s">
        <v>1460</v>
      </c>
      <c r="D167" s="3">
        <v>42824.19699</v>
      </c>
    </row>
    <row r="168" spans="3:4">
      <c r="C168" s="19" t="s">
        <v>1461</v>
      </c>
      <c r="D168" s="3">
        <v>34805.04055</v>
      </c>
    </row>
    <row r="169" spans="3:4">
      <c r="C169" s="19" t="s">
        <v>1462</v>
      </c>
      <c r="D169" s="3">
        <v>39388.5739</v>
      </c>
    </row>
    <row r="170" spans="3:4">
      <c r="C170" s="19" t="s">
        <v>1463</v>
      </c>
      <c r="D170" s="3">
        <v>35984.63681</v>
      </c>
    </row>
    <row r="171" spans="2:4">
      <c r="B171" t="s">
        <v>1464</v>
      </c>
      <c r="D171" s="3"/>
    </row>
    <row r="172" spans="3:4">
      <c r="C172" s="19" t="s">
        <v>1452</v>
      </c>
      <c r="D172" s="3">
        <v>33792.86632</v>
      </c>
    </row>
    <row r="173" spans="3:4">
      <c r="C173" s="19" t="s">
        <v>1453</v>
      </c>
      <c r="D173" s="3">
        <v>24305.88286</v>
      </c>
    </row>
    <row r="174" spans="3:4">
      <c r="C174" s="19" t="s">
        <v>1454</v>
      </c>
      <c r="D174" s="3">
        <v>12668.50728</v>
      </c>
    </row>
    <row r="175" spans="3:4">
      <c r="C175" s="19" t="s">
        <v>1456</v>
      </c>
      <c r="D175" s="3">
        <v>35554.10024</v>
      </c>
    </row>
    <row r="176" spans="3:4">
      <c r="C176" s="19" t="s">
        <v>1457</v>
      </c>
      <c r="D176" s="3">
        <v>31513.42304</v>
      </c>
    </row>
    <row r="177" spans="3:4">
      <c r="C177" s="19" t="s">
        <v>1458</v>
      </c>
      <c r="D177" s="3">
        <v>30229.99488</v>
      </c>
    </row>
    <row r="178" spans="3:4">
      <c r="C178" s="19" t="s">
        <v>1459</v>
      </c>
      <c r="D178" s="3">
        <v>43785.68778</v>
      </c>
    </row>
    <row r="179" spans="3:4">
      <c r="C179" s="19" t="s">
        <v>1460</v>
      </c>
      <c r="D179" s="3">
        <v>20028.78738</v>
      </c>
    </row>
    <row r="180" spans="3:4">
      <c r="C180" s="19" t="s">
        <v>1461</v>
      </c>
      <c r="D180" s="3">
        <v>599.532</v>
      </c>
    </row>
    <row r="181" spans="3:4">
      <c r="C181" s="19" t="s">
        <v>1462</v>
      </c>
      <c r="D181" s="3">
        <v>91856.86925</v>
      </c>
    </row>
    <row r="182" spans="3:4">
      <c r="C182" s="19" t="s">
        <v>1463</v>
      </c>
      <c r="D182" s="3">
        <v>40695.91504</v>
      </c>
    </row>
    <row r="183" spans="2:4">
      <c r="B183" t="s">
        <v>1465</v>
      </c>
      <c r="D183" s="3"/>
    </row>
    <row r="184" spans="3:4">
      <c r="C184" s="19" t="s">
        <v>1452</v>
      </c>
      <c r="D184" s="3">
        <v>33308.55</v>
      </c>
    </row>
    <row r="185" spans="3:4">
      <c r="C185" s="19" t="s">
        <v>1453</v>
      </c>
      <c r="D185" s="3">
        <v>7120.64864</v>
      </c>
    </row>
    <row r="186" spans="3:4">
      <c r="C186" s="19" t="s">
        <v>1454</v>
      </c>
      <c r="D186" s="3">
        <v>24075.08982</v>
      </c>
    </row>
    <row r="187" spans="3:4">
      <c r="C187" s="19" t="s">
        <v>1455</v>
      </c>
      <c r="D187" s="3">
        <v>4856.35725</v>
      </c>
    </row>
    <row r="188" spans="3:4">
      <c r="C188" s="19" t="s">
        <v>1456</v>
      </c>
      <c r="D188" s="3">
        <v>62421.22464</v>
      </c>
    </row>
    <row r="189" spans="3:4">
      <c r="C189" s="19" t="s">
        <v>1457</v>
      </c>
      <c r="D189" s="3">
        <v>39717.1441</v>
      </c>
    </row>
    <row r="190" spans="3:4">
      <c r="C190" s="19" t="s">
        <v>1459</v>
      </c>
      <c r="D190" s="3">
        <v>11006.64756</v>
      </c>
    </row>
    <row r="191" spans="3:4">
      <c r="C191" s="19" t="s">
        <v>1460</v>
      </c>
      <c r="D191" s="3">
        <v>29627.32032</v>
      </c>
    </row>
    <row r="192" spans="1:4">
      <c r="A192" t="s">
        <v>46</v>
      </c>
      <c r="D192" s="3">
        <v>854748.8927</v>
      </c>
    </row>
    <row r="193" spans="2:4">
      <c r="B193" t="s">
        <v>1451</v>
      </c>
      <c r="D193" s="3"/>
    </row>
    <row r="194" spans="3:4">
      <c r="C194" s="19" t="s">
        <v>1454</v>
      </c>
      <c r="D194" s="3">
        <v>31024.83872</v>
      </c>
    </row>
    <row r="195" spans="3:4">
      <c r="C195" s="19" t="s">
        <v>1455</v>
      </c>
      <c r="D195" s="3">
        <v>21196.91325</v>
      </c>
    </row>
    <row r="196" spans="3:4">
      <c r="C196" s="19" t="s">
        <v>1456</v>
      </c>
      <c r="D196" s="3">
        <v>9062.34692</v>
      </c>
    </row>
    <row r="197" spans="3:4">
      <c r="C197" s="19" t="s">
        <v>1457</v>
      </c>
      <c r="D197" s="3">
        <v>4603.08244</v>
      </c>
    </row>
    <row r="198" spans="3:4">
      <c r="C198" s="19" t="s">
        <v>1458</v>
      </c>
      <c r="D198" s="3">
        <v>32142.11353</v>
      </c>
    </row>
    <row r="199" spans="3:4">
      <c r="C199" s="19" t="s">
        <v>1460</v>
      </c>
      <c r="D199" s="3">
        <v>31130.74183</v>
      </c>
    </row>
    <row r="200" spans="3:4">
      <c r="C200" s="19" t="s">
        <v>1461</v>
      </c>
      <c r="D200" s="3">
        <v>14527.7484</v>
      </c>
    </row>
    <row r="201" spans="3:4">
      <c r="C201" s="19" t="s">
        <v>1462</v>
      </c>
      <c r="D201" s="3">
        <v>14268.60768</v>
      </c>
    </row>
    <row r="202" spans="3:4">
      <c r="C202" s="19" t="s">
        <v>1463</v>
      </c>
      <c r="D202" s="3">
        <v>38506.52882</v>
      </c>
    </row>
    <row r="203" spans="2:4">
      <c r="B203" t="s">
        <v>1464</v>
      </c>
      <c r="D203" s="3"/>
    </row>
    <row r="204" spans="3:4">
      <c r="C204" s="19" t="s">
        <v>1452</v>
      </c>
      <c r="D204" s="3">
        <v>67110.66642</v>
      </c>
    </row>
    <row r="205" spans="3:4">
      <c r="C205" s="19" t="s">
        <v>1453</v>
      </c>
      <c r="D205" s="3">
        <v>15253.0698</v>
      </c>
    </row>
    <row r="206" spans="3:4">
      <c r="C206" s="19" t="s">
        <v>1456</v>
      </c>
      <c r="D206" s="3">
        <v>14287.89635</v>
      </c>
    </row>
    <row r="207" spans="3:4">
      <c r="C207" s="19" t="s">
        <v>1457</v>
      </c>
      <c r="D207" s="3">
        <v>68665.57425</v>
      </c>
    </row>
    <row r="208" spans="3:4">
      <c r="C208" s="19" t="s">
        <v>1458</v>
      </c>
      <c r="D208" s="3">
        <v>23449.8335</v>
      </c>
    </row>
    <row r="209" spans="3:4">
      <c r="C209" s="19" t="s">
        <v>1459</v>
      </c>
      <c r="D209" s="3">
        <v>82602.5505</v>
      </c>
    </row>
    <row r="210" spans="3:4">
      <c r="C210" s="19" t="s">
        <v>1460</v>
      </c>
      <c r="D210" s="3">
        <v>50582.70561</v>
      </c>
    </row>
    <row r="211" spans="3:4">
      <c r="C211" s="19" t="s">
        <v>1461</v>
      </c>
      <c r="D211" s="3">
        <v>29808.42496</v>
      </c>
    </row>
    <row r="212" spans="3:4">
      <c r="C212" s="19" t="s">
        <v>1463</v>
      </c>
      <c r="D212" s="3">
        <v>18641.22216</v>
      </c>
    </row>
    <row r="213" spans="2:4">
      <c r="B213" t="s">
        <v>1465</v>
      </c>
      <c r="D213" s="3"/>
    </row>
    <row r="214" spans="3:4">
      <c r="C214" s="19" t="s">
        <v>1452</v>
      </c>
      <c r="D214" s="3">
        <v>15705.4642</v>
      </c>
    </row>
    <row r="215" spans="3:4">
      <c r="C215" s="19" t="s">
        <v>1453</v>
      </c>
      <c r="D215" s="3">
        <v>7955.63422</v>
      </c>
    </row>
    <row r="216" spans="3:4">
      <c r="C216" s="19" t="s">
        <v>1454</v>
      </c>
      <c r="D216" s="3">
        <v>49494.31898</v>
      </c>
    </row>
    <row r="217" spans="3:4">
      <c r="C217" s="19" t="s">
        <v>1455</v>
      </c>
      <c r="D217" s="3">
        <v>20606.46444</v>
      </c>
    </row>
    <row r="218" spans="3:4">
      <c r="C218" s="19" t="s">
        <v>1456</v>
      </c>
      <c r="D218" s="3">
        <v>63856.50682</v>
      </c>
    </row>
    <row r="219" spans="3:4">
      <c r="C219" s="19" t="s">
        <v>1457</v>
      </c>
      <c r="D219" s="3">
        <v>11984.89125</v>
      </c>
    </row>
    <row r="220" spans="3:4">
      <c r="C220" s="19" t="s">
        <v>1458</v>
      </c>
      <c r="D220" s="3">
        <v>9315.49741</v>
      </c>
    </row>
    <row r="221" spans="3:4">
      <c r="C221" s="19" t="s">
        <v>1459</v>
      </c>
      <c r="D221" s="3">
        <v>34082.86464</v>
      </c>
    </row>
    <row r="222" spans="3:4">
      <c r="C222" s="19" t="s">
        <v>1460</v>
      </c>
      <c r="D222" s="3">
        <v>74882.3856</v>
      </c>
    </row>
    <row r="223" spans="1:4">
      <c r="A223" t="s">
        <v>17</v>
      </c>
      <c r="D223" s="3">
        <v>951072.70541</v>
      </c>
    </row>
    <row r="224" spans="2:4">
      <c r="B224" t="s">
        <v>1451</v>
      </c>
      <c r="D224" s="3"/>
    </row>
    <row r="225" spans="3:4">
      <c r="C225" s="19" t="s">
        <v>1452</v>
      </c>
      <c r="D225" s="3">
        <v>47962.71758</v>
      </c>
    </row>
    <row r="226" spans="3:4">
      <c r="C226" s="19" t="s">
        <v>1453</v>
      </c>
      <c r="D226" s="3">
        <v>18028.44372</v>
      </c>
    </row>
    <row r="227" spans="3:4">
      <c r="C227" s="19" t="s">
        <v>1454</v>
      </c>
      <c r="D227" s="3">
        <v>70602.92779</v>
      </c>
    </row>
    <row r="228" spans="3:4">
      <c r="C228" s="19" t="s">
        <v>1455</v>
      </c>
      <c r="D228" s="3">
        <v>11003.7672</v>
      </c>
    </row>
    <row r="229" spans="3:4">
      <c r="C229" s="19" t="s">
        <v>1456</v>
      </c>
      <c r="D229" s="3">
        <v>10946.71173</v>
      </c>
    </row>
    <row r="230" spans="3:4">
      <c r="C230" s="19" t="s">
        <v>1457</v>
      </c>
      <c r="D230" s="3">
        <v>3799.80315</v>
      </c>
    </row>
    <row r="231" spans="3:4">
      <c r="C231" s="19" t="s">
        <v>1458</v>
      </c>
      <c r="D231" s="3">
        <v>36649.8084</v>
      </c>
    </row>
    <row r="232" spans="3:4">
      <c r="C232" s="19" t="s">
        <v>1459</v>
      </c>
      <c r="D232" s="3">
        <v>667.74</v>
      </c>
    </row>
    <row r="233" spans="3:4">
      <c r="C233" s="19" t="s">
        <v>1460</v>
      </c>
      <c r="D233" s="3">
        <v>1030.7574</v>
      </c>
    </row>
    <row r="234" spans="3:4">
      <c r="C234" s="19" t="s">
        <v>1461</v>
      </c>
      <c r="D234" s="3">
        <v>38264.5104</v>
      </c>
    </row>
    <row r="235" spans="3:4">
      <c r="C235" s="19" t="s">
        <v>1463</v>
      </c>
      <c r="D235" s="3">
        <v>16061.97288</v>
      </c>
    </row>
    <row r="236" spans="2:4">
      <c r="B236" t="s">
        <v>1464</v>
      </c>
      <c r="D236" s="3"/>
    </row>
    <row r="237" spans="3:4">
      <c r="C237" s="19" t="s">
        <v>1453</v>
      </c>
      <c r="D237" s="3">
        <v>66852.12896</v>
      </c>
    </row>
    <row r="238" spans="3:4">
      <c r="C238" s="19" t="s">
        <v>1454</v>
      </c>
      <c r="D238" s="3">
        <v>4866.3288</v>
      </c>
    </row>
    <row r="239" spans="3:4">
      <c r="C239" s="19" t="s">
        <v>1455</v>
      </c>
      <c r="D239" s="3">
        <v>24447.95865</v>
      </c>
    </row>
    <row r="240" spans="3:4">
      <c r="C240" s="19" t="s">
        <v>1456</v>
      </c>
      <c r="D240" s="3">
        <v>13108.78584</v>
      </c>
    </row>
    <row r="241" spans="3:4">
      <c r="C241" s="19" t="s">
        <v>1457</v>
      </c>
      <c r="D241" s="3">
        <v>181608.69624</v>
      </c>
    </row>
    <row r="242" spans="3:4">
      <c r="C242" s="19" t="s">
        <v>1458</v>
      </c>
      <c r="D242" s="3">
        <v>27763.01822</v>
      </c>
    </row>
    <row r="243" spans="3:4">
      <c r="C243" s="19" t="s">
        <v>1459</v>
      </c>
      <c r="D243" s="3">
        <v>3823.61516</v>
      </c>
    </row>
    <row r="244" spans="3:4">
      <c r="C244" s="19" t="s">
        <v>1460</v>
      </c>
      <c r="D244" s="3">
        <v>52863.98113</v>
      </c>
    </row>
    <row r="245" spans="3:4">
      <c r="C245" s="19" t="s">
        <v>1461</v>
      </c>
      <c r="D245" s="3">
        <v>50650.006</v>
      </c>
    </row>
    <row r="246" spans="3:4">
      <c r="C246" s="19" t="s">
        <v>1462</v>
      </c>
      <c r="D246" s="3">
        <v>123535.74428</v>
      </c>
    </row>
    <row r="247" spans="2:4">
      <c r="B247" t="s">
        <v>1465</v>
      </c>
      <c r="D247" s="3"/>
    </row>
    <row r="248" spans="3:4">
      <c r="C248" s="19" t="s">
        <v>1452</v>
      </c>
      <c r="D248" s="3">
        <v>52609.06584</v>
      </c>
    </row>
    <row r="249" spans="3:4">
      <c r="C249" s="19" t="s">
        <v>1453</v>
      </c>
      <c r="D249" s="3">
        <v>15860.78208</v>
      </c>
    </row>
    <row r="250" spans="3:4">
      <c r="C250" s="19" t="s">
        <v>1454</v>
      </c>
      <c r="D250" s="3">
        <v>13669.81</v>
      </c>
    </row>
    <row r="251" spans="3:4">
      <c r="C251" s="19" t="s">
        <v>1455</v>
      </c>
      <c r="D251" s="3">
        <v>17731.623</v>
      </c>
    </row>
    <row r="252" spans="3:4">
      <c r="C252" s="19" t="s">
        <v>1456</v>
      </c>
      <c r="D252" s="3">
        <v>4569.8508</v>
      </c>
    </row>
    <row r="253" spans="3:4">
      <c r="C253" s="19" t="s">
        <v>1458</v>
      </c>
      <c r="D253" s="3">
        <v>17867.21916</v>
      </c>
    </row>
    <row r="254" spans="3:4">
      <c r="C254" s="19" t="s">
        <v>1459</v>
      </c>
      <c r="D254" s="3">
        <v>15174.4257</v>
      </c>
    </row>
    <row r="255" spans="3:4">
      <c r="C255" s="19" t="s">
        <v>1460</v>
      </c>
      <c r="D255" s="3">
        <v>9050.5053</v>
      </c>
    </row>
    <row r="256" spans="1:4">
      <c r="A256" t="s">
        <v>25</v>
      </c>
      <c r="D256" s="3">
        <v>881838.67691</v>
      </c>
    </row>
    <row r="257" spans="2:4">
      <c r="B257" t="s">
        <v>1451</v>
      </c>
      <c r="D257" s="3"/>
    </row>
    <row r="258" spans="3:4">
      <c r="C258" s="19" t="s">
        <v>1452</v>
      </c>
      <c r="D258" s="3">
        <v>685.06776</v>
      </c>
    </row>
    <row r="259" spans="3:4">
      <c r="C259" s="19" t="s">
        <v>1453</v>
      </c>
      <c r="D259" s="3">
        <v>4737.21984</v>
      </c>
    </row>
    <row r="260" spans="3:4">
      <c r="C260" s="19" t="s">
        <v>1455</v>
      </c>
      <c r="D260" s="3">
        <v>32280.32474</v>
      </c>
    </row>
    <row r="261" spans="3:4">
      <c r="C261" s="19" t="s">
        <v>1456</v>
      </c>
      <c r="D261" s="3">
        <v>43539.23314</v>
      </c>
    </row>
    <row r="262" spans="3:4">
      <c r="C262" s="19" t="s">
        <v>1457</v>
      </c>
      <c r="D262" s="3">
        <v>7135.57</v>
      </c>
    </row>
    <row r="263" spans="3:4">
      <c r="C263" s="19" t="s">
        <v>1458</v>
      </c>
      <c r="D263" s="3">
        <v>112088.8161</v>
      </c>
    </row>
    <row r="264" spans="3:4">
      <c r="C264" s="19" t="s">
        <v>1459</v>
      </c>
      <c r="D264" s="3">
        <v>24833.09752</v>
      </c>
    </row>
    <row r="265" spans="3:4">
      <c r="C265" s="19" t="s">
        <v>1461</v>
      </c>
      <c r="D265" s="3">
        <v>10786.32144</v>
      </c>
    </row>
    <row r="266" spans="3:4">
      <c r="C266" s="19" t="s">
        <v>1463</v>
      </c>
      <c r="D266" s="3">
        <v>27158.89408</v>
      </c>
    </row>
    <row r="267" spans="2:4">
      <c r="B267" t="s">
        <v>1464</v>
      </c>
      <c r="D267" s="3"/>
    </row>
    <row r="268" spans="3:4">
      <c r="C268" s="19" t="s">
        <v>1454</v>
      </c>
      <c r="D268" s="3">
        <v>28041.02492</v>
      </c>
    </row>
    <row r="269" spans="3:4">
      <c r="C269" s="19" t="s">
        <v>1455</v>
      </c>
      <c r="D269" s="3">
        <v>48850.80702</v>
      </c>
    </row>
    <row r="270" spans="3:4">
      <c r="C270" s="19" t="s">
        <v>1456</v>
      </c>
      <c r="D270" s="3">
        <v>68626.65204</v>
      </c>
    </row>
    <row r="271" spans="3:4">
      <c r="C271" s="19" t="s">
        <v>1457</v>
      </c>
      <c r="D271" s="3">
        <v>15009.0567</v>
      </c>
    </row>
    <row r="272" spans="3:4">
      <c r="C272" s="19" t="s">
        <v>1460</v>
      </c>
      <c r="D272" s="3">
        <v>2879.9836</v>
      </c>
    </row>
    <row r="273" spans="3:4">
      <c r="C273" s="19" t="s">
        <v>1461</v>
      </c>
      <c r="D273" s="3">
        <v>100069.71684</v>
      </c>
    </row>
    <row r="274" spans="3:4">
      <c r="C274" s="19" t="s">
        <v>1463</v>
      </c>
      <c r="D274" s="3">
        <v>12967.95864</v>
      </c>
    </row>
    <row r="275" spans="2:4">
      <c r="B275" t="s">
        <v>1465</v>
      </c>
      <c r="D275" s="3"/>
    </row>
    <row r="276" spans="3:4">
      <c r="C276" s="19" t="s">
        <v>1453</v>
      </c>
      <c r="D276" s="3">
        <v>23687.57601</v>
      </c>
    </row>
    <row r="277" spans="3:4">
      <c r="C277" s="19" t="s">
        <v>1454</v>
      </c>
      <c r="D277" s="3">
        <v>52727.97646</v>
      </c>
    </row>
    <row r="278" spans="3:4">
      <c r="C278" s="19" t="s">
        <v>1455</v>
      </c>
      <c r="D278" s="3">
        <v>40139.87462</v>
      </c>
    </row>
    <row r="279" spans="3:4">
      <c r="C279" s="19" t="s">
        <v>1456</v>
      </c>
      <c r="D279" s="3">
        <v>1010.37592</v>
      </c>
    </row>
    <row r="280" spans="3:4">
      <c r="C280" s="19" t="s">
        <v>1457</v>
      </c>
      <c r="D280" s="3">
        <v>55110.61996</v>
      </c>
    </row>
    <row r="281" spans="3:4">
      <c r="C281" s="19" t="s">
        <v>1458</v>
      </c>
      <c r="D281" s="3">
        <v>119970.84924</v>
      </c>
    </row>
    <row r="282" spans="3:4">
      <c r="C282" s="19" t="s">
        <v>1459</v>
      </c>
      <c r="D282" s="3">
        <v>49501.66032</v>
      </c>
    </row>
    <row r="283" spans="1:4">
      <c r="A283" t="s">
        <v>148</v>
      </c>
      <c r="D283" s="3">
        <v>779637.54198</v>
      </c>
    </row>
    <row r="284" spans="2:4">
      <c r="B284" t="s">
        <v>1451</v>
      </c>
      <c r="D284" s="3"/>
    </row>
    <row r="285" spans="3:4">
      <c r="C285" s="19" t="s">
        <v>1452</v>
      </c>
      <c r="D285" s="3">
        <v>3116.21</v>
      </c>
    </row>
    <row r="286" spans="3:4">
      <c r="C286" s="19" t="s">
        <v>1453</v>
      </c>
      <c r="D286" s="3">
        <v>86597.0813</v>
      </c>
    </row>
    <row r="287" spans="3:4">
      <c r="C287" s="19" t="s">
        <v>1454</v>
      </c>
      <c r="D287" s="3">
        <v>29618.5512</v>
      </c>
    </row>
    <row r="288" spans="3:4">
      <c r="C288" s="19" t="s">
        <v>1456</v>
      </c>
      <c r="D288" s="3">
        <v>15187.14126</v>
      </c>
    </row>
    <row r="289" spans="3:4">
      <c r="C289" s="19" t="s">
        <v>1458</v>
      </c>
      <c r="D289" s="3">
        <v>78566.39294</v>
      </c>
    </row>
    <row r="290" spans="3:4">
      <c r="C290" s="19" t="s">
        <v>1459</v>
      </c>
      <c r="D290" s="3">
        <v>58520.36964</v>
      </c>
    </row>
    <row r="291" spans="3:4">
      <c r="C291" s="19" t="s">
        <v>1461</v>
      </c>
      <c r="D291" s="3">
        <v>434.45248</v>
      </c>
    </row>
    <row r="292" spans="3:4">
      <c r="C292" s="19" t="s">
        <v>1462</v>
      </c>
      <c r="D292" s="3">
        <v>12954.35808</v>
      </c>
    </row>
    <row r="293" spans="3:4">
      <c r="C293" s="19" t="s">
        <v>1463</v>
      </c>
      <c r="D293" s="3">
        <v>79406.78494</v>
      </c>
    </row>
    <row r="294" spans="2:4">
      <c r="B294" t="s">
        <v>1464</v>
      </c>
      <c r="D294" s="3"/>
    </row>
    <row r="295" spans="3:4">
      <c r="C295" s="19" t="s">
        <v>1452</v>
      </c>
      <c r="D295" s="3">
        <v>54214.97216</v>
      </c>
    </row>
    <row r="296" spans="3:4">
      <c r="C296" s="19" t="s">
        <v>1454</v>
      </c>
      <c r="D296" s="3">
        <v>4826.53962</v>
      </c>
    </row>
    <row r="297" spans="3:4">
      <c r="C297" s="19" t="s">
        <v>1455</v>
      </c>
      <c r="D297" s="3">
        <v>20171.63305</v>
      </c>
    </row>
    <row r="298" spans="3:4">
      <c r="C298" s="19" t="s">
        <v>1456</v>
      </c>
      <c r="D298" s="3">
        <v>14032.85088</v>
      </c>
    </row>
    <row r="299" spans="3:4">
      <c r="C299" s="19" t="s">
        <v>1457</v>
      </c>
      <c r="D299" s="3">
        <v>39907.47642</v>
      </c>
    </row>
    <row r="300" spans="3:4">
      <c r="C300" s="19" t="s">
        <v>1459</v>
      </c>
      <c r="D300" s="3">
        <v>27331.83</v>
      </c>
    </row>
    <row r="301" spans="3:4">
      <c r="C301" s="19" t="s">
        <v>1460</v>
      </c>
      <c r="D301" s="3">
        <v>12972.00222</v>
      </c>
    </row>
    <row r="302" spans="3:4">
      <c r="C302" s="19" t="s">
        <v>1461</v>
      </c>
      <c r="D302" s="3">
        <v>18061.20432</v>
      </c>
    </row>
    <row r="303" spans="2:4">
      <c r="B303" t="s">
        <v>1465</v>
      </c>
      <c r="D303" s="3"/>
    </row>
    <row r="304" spans="3:4">
      <c r="C304" s="19" t="s">
        <v>1452</v>
      </c>
      <c r="D304" s="3">
        <v>6576.29896</v>
      </c>
    </row>
    <row r="305" spans="3:4">
      <c r="C305" s="19" t="s">
        <v>1454</v>
      </c>
      <c r="D305" s="3">
        <v>5565.32725</v>
      </c>
    </row>
    <row r="306" spans="3:4">
      <c r="C306" s="19" t="s">
        <v>1455</v>
      </c>
      <c r="D306" s="3">
        <v>1886.9916</v>
      </c>
    </row>
    <row r="307" spans="3:4">
      <c r="C307" s="19" t="s">
        <v>1456</v>
      </c>
      <c r="D307" s="3">
        <v>31556.1876</v>
      </c>
    </row>
    <row r="308" spans="3:4">
      <c r="C308" s="19" t="s">
        <v>1457</v>
      </c>
      <c r="D308" s="3">
        <v>88311.18658</v>
      </c>
    </row>
    <row r="309" spans="3:4">
      <c r="C309" s="19" t="s">
        <v>1458</v>
      </c>
      <c r="D309" s="3">
        <v>76636.15648</v>
      </c>
    </row>
    <row r="310" spans="3:4">
      <c r="C310" s="19" t="s">
        <v>1460</v>
      </c>
      <c r="D310" s="3">
        <v>13185.543</v>
      </c>
    </row>
    <row r="311" spans="1:4">
      <c r="A311" t="s">
        <v>108</v>
      </c>
      <c r="D311" s="3">
        <v>1130611.62714</v>
      </c>
    </row>
    <row r="312" spans="2:4">
      <c r="B312" t="s">
        <v>1451</v>
      </c>
      <c r="D312" s="3"/>
    </row>
    <row r="313" spans="3:4">
      <c r="C313" s="19" t="s">
        <v>1452</v>
      </c>
      <c r="D313" s="3">
        <v>27965.3666</v>
      </c>
    </row>
    <row r="314" spans="3:4">
      <c r="C314" s="19" t="s">
        <v>1453</v>
      </c>
      <c r="D314" s="3">
        <v>4132.03252</v>
      </c>
    </row>
    <row r="315" spans="3:4">
      <c r="C315" s="19" t="s">
        <v>1454</v>
      </c>
      <c r="D315" s="3">
        <v>16013.6816</v>
      </c>
    </row>
    <row r="316" spans="3:4">
      <c r="C316" s="19" t="s">
        <v>1455</v>
      </c>
      <c r="D316" s="3">
        <v>66551.12538</v>
      </c>
    </row>
    <row r="317" spans="3:4">
      <c r="C317" s="19" t="s">
        <v>1456</v>
      </c>
      <c r="D317" s="3">
        <v>19800.88896</v>
      </c>
    </row>
    <row r="318" spans="3:4">
      <c r="C318" s="19" t="s">
        <v>1457</v>
      </c>
      <c r="D318" s="3">
        <v>29905.53764</v>
      </c>
    </row>
    <row r="319" spans="3:4">
      <c r="C319" s="19" t="s">
        <v>1458</v>
      </c>
      <c r="D319" s="3">
        <v>48616.56604</v>
      </c>
    </row>
    <row r="320" spans="3:4">
      <c r="C320" s="19" t="s">
        <v>1459</v>
      </c>
      <c r="D320" s="3">
        <v>31801.90056</v>
      </c>
    </row>
    <row r="321" spans="3:4">
      <c r="C321" s="19" t="s">
        <v>1461</v>
      </c>
      <c r="D321" s="3">
        <v>26003.21806</v>
      </c>
    </row>
    <row r="322" spans="3:4">
      <c r="C322" s="19" t="s">
        <v>1462</v>
      </c>
      <c r="D322" s="3">
        <v>5610.0924</v>
      </c>
    </row>
    <row r="323" spans="2:4">
      <c r="B323" t="s">
        <v>1464</v>
      </c>
      <c r="D323" s="3"/>
    </row>
    <row r="324" spans="3:4">
      <c r="C324" s="19" t="s">
        <v>1452</v>
      </c>
      <c r="D324" s="3">
        <v>27424.4504</v>
      </c>
    </row>
    <row r="325" spans="3:4">
      <c r="C325" s="19" t="s">
        <v>1454</v>
      </c>
      <c r="D325" s="3">
        <v>33938.14276</v>
      </c>
    </row>
    <row r="326" spans="3:4">
      <c r="C326" s="19" t="s">
        <v>1455</v>
      </c>
      <c r="D326" s="3">
        <v>20646.6109</v>
      </c>
    </row>
    <row r="327" spans="3:4">
      <c r="C327" s="19" t="s">
        <v>1456</v>
      </c>
      <c r="D327" s="3">
        <v>114279.15346</v>
      </c>
    </row>
    <row r="328" spans="3:4">
      <c r="C328" s="19" t="s">
        <v>1457</v>
      </c>
      <c r="D328" s="3">
        <v>65319.42012</v>
      </c>
    </row>
    <row r="329" spans="3:4">
      <c r="C329" s="19" t="s">
        <v>1459</v>
      </c>
      <c r="D329" s="3">
        <v>23687.52444</v>
      </c>
    </row>
    <row r="330" spans="3:4">
      <c r="C330" s="19" t="s">
        <v>1460</v>
      </c>
      <c r="D330" s="3">
        <v>25249.61322</v>
      </c>
    </row>
    <row r="331" spans="3:4">
      <c r="C331" s="19" t="s">
        <v>1461</v>
      </c>
      <c r="D331" s="3">
        <v>91431.43776</v>
      </c>
    </row>
    <row r="332" spans="3:4">
      <c r="C332" s="19" t="s">
        <v>1462</v>
      </c>
      <c r="D332" s="3">
        <v>44605.98864</v>
      </c>
    </row>
    <row r="333" spans="3:4">
      <c r="C333" s="19" t="s">
        <v>1463</v>
      </c>
      <c r="D333" s="3">
        <v>78648.57158</v>
      </c>
    </row>
    <row r="334" spans="2:4">
      <c r="B334" t="s">
        <v>1465</v>
      </c>
      <c r="D334" s="3"/>
    </row>
    <row r="335" spans="3:4">
      <c r="C335" s="19" t="s">
        <v>1452</v>
      </c>
      <c r="D335" s="3">
        <v>11332.143</v>
      </c>
    </row>
    <row r="336" spans="3:4">
      <c r="C336" s="19" t="s">
        <v>1453</v>
      </c>
      <c r="D336" s="3">
        <v>35720.3184</v>
      </c>
    </row>
    <row r="337" spans="3:4">
      <c r="C337" s="19" t="s">
        <v>1454</v>
      </c>
      <c r="D337" s="3">
        <v>21062.61248</v>
      </c>
    </row>
    <row r="338" spans="3:4">
      <c r="C338" s="19" t="s">
        <v>1455</v>
      </c>
      <c r="D338" s="3">
        <v>96832.73806</v>
      </c>
    </row>
    <row r="339" spans="3:4">
      <c r="C339" s="19" t="s">
        <v>1456</v>
      </c>
      <c r="D339" s="3">
        <v>39263.70292</v>
      </c>
    </row>
    <row r="340" spans="3:4">
      <c r="C340" s="19" t="s">
        <v>1457</v>
      </c>
      <c r="D340" s="3">
        <v>52414.75103</v>
      </c>
    </row>
    <row r="341" spans="3:4">
      <c r="C341" s="19" t="s">
        <v>1458</v>
      </c>
      <c r="D341" s="3">
        <v>62736.30888</v>
      </c>
    </row>
    <row r="342" spans="3:4">
      <c r="C342" s="19" t="s">
        <v>1459</v>
      </c>
      <c r="D342" s="3">
        <v>853.32277</v>
      </c>
    </row>
    <row r="343" spans="3:4">
      <c r="C343" s="19" t="s">
        <v>1460</v>
      </c>
      <c r="D343" s="3">
        <v>8764.40656</v>
      </c>
    </row>
    <row r="344" spans="1:4">
      <c r="A344" t="s">
        <v>122</v>
      </c>
      <c r="D344" s="3">
        <v>768694.58758</v>
      </c>
    </row>
    <row r="345" spans="2:4">
      <c r="B345" t="s">
        <v>1451</v>
      </c>
      <c r="D345" s="3"/>
    </row>
    <row r="346" spans="3:4">
      <c r="C346" s="19" t="s">
        <v>1452</v>
      </c>
      <c r="D346" s="3">
        <v>31035.21786</v>
      </c>
    </row>
    <row r="347" spans="3:4">
      <c r="C347" s="19" t="s">
        <v>1453</v>
      </c>
      <c r="D347" s="3">
        <v>68738.64732</v>
      </c>
    </row>
    <row r="348" spans="3:4">
      <c r="C348" s="19" t="s">
        <v>1455</v>
      </c>
      <c r="D348" s="3">
        <v>11375.25776</v>
      </c>
    </row>
    <row r="349" spans="3:4">
      <c r="C349" s="19" t="s">
        <v>1456</v>
      </c>
      <c r="D349" s="3">
        <v>27431.63811</v>
      </c>
    </row>
    <row r="350" spans="3:4">
      <c r="C350" s="19" t="s">
        <v>1457</v>
      </c>
      <c r="D350" s="3">
        <v>71887.46422</v>
      </c>
    </row>
    <row r="351" spans="3:4">
      <c r="C351" s="19" t="s">
        <v>1458</v>
      </c>
      <c r="D351" s="3">
        <v>32086.37586</v>
      </c>
    </row>
    <row r="352" spans="3:4">
      <c r="C352" s="19" t="s">
        <v>1459</v>
      </c>
      <c r="D352" s="3">
        <v>25299.04</v>
      </c>
    </row>
    <row r="353" spans="3:4">
      <c r="C353" s="19" t="s">
        <v>1460</v>
      </c>
      <c r="D353" s="3">
        <v>14692.623</v>
      </c>
    </row>
    <row r="354" spans="3:4">
      <c r="C354" s="19" t="s">
        <v>1461</v>
      </c>
      <c r="D354" s="3">
        <v>5533.623</v>
      </c>
    </row>
    <row r="355" spans="2:4">
      <c r="B355" t="s">
        <v>1464</v>
      </c>
      <c r="D355" s="3"/>
    </row>
    <row r="356" spans="3:4">
      <c r="C356" s="19" t="s">
        <v>1452</v>
      </c>
      <c r="D356" s="3">
        <v>18566.16</v>
      </c>
    </row>
    <row r="357" spans="3:4">
      <c r="C357" s="19" t="s">
        <v>1453</v>
      </c>
      <c r="D357" s="3">
        <v>52311.00768</v>
      </c>
    </row>
    <row r="358" spans="3:4">
      <c r="C358" s="19" t="s">
        <v>1454</v>
      </c>
      <c r="D358" s="3">
        <v>108770.27859</v>
      </c>
    </row>
    <row r="359" spans="3:4">
      <c r="C359" s="19" t="s">
        <v>1456</v>
      </c>
      <c r="D359" s="3">
        <v>53872.64118</v>
      </c>
    </row>
    <row r="360" spans="3:4">
      <c r="C360" s="19" t="s">
        <v>1458</v>
      </c>
      <c r="D360" s="3">
        <v>25483.91488</v>
      </c>
    </row>
    <row r="361" spans="3:4">
      <c r="C361" s="19" t="s">
        <v>1459</v>
      </c>
      <c r="D361" s="3">
        <v>97443.47798</v>
      </c>
    </row>
    <row r="362" spans="3:4">
      <c r="C362" s="19" t="s">
        <v>1460</v>
      </c>
      <c r="D362" s="3">
        <v>12186.3686</v>
      </c>
    </row>
    <row r="363" spans="3:4">
      <c r="C363" s="19" t="s">
        <v>1461</v>
      </c>
      <c r="D363" s="3">
        <v>16023.123</v>
      </c>
    </row>
    <row r="364" spans="3:4">
      <c r="C364" s="19" t="s">
        <v>1463</v>
      </c>
      <c r="D364" s="3">
        <v>12031.49168</v>
      </c>
    </row>
    <row r="365" spans="2:4">
      <c r="B365" t="s">
        <v>1465</v>
      </c>
      <c r="D365" s="3"/>
    </row>
    <row r="366" spans="3:4">
      <c r="C366" s="19" t="s">
        <v>1452</v>
      </c>
      <c r="D366" s="3">
        <v>4654.7743</v>
      </c>
    </row>
    <row r="367" spans="3:4">
      <c r="C367" s="19" t="s">
        <v>1453</v>
      </c>
      <c r="D367" s="3">
        <v>9984.7161</v>
      </c>
    </row>
    <row r="368" spans="3:4">
      <c r="C368" s="19" t="s">
        <v>1455</v>
      </c>
      <c r="D368" s="3">
        <v>38240.69725</v>
      </c>
    </row>
    <row r="369" spans="3:4">
      <c r="C369" s="19" t="s">
        <v>1456</v>
      </c>
      <c r="D369" s="3">
        <v>3644.32128</v>
      </c>
    </row>
    <row r="370" spans="3:4">
      <c r="C370" s="19" t="s">
        <v>1459</v>
      </c>
      <c r="D370" s="3">
        <v>27401.72793</v>
      </c>
    </row>
    <row r="371" spans="1:4">
      <c r="A371" t="s">
        <v>1444</v>
      </c>
      <c r="D371" s="3">
        <v>11024296.20954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F641"/>
  <sheetViews>
    <sheetView workbookViewId="0">
      <selection activeCell="A1" sqref="A1"/>
    </sheetView>
  </sheetViews>
  <sheetFormatPr defaultColWidth="8.70909090909091" defaultRowHeight="14.5" outlineLevelCol="5"/>
  <cols>
    <col min="1" max="1" width="18.4272727272727"/>
    <col min="2" max="2" width="10.2818181818182" customWidth="1"/>
    <col min="3" max="3" width="20.7090909090909" customWidth="1"/>
    <col min="4" max="4" width="12.4272727272727" customWidth="1"/>
    <col min="5" max="5" width="12.8545454545455" style="16"/>
  </cols>
  <sheetData>
    <row r="3" s="14" customFormat="1" spans="1:6">
      <c r="A3" s="14" t="s">
        <v>9</v>
      </c>
      <c r="B3" s="14" t="s">
        <v>10</v>
      </c>
      <c r="C3" t="s">
        <v>1450</v>
      </c>
      <c r="D3" s="14" t="s">
        <v>1466</v>
      </c>
      <c r="E3" s="17" t="s">
        <v>1467</v>
      </c>
      <c r="F3" s="14" t="s">
        <v>1468</v>
      </c>
    </row>
    <row r="4" spans="1:4">
      <c r="A4" t="s">
        <v>81</v>
      </c>
      <c r="C4" s="15">
        <v>1394856.83007</v>
      </c>
      <c r="D4" s="18">
        <f>SUM(D5:D92)</f>
        <v>0.999999999999999</v>
      </c>
    </row>
    <row r="5" spans="2:6">
      <c r="B5" t="s">
        <v>795</v>
      </c>
      <c r="C5" s="15">
        <v>79082.50701</v>
      </c>
      <c r="D5" s="16">
        <f>C5/$C$4</f>
        <v>0.0566957879154029</v>
      </c>
      <c r="E5" s="16">
        <f>D5</f>
        <v>0.0566957879154029</v>
      </c>
      <c r="F5" t="str">
        <f>IF(E5&lt;=80%,"A",IF(E5&lt;=95%,"B",IF(E5&lt;=100%,"C"," ")))</f>
        <v>A</v>
      </c>
    </row>
    <row r="6" spans="2:6">
      <c r="B6" t="s">
        <v>208</v>
      </c>
      <c r="C6" s="15">
        <v>63480.9</v>
      </c>
      <c r="D6" s="16">
        <f t="shared" ref="D6:D37" si="0">C6/$C$4</f>
        <v>0.0455106923029615</v>
      </c>
      <c r="E6" s="16">
        <f>E5+D6</f>
        <v>0.102206480218364</v>
      </c>
      <c r="F6" t="str">
        <f t="shared" ref="F6:F69" si="1">IF(E6&lt;=80%,"A",IF(E6&lt;=95%,"B",IF(E6&lt;=100%,"C"," ")))</f>
        <v>A</v>
      </c>
    </row>
    <row r="7" spans="2:6">
      <c r="B7" t="s">
        <v>741</v>
      </c>
      <c r="C7" s="15">
        <v>53034.36414</v>
      </c>
      <c r="D7" s="16">
        <f t="shared" si="0"/>
        <v>0.0380213674957153</v>
      </c>
      <c r="E7" s="16">
        <f>E6+D7</f>
        <v>0.14022784771408</v>
      </c>
      <c r="F7" t="str">
        <f t="shared" si="1"/>
        <v>A</v>
      </c>
    </row>
    <row r="8" spans="2:6">
      <c r="B8" t="s">
        <v>1213</v>
      </c>
      <c r="C8" s="15">
        <v>46450.26</v>
      </c>
      <c r="D8" s="16">
        <f t="shared" si="0"/>
        <v>0.0333010951365302</v>
      </c>
      <c r="E8" s="16">
        <f t="shared" ref="E8:E39" si="2">E7+D8</f>
        <v>0.17352894285061</v>
      </c>
      <c r="F8" t="str">
        <f t="shared" si="1"/>
        <v>A</v>
      </c>
    </row>
    <row r="9" spans="2:6">
      <c r="B9" t="s">
        <v>715</v>
      </c>
      <c r="C9" s="15">
        <v>43084.872</v>
      </c>
      <c r="D9" s="16">
        <f t="shared" si="0"/>
        <v>0.0308883830018869</v>
      </c>
      <c r="E9" s="16">
        <f t="shared" si="2"/>
        <v>0.204417325852497</v>
      </c>
      <c r="F9" t="str">
        <f t="shared" si="1"/>
        <v>A</v>
      </c>
    </row>
    <row r="10" spans="2:6">
      <c r="B10" t="s">
        <v>106</v>
      </c>
      <c r="C10" s="15">
        <v>38096.18406</v>
      </c>
      <c r="D10" s="16">
        <f t="shared" si="0"/>
        <v>0.0273118955571147</v>
      </c>
      <c r="E10" s="16">
        <f t="shared" si="2"/>
        <v>0.231729221409611</v>
      </c>
      <c r="F10" t="str">
        <f t="shared" si="1"/>
        <v>A</v>
      </c>
    </row>
    <row r="11" spans="2:6">
      <c r="B11" t="s">
        <v>250</v>
      </c>
      <c r="C11" s="15">
        <v>35396.2778</v>
      </c>
      <c r="D11" s="16">
        <f t="shared" si="0"/>
        <v>0.02537628022958</v>
      </c>
      <c r="E11" s="16">
        <f t="shared" si="2"/>
        <v>0.257105501639191</v>
      </c>
      <c r="F11" t="str">
        <f t="shared" si="1"/>
        <v>A</v>
      </c>
    </row>
    <row r="12" spans="2:6">
      <c r="B12" t="s">
        <v>823</v>
      </c>
      <c r="C12" s="15">
        <v>35167.7448</v>
      </c>
      <c r="D12" s="16">
        <f t="shared" si="0"/>
        <v>0.0252124404755111</v>
      </c>
      <c r="E12" s="16">
        <f t="shared" si="2"/>
        <v>0.282317942114703</v>
      </c>
      <c r="F12" t="str">
        <f t="shared" si="1"/>
        <v>A</v>
      </c>
    </row>
    <row r="13" spans="2:6">
      <c r="B13" t="s">
        <v>294</v>
      </c>
      <c r="C13" s="15">
        <v>34139.16</v>
      </c>
      <c r="D13" s="16">
        <f t="shared" si="0"/>
        <v>0.0244750280201064</v>
      </c>
      <c r="E13" s="16">
        <f t="shared" si="2"/>
        <v>0.306792970134809</v>
      </c>
      <c r="F13" t="str">
        <f t="shared" si="1"/>
        <v>A</v>
      </c>
    </row>
    <row r="14" spans="2:6">
      <c r="B14" t="s">
        <v>252</v>
      </c>
      <c r="C14" s="15">
        <v>33062.23648</v>
      </c>
      <c r="D14" s="16">
        <f t="shared" si="0"/>
        <v>0.0237029605958489</v>
      </c>
      <c r="E14" s="16">
        <f t="shared" si="2"/>
        <v>0.330495930730658</v>
      </c>
      <c r="F14" t="str">
        <f t="shared" si="1"/>
        <v>A</v>
      </c>
    </row>
    <row r="15" spans="2:6">
      <c r="B15" t="s">
        <v>388</v>
      </c>
      <c r="C15" s="15">
        <v>32086.37586</v>
      </c>
      <c r="D15" s="16">
        <f t="shared" si="0"/>
        <v>0.023003347130895</v>
      </c>
      <c r="E15" s="16">
        <f t="shared" si="2"/>
        <v>0.353499277861553</v>
      </c>
      <c r="F15" t="str">
        <f t="shared" si="1"/>
        <v>A</v>
      </c>
    </row>
    <row r="16" spans="2:6">
      <c r="B16" t="s">
        <v>986</v>
      </c>
      <c r="C16" s="15">
        <v>31513.08501</v>
      </c>
      <c r="D16" s="16">
        <f t="shared" si="0"/>
        <v>0.0225923437665058</v>
      </c>
      <c r="E16" s="16">
        <f t="shared" si="2"/>
        <v>0.376091621628059</v>
      </c>
      <c r="F16" t="str">
        <f t="shared" si="1"/>
        <v>A</v>
      </c>
    </row>
    <row r="17" spans="2:6">
      <c r="B17" t="s">
        <v>517</v>
      </c>
      <c r="C17" s="15">
        <v>28386.01584</v>
      </c>
      <c r="D17" s="16">
        <f t="shared" si="0"/>
        <v>0.0203504870378528</v>
      </c>
      <c r="E17" s="16">
        <f t="shared" si="2"/>
        <v>0.396442108665912</v>
      </c>
      <c r="F17" t="str">
        <f t="shared" si="1"/>
        <v>A</v>
      </c>
    </row>
    <row r="18" spans="2:6">
      <c r="B18" t="s">
        <v>679</v>
      </c>
      <c r="C18" s="15">
        <v>26765.04024</v>
      </c>
      <c r="D18" s="16">
        <f t="shared" si="0"/>
        <v>0.0191883780922927</v>
      </c>
      <c r="E18" s="16">
        <f t="shared" si="2"/>
        <v>0.415630486758204</v>
      </c>
      <c r="F18" t="str">
        <f t="shared" si="1"/>
        <v>A</v>
      </c>
    </row>
    <row r="19" spans="2:6">
      <c r="B19" t="s">
        <v>477</v>
      </c>
      <c r="C19" s="15">
        <v>26759.28775</v>
      </c>
      <c r="D19" s="16">
        <f t="shared" si="0"/>
        <v>0.0191842540202904</v>
      </c>
      <c r="E19" s="16">
        <f t="shared" si="2"/>
        <v>0.434814740778495</v>
      </c>
      <c r="F19" t="str">
        <f t="shared" si="1"/>
        <v>A</v>
      </c>
    </row>
    <row r="20" spans="2:6">
      <c r="B20" t="s">
        <v>807</v>
      </c>
      <c r="C20" s="15">
        <v>26552.60298</v>
      </c>
      <c r="D20" s="16">
        <f t="shared" si="0"/>
        <v>0.0190360776873907</v>
      </c>
      <c r="E20" s="16">
        <f t="shared" si="2"/>
        <v>0.453850818465885</v>
      </c>
      <c r="F20" t="str">
        <f t="shared" si="1"/>
        <v>A</v>
      </c>
    </row>
    <row r="21" spans="2:6">
      <c r="B21" t="s">
        <v>978</v>
      </c>
      <c r="C21" s="15">
        <v>24278.84928</v>
      </c>
      <c r="D21" s="16">
        <f t="shared" si="0"/>
        <v>0.0174059794214017</v>
      </c>
      <c r="E21" s="16">
        <f t="shared" si="2"/>
        <v>0.471256797887287</v>
      </c>
      <c r="F21" t="str">
        <f t="shared" si="1"/>
        <v>A</v>
      </c>
    </row>
    <row r="22" spans="2:6">
      <c r="B22" t="s">
        <v>920</v>
      </c>
      <c r="C22" s="15">
        <v>23668.56</v>
      </c>
      <c r="D22" s="16">
        <f t="shared" si="0"/>
        <v>0.016968451162699</v>
      </c>
      <c r="E22" s="16">
        <f t="shared" si="2"/>
        <v>0.488225249049986</v>
      </c>
      <c r="F22" t="str">
        <f t="shared" si="1"/>
        <v>A</v>
      </c>
    </row>
    <row r="23" spans="2:6">
      <c r="B23" t="s">
        <v>687</v>
      </c>
      <c r="C23" s="15">
        <v>23375.59406</v>
      </c>
      <c r="D23" s="16">
        <f t="shared" si="0"/>
        <v>0.0167584181803282</v>
      </c>
      <c r="E23" s="16">
        <f t="shared" si="2"/>
        <v>0.504983667230314</v>
      </c>
      <c r="F23" t="str">
        <f t="shared" si="1"/>
        <v>A</v>
      </c>
    </row>
    <row r="24" spans="2:6">
      <c r="B24" t="s">
        <v>813</v>
      </c>
      <c r="C24" s="15">
        <v>23195.01828</v>
      </c>
      <c r="D24" s="16">
        <f t="shared" si="0"/>
        <v>0.0166289598903394</v>
      </c>
      <c r="E24" s="16">
        <f t="shared" si="2"/>
        <v>0.521612627120653</v>
      </c>
      <c r="F24" t="str">
        <f t="shared" si="1"/>
        <v>A</v>
      </c>
    </row>
    <row r="25" spans="2:6">
      <c r="B25" t="s">
        <v>1060</v>
      </c>
      <c r="C25" s="15">
        <v>22620.8598</v>
      </c>
      <c r="D25" s="16">
        <f t="shared" si="0"/>
        <v>0.0162173345051225</v>
      </c>
      <c r="E25" s="16">
        <f t="shared" si="2"/>
        <v>0.537829961625776</v>
      </c>
      <c r="F25" t="str">
        <f t="shared" si="1"/>
        <v>A</v>
      </c>
    </row>
    <row r="26" spans="2:6">
      <c r="B26" t="s">
        <v>1146</v>
      </c>
      <c r="C26" s="15">
        <v>22526.66</v>
      </c>
      <c r="D26" s="16">
        <f t="shared" si="0"/>
        <v>0.0161498008357385</v>
      </c>
      <c r="E26" s="16">
        <f t="shared" si="2"/>
        <v>0.553979762461514</v>
      </c>
      <c r="F26" t="str">
        <f t="shared" si="1"/>
        <v>A</v>
      </c>
    </row>
    <row r="27" spans="2:6">
      <c r="B27" t="s">
        <v>1177</v>
      </c>
      <c r="C27" s="15">
        <v>20430.7716</v>
      </c>
      <c r="D27" s="16">
        <f t="shared" si="0"/>
        <v>0.0146472176638908</v>
      </c>
      <c r="E27" s="16">
        <f t="shared" si="2"/>
        <v>0.568626980125405</v>
      </c>
      <c r="F27" t="str">
        <f t="shared" si="1"/>
        <v>A</v>
      </c>
    </row>
    <row r="28" spans="2:6">
      <c r="B28" t="s">
        <v>1207</v>
      </c>
      <c r="C28" s="15">
        <v>20163.4092</v>
      </c>
      <c r="D28" s="16">
        <f t="shared" si="0"/>
        <v>0.0144555403574918</v>
      </c>
      <c r="E28" s="16">
        <f t="shared" si="2"/>
        <v>0.583082520482897</v>
      </c>
      <c r="F28" t="str">
        <f t="shared" si="1"/>
        <v>A</v>
      </c>
    </row>
    <row r="29" spans="2:6">
      <c r="B29" t="s">
        <v>286</v>
      </c>
      <c r="C29" s="15">
        <v>20079.34362</v>
      </c>
      <c r="D29" s="16">
        <f t="shared" si="0"/>
        <v>0.0143952721075985</v>
      </c>
      <c r="E29" s="16">
        <f t="shared" si="2"/>
        <v>0.597477792590496</v>
      </c>
      <c r="F29" t="str">
        <f t="shared" si="1"/>
        <v>A</v>
      </c>
    </row>
    <row r="30" spans="2:6">
      <c r="B30" t="s">
        <v>1004</v>
      </c>
      <c r="C30" s="15">
        <v>19628.477</v>
      </c>
      <c r="D30" s="16">
        <f t="shared" si="0"/>
        <v>0.0140720370555987</v>
      </c>
      <c r="E30" s="16">
        <f t="shared" si="2"/>
        <v>0.611549829646094</v>
      </c>
      <c r="F30" t="str">
        <f t="shared" si="1"/>
        <v>A</v>
      </c>
    </row>
    <row r="31" spans="2:6">
      <c r="B31" t="s">
        <v>683</v>
      </c>
      <c r="C31" s="15">
        <v>19066.04532</v>
      </c>
      <c r="D31" s="16">
        <f t="shared" si="0"/>
        <v>0.01366881884146</v>
      </c>
      <c r="E31" s="16">
        <f t="shared" si="2"/>
        <v>0.625218648487554</v>
      </c>
      <c r="F31" t="str">
        <f t="shared" si="1"/>
        <v>A</v>
      </c>
    </row>
    <row r="32" spans="2:6">
      <c r="B32" t="s">
        <v>625</v>
      </c>
      <c r="C32" s="15">
        <v>17964.4038</v>
      </c>
      <c r="D32" s="16">
        <f t="shared" si="0"/>
        <v>0.0128790306020858</v>
      </c>
      <c r="E32" s="16">
        <f t="shared" si="2"/>
        <v>0.63809767908964</v>
      </c>
      <c r="F32" t="str">
        <f t="shared" si="1"/>
        <v>A</v>
      </c>
    </row>
    <row r="33" spans="2:6">
      <c r="B33" t="s">
        <v>521</v>
      </c>
      <c r="C33" s="15">
        <v>17847.9072</v>
      </c>
      <c r="D33" s="16">
        <f t="shared" si="0"/>
        <v>0.0127955119229723</v>
      </c>
      <c r="E33" s="16">
        <f t="shared" si="2"/>
        <v>0.650893191012612</v>
      </c>
      <c r="F33" t="str">
        <f t="shared" si="1"/>
        <v>A</v>
      </c>
    </row>
    <row r="34" spans="2:6">
      <c r="B34" t="s">
        <v>783</v>
      </c>
      <c r="C34" s="15">
        <v>17067.9384</v>
      </c>
      <c r="D34" s="16">
        <f t="shared" si="0"/>
        <v>0.012236337115074</v>
      </c>
      <c r="E34" s="16">
        <f t="shared" si="2"/>
        <v>0.663129528127686</v>
      </c>
      <c r="F34" t="str">
        <f t="shared" si="1"/>
        <v>A</v>
      </c>
    </row>
    <row r="35" spans="2:6">
      <c r="B35" t="s">
        <v>229</v>
      </c>
      <c r="C35" s="15">
        <v>16013.6816</v>
      </c>
      <c r="D35" s="16">
        <f t="shared" si="0"/>
        <v>0.0114805199033913</v>
      </c>
      <c r="E35" s="16">
        <f t="shared" si="2"/>
        <v>0.674610048031078</v>
      </c>
      <c r="F35" t="str">
        <f t="shared" si="1"/>
        <v>A</v>
      </c>
    </row>
    <row r="36" spans="2:6">
      <c r="B36" t="s">
        <v>82</v>
      </c>
      <c r="C36" s="15">
        <v>16006.14344</v>
      </c>
      <c r="D36" s="16">
        <f t="shared" si="0"/>
        <v>0.0114751156498239</v>
      </c>
      <c r="E36" s="16">
        <f t="shared" si="2"/>
        <v>0.686085163680902</v>
      </c>
      <c r="F36" t="str">
        <f t="shared" si="1"/>
        <v>A</v>
      </c>
    </row>
    <row r="37" spans="2:6">
      <c r="B37" t="s">
        <v>1209</v>
      </c>
      <c r="C37" s="15">
        <v>15860.78208</v>
      </c>
      <c r="D37" s="16">
        <f t="shared" si="0"/>
        <v>0.0113709032626696</v>
      </c>
      <c r="E37" s="16">
        <f t="shared" si="2"/>
        <v>0.697456066943571</v>
      </c>
      <c r="F37" t="str">
        <f t="shared" si="1"/>
        <v>A</v>
      </c>
    </row>
    <row r="38" spans="2:6">
      <c r="B38" t="s">
        <v>1195</v>
      </c>
      <c r="C38" s="15">
        <v>15530.92992</v>
      </c>
      <c r="D38" s="16">
        <f t="shared" ref="D38:D69" si="3">C38/$C$4</f>
        <v>0.0111344258315175</v>
      </c>
      <c r="E38" s="16">
        <f t="shared" si="2"/>
        <v>0.708590492775089</v>
      </c>
      <c r="F38" t="str">
        <f t="shared" si="1"/>
        <v>A</v>
      </c>
    </row>
    <row r="39" spans="2:6">
      <c r="B39" t="s">
        <v>192</v>
      </c>
      <c r="C39" s="15">
        <v>14894.904</v>
      </c>
      <c r="D39" s="16">
        <f t="shared" si="3"/>
        <v>0.0106784464748633</v>
      </c>
      <c r="E39" s="16">
        <f t="shared" si="2"/>
        <v>0.719268939249952</v>
      </c>
      <c r="F39" t="str">
        <f t="shared" si="1"/>
        <v>A</v>
      </c>
    </row>
    <row r="40" spans="2:6">
      <c r="B40" t="s">
        <v>1012</v>
      </c>
      <c r="C40" s="15">
        <v>14752.70608</v>
      </c>
      <c r="D40" s="16">
        <f t="shared" si="3"/>
        <v>0.0105765020193934</v>
      </c>
      <c r="E40" s="16">
        <f t="shared" ref="E40:E71" si="4">E39+D40</f>
        <v>0.729845441269345</v>
      </c>
      <c r="F40" t="str">
        <f t="shared" si="1"/>
        <v>A</v>
      </c>
    </row>
    <row r="41" spans="2:6">
      <c r="B41" t="s">
        <v>444</v>
      </c>
      <c r="C41" s="15">
        <v>14549.02912</v>
      </c>
      <c r="D41" s="16">
        <f t="shared" si="3"/>
        <v>0.0104304820440029</v>
      </c>
      <c r="E41" s="16">
        <f t="shared" si="4"/>
        <v>0.740275923313348</v>
      </c>
      <c r="F41" t="str">
        <f t="shared" si="1"/>
        <v>A</v>
      </c>
    </row>
    <row r="42" spans="2:6">
      <c r="B42" t="s">
        <v>892</v>
      </c>
      <c r="C42" s="15">
        <v>14431.73842</v>
      </c>
      <c r="D42" s="16">
        <f t="shared" si="3"/>
        <v>0.0103463940591492</v>
      </c>
      <c r="E42" s="16">
        <f t="shared" si="4"/>
        <v>0.750622317372498</v>
      </c>
      <c r="F42" t="str">
        <f t="shared" si="1"/>
        <v>A</v>
      </c>
    </row>
    <row r="43" spans="2:6">
      <c r="B43" t="s">
        <v>1313</v>
      </c>
      <c r="C43" s="15">
        <v>13856.52411</v>
      </c>
      <c r="D43" s="16">
        <f t="shared" si="3"/>
        <v>0.00993401172886296</v>
      </c>
      <c r="E43" s="16">
        <f t="shared" si="4"/>
        <v>0.760556329101361</v>
      </c>
      <c r="F43" t="str">
        <f t="shared" si="1"/>
        <v>A</v>
      </c>
    </row>
    <row r="44" spans="2:6">
      <c r="B44" t="s">
        <v>398</v>
      </c>
      <c r="C44" s="15">
        <v>13321.14</v>
      </c>
      <c r="D44" s="16">
        <f t="shared" si="3"/>
        <v>0.00955018444389843</v>
      </c>
      <c r="E44" s="16">
        <f t="shared" si="4"/>
        <v>0.770106513545259</v>
      </c>
      <c r="F44" t="str">
        <f t="shared" si="1"/>
        <v>A</v>
      </c>
    </row>
    <row r="45" spans="2:6">
      <c r="B45" t="s">
        <v>1219</v>
      </c>
      <c r="C45" s="15">
        <v>13108.78584</v>
      </c>
      <c r="D45" s="16">
        <f t="shared" si="3"/>
        <v>0.00939794361500322</v>
      </c>
      <c r="E45" s="16">
        <f t="shared" si="4"/>
        <v>0.779504457160262</v>
      </c>
      <c r="F45" t="str">
        <f t="shared" si="1"/>
        <v>A</v>
      </c>
    </row>
    <row r="46" spans="2:6">
      <c r="B46" t="s">
        <v>701</v>
      </c>
      <c r="C46" s="15">
        <v>12699.28</v>
      </c>
      <c r="D46" s="16">
        <f t="shared" si="3"/>
        <v>0.00910436091090631</v>
      </c>
      <c r="E46" s="16">
        <f t="shared" si="4"/>
        <v>0.788608818071169</v>
      </c>
      <c r="F46" t="str">
        <f t="shared" si="1"/>
        <v>A</v>
      </c>
    </row>
    <row r="47" spans="2:6">
      <c r="B47" t="s">
        <v>1279</v>
      </c>
      <c r="C47" s="15">
        <v>12040.64352</v>
      </c>
      <c r="D47" s="16">
        <f t="shared" si="3"/>
        <v>0.00863217160387403</v>
      </c>
      <c r="E47" s="16">
        <f t="shared" si="4"/>
        <v>0.797240989675043</v>
      </c>
      <c r="F47" t="str">
        <f t="shared" si="1"/>
        <v>A</v>
      </c>
    </row>
    <row r="48" spans="2:6">
      <c r="B48" t="s">
        <v>1090</v>
      </c>
      <c r="C48" s="15">
        <v>11859.69512</v>
      </c>
      <c r="D48" s="16">
        <f t="shared" si="3"/>
        <v>0.00850244617535753</v>
      </c>
      <c r="E48" s="16">
        <f t="shared" si="4"/>
        <v>0.8057434358504</v>
      </c>
      <c r="F48" t="str">
        <f t="shared" si="1"/>
        <v>B</v>
      </c>
    </row>
    <row r="49" spans="2:6">
      <c r="B49" t="s">
        <v>727</v>
      </c>
      <c r="C49" s="15">
        <v>11283.4008</v>
      </c>
      <c r="D49" s="16">
        <f t="shared" si="3"/>
        <v>0.00808928956488943</v>
      </c>
      <c r="E49" s="16">
        <f t="shared" si="4"/>
        <v>0.81383272541529</v>
      </c>
      <c r="F49" t="str">
        <f t="shared" si="1"/>
        <v>B</v>
      </c>
    </row>
    <row r="50" spans="2:6">
      <c r="B50" t="s">
        <v>412</v>
      </c>
      <c r="C50" s="15">
        <v>11015.5104</v>
      </c>
      <c r="D50" s="16">
        <f t="shared" si="3"/>
        <v>0.00789723372501763</v>
      </c>
      <c r="E50" s="16">
        <f t="shared" si="4"/>
        <v>0.821729959140307</v>
      </c>
      <c r="F50" t="str">
        <f t="shared" si="1"/>
        <v>B</v>
      </c>
    </row>
    <row r="51" spans="2:6">
      <c r="B51" t="s">
        <v>120</v>
      </c>
      <c r="C51" s="15">
        <v>10936.992</v>
      </c>
      <c r="D51" s="16">
        <f t="shared" si="3"/>
        <v>0.00784094235639304</v>
      </c>
      <c r="E51" s="16">
        <f t="shared" si="4"/>
        <v>0.8295709014967</v>
      </c>
      <c r="F51" t="str">
        <f t="shared" si="1"/>
        <v>B</v>
      </c>
    </row>
    <row r="52" spans="2:6">
      <c r="B52" t="s">
        <v>934</v>
      </c>
      <c r="C52" s="15">
        <v>10893.6232</v>
      </c>
      <c r="D52" s="16">
        <f t="shared" si="3"/>
        <v>0.00780985041988381</v>
      </c>
      <c r="E52" s="16">
        <f t="shared" si="4"/>
        <v>0.837380751916584</v>
      </c>
      <c r="F52" t="str">
        <f t="shared" si="1"/>
        <v>B</v>
      </c>
    </row>
    <row r="53" spans="2:6">
      <c r="B53" t="s">
        <v>1347</v>
      </c>
      <c r="C53" s="15">
        <v>10693.88488</v>
      </c>
      <c r="D53" s="16">
        <f t="shared" si="3"/>
        <v>0.00766665413214009</v>
      </c>
      <c r="E53" s="16">
        <f t="shared" si="4"/>
        <v>0.845047406048724</v>
      </c>
      <c r="F53" t="str">
        <f t="shared" si="1"/>
        <v>B</v>
      </c>
    </row>
    <row r="54" spans="2:6">
      <c r="B54" t="s">
        <v>238</v>
      </c>
      <c r="C54" s="15">
        <v>10647.7272</v>
      </c>
      <c r="D54" s="16">
        <f t="shared" si="3"/>
        <v>0.00763356279329804</v>
      </c>
      <c r="E54" s="16">
        <f t="shared" si="4"/>
        <v>0.852680968842022</v>
      </c>
      <c r="F54" t="str">
        <f t="shared" si="1"/>
        <v>B</v>
      </c>
    </row>
    <row r="55" spans="2:6">
      <c r="B55" t="s">
        <v>474</v>
      </c>
      <c r="C55" s="15">
        <v>10388.43</v>
      </c>
      <c r="D55" s="16">
        <f t="shared" si="3"/>
        <v>0.0074476675856967</v>
      </c>
      <c r="E55" s="16">
        <f t="shared" si="4"/>
        <v>0.860128636427719</v>
      </c>
      <c r="F55" t="str">
        <f t="shared" si="1"/>
        <v>B</v>
      </c>
    </row>
    <row r="56" spans="2:6">
      <c r="B56" t="s">
        <v>420</v>
      </c>
      <c r="C56" s="15">
        <v>10382.65884</v>
      </c>
      <c r="D56" s="16">
        <f t="shared" si="3"/>
        <v>0.00744353012880824</v>
      </c>
      <c r="E56" s="16">
        <f t="shared" si="4"/>
        <v>0.867572166556527</v>
      </c>
      <c r="F56" t="str">
        <f t="shared" si="1"/>
        <v>B</v>
      </c>
    </row>
    <row r="57" spans="2:6">
      <c r="B57" t="s">
        <v>753</v>
      </c>
      <c r="C57" s="15">
        <v>9829.04832</v>
      </c>
      <c r="D57" s="16">
        <f t="shared" si="3"/>
        <v>0.00704663597589921</v>
      </c>
      <c r="E57" s="16">
        <f t="shared" si="4"/>
        <v>0.874618802532426</v>
      </c>
      <c r="F57" t="str">
        <f t="shared" si="1"/>
        <v>B</v>
      </c>
    </row>
    <row r="58" spans="2:6">
      <c r="B58" t="s">
        <v>1281</v>
      </c>
      <c r="C58" s="15">
        <v>9022.35</v>
      </c>
      <c r="D58" s="16">
        <f t="shared" si="3"/>
        <v>0.00646829825505978</v>
      </c>
      <c r="E58" s="16">
        <f t="shared" si="4"/>
        <v>0.881087100787486</v>
      </c>
      <c r="F58" t="str">
        <f t="shared" si="1"/>
        <v>B</v>
      </c>
    </row>
    <row r="59" spans="2:6">
      <c r="B59" t="s">
        <v>1098</v>
      </c>
      <c r="C59" s="15">
        <v>8644.6696</v>
      </c>
      <c r="D59" s="16">
        <f t="shared" si="3"/>
        <v>0.00619753182809892</v>
      </c>
      <c r="E59" s="16">
        <f t="shared" si="4"/>
        <v>0.887284632615585</v>
      </c>
      <c r="F59" t="str">
        <f t="shared" si="1"/>
        <v>B</v>
      </c>
    </row>
    <row r="60" spans="2:6">
      <c r="B60" t="s">
        <v>129</v>
      </c>
      <c r="C60" s="15">
        <v>8596.29056</v>
      </c>
      <c r="D60" s="16">
        <f t="shared" si="3"/>
        <v>0.00616284795305379</v>
      </c>
      <c r="E60" s="16">
        <f t="shared" si="4"/>
        <v>0.893447480568639</v>
      </c>
      <c r="F60" t="str">
        <f t="shared" si="1"/>
        <v>B</v>
      </c>
    </row>
    <row r="61" spans="2:6">
      <c r="B61" t="s">
        <v>1289</v>
      </c>
      <c r="C61" s="15">
        <v>8366.02</v>
      </c>
      <c r="D61" s="16">
        <f t="shared" si="3"/>
        <v>0.00599776250841468</v>
      </c>
      <c r="E61" s="16">
        <f t="shared" si="4"/>
        <v>0.899445243077053</v>
      </c>
      <c r="F61" t="str">
        <f t="shared" si="1"/>
        <v>B</v>
      </c>
    </row>
    <row r="62" spans="2:6">
      <c r="B62" t="s">
        <v>936</v>
      </c>
      <c r="C62" s="15">
        <v>7969.4615</v>
      </c>
      <c r="D62" s="16">
        <f t="shared" si="3"/>
        <v>0.00571346200426896</v>
      </c>
      <c r="E62" s="16">
        <f t="shared" si="4"/>
        <v>0.905158705081322</v>
      </c>
      <c r="F62" t="str">
        <f t="shared" si="1"/>
        <v>B</v>
      </c>
    </row>
    <row r="63" spans="2:6">
      <c r="B63" t="s">
        <v>531</v>
      </c>
      <c r="C63" s="15">
        <v>7854.66936</v>
      </c>
      <c r="D63" s="16">
        <f t="shared" si="3"/>
        <v>0.00563116528569159</v>
      </c>
      <c r="E63" s="16">
        <f t="shared" si="4"/>
        <v>0.910789870367014</v>
      </c>
      <c r="F63" t="str">
        <f t="shared" si="1"/>
        <v>B</v>
      </c>
    </row>
    <row r="64" spans="2:6">
      <c r="B64" t="s">
        <v>468</v>
      </c>
      <c r="C64" s="15">
        <v>7689.456</v>
      </c>
      <c r="D64" s="16">
        <f t="shared" si="3"/>
        <v>0.00551272061349415</v>
      </c>
      <c r="E64" s="16">
        <f t="shared" si="4"/>
        <v>0.916302590980508</v>
      </c>
      <c r="F64" t="str">
        <f t="shared" si="1"/>
        <v>B</v>
      </c>
    </row>
    <row r="65" spans="2:6">
      <c r="B65" t="s">
        <v>96</v>
      </c>
      <c r="C65" s="15">
        <v>7578.84</v>
      </c>
      <c r="D65" s="16">
        <f t="shared" si="3"/>
        <v>0.00543341785093432</v>
      </c>
      <c r="E65" s="16">
        <f t="shared" si="4"/>
        <v>0.921736008831442</v>
      </c>
      <c r="F65" t="str">
        <f t="shared" si="1"/>
        <v>B</v>
      </c>
    </row>
    <row r="66" spans="2:6">
      <c r="B66" t="s">
        <v>621</v>
      </c>
      <c r="C66" s="15">
        <v>7568.9632</v>
      </c>
      <c r="D66" s="16">
        <f t="shared" si="3"/>
        <v>0.00542633698084996</v>
      </c>
      <c r="E66" s="16">
        <f t="shared" si="4"/>
        <v>0.927162345812292</v>
      </c>
      <c r="F66" t="str">
        <f t="shared" si="1"/>
        <v>B</v>
      </c>
    </row>
    <row r="67" spans="2:6">
      <c r="B67" t="s">
        <v>1086</v>
      </c>
      <c r="C67" s="15">
        <v>7507.45149</v>
      </c>
      <c r="D67" s="16">
        <f t="shared" si="3"/>
        <v>0.00538223803917083</v>
      </c>
      <c r="E67" s="16">
        <f t="shared" si="4"/>
        <v>0.932544583851463</v>
      </c>
      <c r="F67" t="str">
        <f t="shared" si="1"/>
        <v>B</v>
      </c>
    </row>
    <row r="68" spans="2:6">
      <c r="B68" t="s">
        <v>689</v>
      </c>
      <c r="C68" s="15">
        <v>7382.145</v>
      </c>
      <c r="D68" s="16">
        <f t="shared" si="3"/>
        <v>0.00529240337850984</v>
      </c>
      <c r="E68" s="16">
        <f t="shared" si="4"/>
        <v>0.937836987229973</v>
      </c>
      <c r="F68" t="str">
        <f t="shared" si="1"/>
        <v>B</v>
      </c>
    </row>
    <row r="69" spans="2:6">
      <c r="B69" t="s">
        <v>643</v>
      </c>
      <c r="C69" s="15">
        <v>7235.2135</v>
      </c>
      <c r="D69" s="16">
        <f t="shared" si="3"/>
        <v>0.00518706532744074</v>
      </c>
      <c r="E69" s="16">
        <f t="shared" si="4"/>
        <v>0.943024052557414</v>
      </c>
      <c r="F69" t="str">
        <f t="shared" si="1"/>
        <v>B</v>
      </c>
    </row>
    <row r="70" spans="2:6">
      <c r="B70" t="s">
        <v>767</v>
      </c>
      <c r="C70" s="15">
        <v>7105.3528</v>
      </c>
      <c r="D70" s="16">
        <f t="shared" ref="D70:D92" si="5">C70/$C$4</f>
        <v>0.00509396566502343</v>
      </c>
      <c r="E70" s="16">
        <f t="shared" si="4"/>
        <v>0.948118018222437</v>
      </c>
      <c r="F70" t="str">
        <f t="shared" ref="F70:F133" si="6">IF(E70&lt;=80%,"A",IF(E70&lt;=95%,"B",IF(E70&lt;=100%,"C"," ")))</f>
        <v>B</v>
      </c>
    </row>
    <row r="71" spans="2:6">
      <c r="B71" t="s">
        <v>1257</v>
      </c>
      <c r="C71" s="15">
        <v>6732.4334</v>
      </c>
      <c r="D71" s="16">
        <f t="shared" si="5"/>
        <v>0.00482661249159323</v>
      </c>
      <c r="E71" s="16">
        <f t="shared" si="4"/>
        <v>0.95294463071403</v>
      </c>
      <c r="F71" t="str">
        <f t="shared" si="6"/>
        <v>C</v>
      </c>
    </row>
    <row r="72" spans="2:6">
      <c r="B72" t="s">
        <v>657</v>
      </c>
      <c r="C72" s="15">
        <v>6066.54648</v>
      </c>
      <c r="D72" s="16">
        <f t="shared" si="5"/>
        <v>0.00434922520305941</v>
      </c>
      <c r="E72" s="16">
        <f t="shared" ref="E72:E92" si="7">E71+D72</f>
        <v>0.95729385591709</v>
      </c>
      <c r="F72" t="str">
        <f t="shared" si="6"/>
        <v>C</v>
      </c>
    </row>
    <row r="73" spans="2:6">
      <c r="B73" t="s">
        <v>306</v>
      </c>
      <c r="C73" s="15">
        <v>5960.334</v>
      </c>
      <c r="D73" s="16">
        <f t="shared" si="5"/>
        <v>0.00427307940966306</v>
      </c>
      <c r="E73" s="16">
        <f t="shared" si="7"/>
        <v>0.961566935326753</v>
      </c>
      <c r="F73" t="str">
        <f t="shared" si="6"/>
        <v>C</v>
      </c>
    </row>
    <row r="74" spans="2:6">
      <c r="B74" t="s">
        <v>769</v>
      </c>
      <c r="C74" s="15">
        <v>5610.0924</v>
      </c>
      <c r="D74" s="16">
        <f t="shared" si="5"/>
        <v>0.0040219843922752</v>
      </c>
      <c r="E74" s="16">
        <f t="shared" si="7"/>
        <v>0.965588919719028</v>
      </c>
      <c r="F74" t="str">
        <f t="shared" si="6"/>
        <v>C</v>
      </c>
    </row>
    <row r="75" spans="2:6">
      <c r="B75" t="s">
        <v>557</v>
      </c>
      <c r="C75" s="15">
        <v>5533.623</v>
      </c>
      <c r="D75" s="16">
        <f t="shared" si="5"/>
        <v>0.00396716199161623</v>
      </c>
      <c r="E75" s="16">
        <f t="shared" si="7"/>
        <v>0.969556081710644</v>
      </c>
      <c r="F75" t="str">
        <f t="shared" si="6"/>
        <v>C</v>
      </c>
    </row>
    <row r="76" spans="2:6">
      <c r="B76" t="s">
        <v>206</v>
      </c>
      <c r="C76" s="15">
        <v>4790.1068</v>
      </c>
      <c r="D76" s="16">
        <f t="shared" si="5"/>
        <v>0.00343412076188465</v>
      </c>
      <c r="E76" s="16">
        <f t="shared" si="7"/>
        <v>0.972990202472529</v>
      </c>
      <c r="F76" t="str">
        <f t="shared" si="6"/>
        <v>C</v>
      </c>
    </row>
    <row r="77" spans="2:6">
      <c r="B77" t="s">
        <v>1187</v>
      </c>
      <c r="C77" s="15">
        <v>4737.21984</v>
      </c>
      <c r="D77" s="16">
        <f t="shared" si="5"/>
        <v>0.00339620507128482</v>
      </c>
      <c r="E77" s="16">
        <f t="shared" si="7"/>
        <v>0.976386407543814</v>
      </c>
      <c r="F77" t="str">
        <f t="shared" si="6"/>
        <v>C</v>
      </c>
    </row>
    <row r="78" spans="2:6">
      <c r="B78" t="s">
        <v>1243</v>
      </c>
      <c r="C78" s="15">
        <v>4577.148</v>
      </c>
      <c r="D78" s="16">
        <f t="shared" si="5"/>
        <v>0.00328144645480949</v>
      </c>
      <c r="E78" s="16">
        <f t="shared" si="7"/>
        <v>0.979667853998623</v>
      </c>
      <c r="F78" t="str">
        <f t="shared" si="6"/>
        <v>C</v>
      </c>
    </row>
    <row r="79" spans="2:6">
      <c r="B79" t="s">
        <v>210</v>
      </c>
      <c r="C79" s="15">
        <v>4569.8508</v>
      </c>
      <c r="D79" s="16">
        <f t="shared" si="5"/>
        <v>0.00327621495015418</v>
      </c>
      <c r="E79" s="16">
        <f t="shared" si="7"/>
        <v>0.982944068948777</v>
      </c>
      <c r="F79" t="str">
        <f t="shared" si="6"/>
        <v>C</v>
      </c>
    </row>
    <row r="80" spans="2:6">
      <c r="B80" t="s">
        <v>365</v>
      </c>
      <c r="C80" s="15">
        <v>4417.83342</v>
      </c>
      <c r="D80" s="16">
        <f t="shared" si="5"/>
        <v>0.00316723073276151</v>
      </c>
      <c r="E80" s="16">
        <f t="shared" si="7"/>
        <v>0.986111299681539</v>
      </c>
      <c r="F80" t="str">
        <f t="shared" si="6"/>
        <v>C</v>
      </c>
    </row>
    <row r="81" spans="2:6">
      <c r="B81" t="s">
        <v>819</v>
      </c>
      <c r="C81" s="15">
        <v>4071.8</v>
      </c>
      <c r="D81" s="16">
        <f t="shared" si="5"/>
        <v>0.00291915264149057</v>
      </c>
      <c r="E81" s="16">
        <f t="shared" si="7"/>
        <v>0.989030452323029</v>
      </c>
      <c r="F81" t="str">
        <f t="shared" si="6"/>
        <v>C</v>
      </c>
    </row>
    <row r="82" spans="2:6">
      <c r="B82" t="s">
        <v>779</v>
      </c>
      <c r="C82" s="15">
        <v>3021.5016</v>
      </c>
      <c r="D82" s="16">
        <f t="shared" si="5"/>
        <v>0.00216617328378309</v>
      </c>
      <c r="E82" s="16">
        <f t="shared" si="7"/>
        <v>0.991196625606812</v>
      </c>
      <c r="F82" t="str">
        <f t="shared" si="6"/>
        <v>C</v>
      </c>
    </row>
    <row r="83" spans="2:6">
      <c r="B83" t="s">
        <v>1034</v>
      </c>
      <c r="C83" s="15">
        <v>2719.8567</v>
      </c>
      <c r="D83" s="16">
        <f t="shared" si="5"/>
        <v>0.00194991818612918</v>
      </c>
      <c r="E83" s="16">
        <f t="shared" si="7"/>
        <v>0.993146543792942</v>
      </c>
      <c r="F83" t="str">
        <f t="shared" si="6"/>
        <v>C</v>
      </c>
    </row>
    <row r="84" spans="2:6">
      <c r="B84" t="s">
        <v>327</v>
      </c>
      <c r="C84" s="15">
        <v>2117.4835</v>
      </c>
      <c r="D84" s="16">
        <f t="shared" si="5"/>
        <v>0.00151806511919487</v>
      </c>
      <c r="E84" s="16">
        <f t="shared" si="7"/>
        <v>0.994664608912136</v>
      </c>
      <c r="F84" t="str">
        <f t="shared" si="6"/>
        <v>C</v>
      </c>
    </row>
    <row r="85" spans="2:6">
      <c r="B85" t="s">
        <v>1082</v>
      </c>
      <c r="C85" s="15">
        <v>1547.35</v>
      </c>
      <c r="D85" s="16">
        <f t="shared" si="5"/>
        <v>0.00110932532045052</v>
      </c>
      <c r="E85" s="16">
        <f t="shared" si="7"/>
        <v>0.995773934232587</v>
      </c>
      <c r="F85" t="str">
        <f t="shared" si="6"/>
        <v>C</v>
      </c>
    </row>
    <row r="86" spans="2:6">
      <c r="B86" t="s">
        <v>381</v>
      </c>
      <c r="C86" s="15">
        <v>1446.9507</v>
      </c>
      <c r="D86" s="16">
        <f t="shared" si="5"/>
        <v>0.00103734710889818</v>
      </c>
      <c r="E86" s="16">
        <f t="shared" si="7"/>
        <v>0.996811281341485</v>
      </c>
      <c r="F86" t="str">
        <f t="shared" si="6"/>
        <v>C</v>
      </c>
    </row>
    <row r="87" spans="2:6">
      <c r="B87" t="s">
        <v>1341</v>
      </c>
      <c r="C87" s="15">
        <v>1030.7574</v>
      </c>
      <c r="D87" s="16">
        <f t="shared" si="5"/>
        <v>0.000738970034615145</v>
      </c>
      <c r="E87" s="16">
        <f t="shared" si="7"/>
        <v>0.9975502513761</v>
      </c>
      <c r="F87" t="str">
        <f t="shared" si="6"/>
        <v>C</v>
      </c>
    </row>
    <row r="88" spans="2:6">
      <c r="B88" t="s">
        <v>1136</v>
      </c>
      <c r="C88" s="15">
        <v>1010.37592</v>
      </c>
      <c r="D88" s="16">
        <f t="shared" si="5"/>
        <v>0.000724358155058318</v>
      </c>
      <c r="E88" s="16">
        <f t="shared" si="7"/>
        <v>0.998274609531158</v>
      </c>
      <c r="F88" t="str">
        <f t="shared" si="6"/>
        <v>C</v>
      </c>
    </row>
    <row r="89" spans="2:6">
      <c r="B89" t="s">
        <v>1024</v>
      </c>
      <c r="C89" s="15">
        <v>930.17574</v>
      </c>
      <c r="D89" s="16">
        <f t="shared" si="5"/>
        <v>0.000666861085630788</v>
      </c>
      <c r="E89" s="16">
        <f t="shared" si="7"/>
        <v>0.998941470616789</v>
      </c>
      <c r="F89" t="str">
        <f t="shared" si="6"/>
        <v>C</v>
      </c>
    </row>
    <row r="90" spans="2:6">
      <c r="B90" t="s">
        <v>545</v>
      </c>
      <c r="C90" s="15">
        <v>908.037</v>
      </c>
      <c r="D90" s="16">
        <f t="shared" si="5"/>
        <v>0.000650989392190473</v>
      </c>
      <c r="E90" s="16">
        <f t="shared" si="7"/>
        <v>0.99959246000898</v>
      </c>
      <c r="F90" t="str">
        <f t="shared" si="6"/>
        <v>C</v>
      </c>
    </row>
    <row r="91" spans="2:6">
      <c r="B91" t="s">
        <v>318</v>
      </c>
      <c r="C91" s="15">
        <v>549.8001</v>
      </c>
      <c r="D91" s="16">
        <f t="shared" si="5"/>
        <v>0.000394162388674979</v>
      </c>
      <c r="E91" s="16">
        <f t="shared" si="7"/>
        <v>0.999986622397655</v>
      </c>
      <c r="F91" t="str">
        <f t="shared" si="6"/>
        <v>C</v>
      </c>
    </row>
    <row r="92" spans="2:6">
      <c r="B92" t="s">
        <v>464</v>
      </c>
      <c r="C92" s="15">
        <v>18.65984</v>
      </c>
      <c r="D92" s="16">
        <f t="shared" si="5"/>
        <v>1.33776023443665e-5</v>
      </c>
      <c r="E92" s="16">
        <f t="shared" si="7"/>
        <v>0.999999999999999</v>
      </c>
      <c r="F92" t="str">
        <f t="shared" si="6"/>
        <v>C</v>
      </c>
    </row>
    <row r="93" spans="1:3">
      <c r="A93" t="s">
        <v>22</v>
      </c>
      <c r="C93" s="15">
        <v>1545646.99758</v>
      </c>
    </row>
    <row r="94" spans="2:6">
      <c r="B94" t="s">
        <v>577</v>
      </c>
      <c r="C94" s="15">
        <v>139277.83032</v>
      </c>
      <c r="D94" s="16">
        <f>C94/$C$93</f>
        <v>0.0901097278602848</v>
      </c>
      <c r="E94" s="16">
        <f>D94</f>
        <v>0.0901097278602848</v>
      </c>
      <c r="F94" t="str">
        <f t="shared" si="6"/>
        <v>A</v>
      </c>
    </row>
    <row r="95" spans="2:6">
      <c r="B95" t="s">
        <v>1032</v>
      </c>
      <c r="C95" s="15">
        <v>84136.1196</v>
      </c>
      <c r="D95" s="16">
        <f t="shared" ref="D95:D126" si="8">C95/$C$93</f>
        <v>0.0544342399860582</v>
      </c>
      <c r="E95" s="16">
        <f>E94+D95</f>
        <v>0.144543967846343</v>
      </c>
      <c r="F95" t="str">
        <f t="shared" si="6"/>
        <v>A</v>
      </c>
    </row>
    <row r="96" spans="2:6">
      <c r="B96" t="s">
        <v>355</v>
      </c>
      <c r="C96" s="15">
        <v>65111.38614</v>
      </c>
      <c r="D96" s="16">
        <f t="shared" si="8"/>
        <v>0.0421256510975301</v>
      </c>
      <c r="E96" s="16">
        <f t="shared" ref="E96:E127" si="9">E95+D96</f>
        <v>0.186669618943873</v>
      </c>
      <c r="F96" t="str">
        <f t="shared" si="6"/>
        <v>A</v>
      </c>
    </row>
    <row r="97" spans="2:6">
      <c r="B97" t="s">
        <v>76</v>
      </c>
      <c r="C97" s="15">
        <v>60928.50236</v>
      </c>
      <c r="D97" s="16">
        <f t="shared" si="8"/>
        <v>0.0394194162414801</v>
      </c>
      <c r="E97" s="16">
        <f t="shared" si="9"/>
        <v>0.226089035185353</v>
      </c>
      <c r="F97" t="str">
        <f t="shared" si="6"/>
        <v>A</v>
      </c>
    </row>
    <row r="98" spans="2:6">
      <c r="B98" t="s">
        <v>1126</v>
      </c>
      <c r="C98" s="15">
        <v>50296.4154</v>
      </c>
      <c r="D98" s="16">
        <f t="shared" si="8"/>
        <v>0.0325406871547957</v>
      </c>
      <c r="E98" s="16">
        <f t="shared" si="9"/>
        <v>0.258629722340149</v>
      </c>
      <c r="F98" t="str">
        <f t="shared" si="6"/>
        <v>A</v>
      </c>
    </row>
    <row r="99" spans="2:6">
      <c r="B99" t="s">
        <v>886</v>
      </c>
      <c r="C99" s="15">
        <v>48097.91105</v>
      </c>
      <c r="D99" s="16">
        <f t="shared" si="8"/>
        <v>0.0311183026430397</v>
      </c>
      <c r="E99" s="16">
        <f t="shared" si="9"/>
        <v>0.289748024983189</v>
      </c>
      <c r="F99" t="str">
        <f t="shared" si="6"/>
        <v>A</v>
      </c>
    </row>
    <row r="100" spans="2:6">
      <c r="B100" t="s">
        <v>1339</v>
      </c>
      <c r="C100" s="15">
        <v>41419.52425</v>
      </c>
      <c r="D100" s="16">
        <f t="shared" si="8"/>
        <v>0.0267975315934687</v>
      </c>
      <c r="E100" s="16">
        <f t="shared" si="9"/>
        <v>0.316545556576657</v>
      </c>
      <c r="F100" t="str">
        <f t="shared" si="6"/>
        <v>A</v>
      </c>
    </row>
    <row r="101" spans="2:6">
      <c r="B101" t="s">
        <v>1359</v>
      </c>
      <c r="C101" s="15">
        <v>40476.0132</v>
      </c>
      <c r="D101" s="16">
        <f t="shared" si="8"/>
        <v>0.0261871004591429</v>
      </c>
      <c r="E101" s="16">
        <f t="shared" si="9"/>
        <v>0.3427326570358</v>
      </c>
      <c r="F101" t="str">
        <f t="shared" si="6"/>
        <v>A</v>
      </c>
    </row>
    <row r="102" spans="2:6">
      <c r="B102" t="s">
        <v>212</v>
      </c>
      <c r="C102" s="15">
        <v>33687.5018</v>
      </c>
      <c r="D102" s="16">
        <f t="shared" si="8"/>
        <v>0.0217950811878418</v>
      </c>
      <c r="E102" s="16">
        <f t="shared" si="9"/>
        <v>0.364527738223642</v>
      </c>
      <c r="F102" t="str">
        <f t="shared" si="6"/>
        <v>A</v>
      </c>
    </row>
    <row r="103" spans="2:6">
      <c r="B103" t="s">
        <v>1130</v>
      </c>
      <c r="C103" s="15">
        <v>33308.55</v>
      </c>
      <c r="D103" s="16">
        <f t="shared" si="8"/>
        <v>0.0215499076128966</v>
      </c>
      <c r="E103" s="16">
        <f t="shared" si="9"/>
        <v>0.386077645836538</v>
      </c>
      <c r="F103" t="str">
        <f t="shared" si="6"/>
        <v>A</v>
      </c>
    </row>
    <row r="104" spans="2:6">
      <c r="B104" t="s">
        <v>1112</v>
      </c>
      <c r="C104" s="15">
        <v>32335.21802</v>
      </c>
      <c r="D104" s="16">
        <f t="shared" si="8"/>
        <v>0.0209201829852656</v>
      </c>
      <c r="E104" s="16">
        <f t="shared" si="9"/>
        <v>0.406997828821804</v>
      </c>
      <c r="F104" t="str">
        <f t="shared" si="6"/>
        <v>A</v>
      </c>
    </row>
    <row r="105" spans="2:6">
      <c r="B105" t="s">
        <v>215</v>
      </c>
      <c r="C105" s="15">
        <v>27701.5704</v>
      </c>
      <c r="D105" s="16">
        <f t="shared" si="8"/>
        <v>0.0179223137258197</v>
      </c>
      <c r="E105" s="16">
        <f t="shared" si="9"/>
        <v>0.424920142547624</v>
      </c>
      <c r="F105" t="str">
        <f t="shared" si="6"/>
        <v>A</v>
      </c>
    </row>
    <row r="106" spans="2:6">
      <c r="B106" t="s">
        <v>320</v>
      </c>
      <c r="C106" s="15">
        <v>27676.35</v>
      </c>
      <c r="D106" s="16">
        <f t="shared" si="8"/>
        <v>0.0179059966753939</v>
      </c>
      <c r="E106" s="16">
        <f t="shared" si="9"/>
        <v>0.442826139223018</v>
      </c>
      <c r="F106" t="str">
        <f t="shared" si="6"/>
        <v>A</v>
      </c>
    </row>
    <row r="107" spans="2:6">
      <c r="B107" t="s">
        <v>155</v>
      </c>
      <c r="C107" s="15">
        <v>27331.83</v>
      </c>
      <c r="D107" s="16">
        <f t="shared" si="8"/>
        <v>0.0176830997263884</v>
      </c>
      <c r="E107" s="16">
        <f t="shared" si="9"/>
        <v>0.460509238949406</v>
      </c>
      <c r="F107" t="str">
        <f t="shared" si="6"/>
        <v>A</v>
      </c>
    </row>
    <row r="108" spans="2:6">
      <c r="B108" t="s">
        <v>799</v>
      </c>
      <c r="C108" s="15">
        <v>27158.89408</v>
      </c>
      <c r="D108" s="16">
        <f t="shared" si="8"/>
        <v>0.0175712139463424</v>
      </c>
      <c r="E108" s="16">
        <f t="shared" si="9"/>
        <v>0.478080452895749</v>
      </c>
      <c r="F108" t="str">
        <f t="shared" si="6"/>
        <v>A</v>
      </c>
    </row>
    <row r="109" spans="2:6">
      <c r="B109" t="s">
        <v>751</v>
      </c>
      <c r="C109" s="15">
        <v>26015.44946</v>
      </c>
      <c r="D109" s="16">
        <f t="shared" si="8"/>
        <v>0.0168314301394381</v>
      </c>
      <c r="E109" s="16">
        <f t="shared" si="9"/>
        <v>0.494911883035187</v>
      </c>
      <c r="F109" t="str">
        <f t="shared" si="6"/>
        <v>A</v>
      </c>
    </row>
    <row r="110" spans="2:6">
      <c r="B110" t="s">
        <v>703</v>
      </c>
      <c r="C110" s="15">
        <v>25577.27408</v>
      </c>
      <c r="D110" s="16">
        <f t="shared" si="8"/>
        <v>0.0165479401959477</v>
      </c>
      <c r="E110" s="16">
        <f t="shared" si="9"/>
        <v>0.511459823231134</v>
      </c>
      <c r="F110" t="str">
        <f t="shared" si="6"/>
        <v>A</v>
      </c>
    </row>
    <row r="111" spans="2:6">
      <c r="B111" t="s">
        <v>1038</v>
      </c>
      <c r="C111" s="15">
        <v>25269.09</v>
      </c>
      <c r="D111" s="16">
        <f t="shared" si="8"/>
        <v>0.0163485517971202</v>
      </c>
      <c r="E111" s="16">
        <f t="shared" si="9"/>
        <v>0.527808375028255</v>
      </c>
      <c r="F111" t="str">
        <f t="shared" si="6"/>
        <v>A</v>
      </c>
    </row>
    <row r="112" spans="2:6">
      <c r="B112" t="s">
        <v>1275</v>
      </c>
      <c r="C112" s="15">
        <v>25131.156</v>
      </c>
      <c r="D112" s="16">
        <f t="shared" si="8"/>
        <v>0.0162593114982577</v>
      </c>
      <c r="E112" s="16">
        <f t="shared" si="9"/>
        <v>0.544067686526512</v>
      </c>
      <c r="F112" t="str">
        <f t="shared" si="6"/>
        <v>A</v>
      </c>
    </row>
    <row r="113" spans="2:6">
      <c r="B113" t="s">
        <v>127</v>
      </c>
      <c r="C113" s="15">
        <v>24894.43056</v>
      </c>
      <c r="D113" s="16">
        <f t="shared" si="8"/>
        <v>0.0161061552857651</v>
      </c>
      <c r="E113" s="16">
        <f t="shared" si="9"/>
        <v>0.560173841812277</v>
      </c>
      <c r="F113" t="str">
        <f t="shared" si="6"/>
        <v>A</v>
      </c>
    </row>
    <row r="114" spans="2:6">
      <c r="B114" t="s">
        <v>1020</v>
      </c>
      <c r="C114" s="15">
        <v>24321.57</v>
      </c>
      <c r="D114" s="16">
        <f t="shared" si="8"/>
        <v>0.0157355269593122</v>
      </c>
      <c r="E114" s="16">
        <f t="shared" si="9"/>
        <v>0.57590936877159</v>
      </c>
      <c r="F114" t="str">
        <f t="shared" si="6"/>
        <v>A</v>
      </c>
    </row>
    <row r="115" spans="2:6">
      <c r="B115" t="s">
        <v>418</v>
      </c>
      <c r="C115" s="15">
        <v>24147.9225</v>
      </c>
      <c r="D115" s="16">
        <f t="shared" si="8"/>
        <v>0.0156231808024783</v>
      </c>
      <c r="E115" s="16">
        <f t="shared" si="9"/>
        <v>0.591532549574068</v>
      </c>
      <c r="F115" t="str">
        <f t="shared" si="6"/>
        <v>A</v>
      </c>
    </row>
    <row r="116" spans="2:6">
      <c r="B116" t="s">
        <v>1006</v>
      </c>
      <c r="C116" s="15">
        <v>23694.40512</v>
      </c>
      <c r="D116" s="16">
        <f t="shared" si="8"/>
        <v>0.0153297649185733</v>
      </c>
      <c r="E116" s="16">
        <f t="shared" si="9"/>
        <v>0.606862314492641</v>
      </c>
      <c r="F116" t="str">
        <f t="shared" si="6"/>
        <v>A</v>
      </c>
    </row>
    <row r="117" spans="2:6">
      <c r="B117" t="s">
        <v>623</v>
      </c>
      <c r="C117" s="15">
        <v>22882.67544</v>
      </c>
      <c r="D117" s="16">
        <f t="shared" si="8"/>
        <v>0.0148045934652784</v>
      </c>
      <c r="E117" s="16">
        <f t="shared" si="9"/>
        <v>0.62166690795792</v>
      </c>
      <c r="F117" t="str">
        <f t="shared" si="6"/>
        <v>A</v>
      </c>
    </row>
    <row r="118" spans="2:6">
      <c r="B118" t="s">
        <v>254</v>
      </c>
      <c r="C118" s="15">
        <v>21787.9362</v>
      </c>
      <c r="D118" s="16">
        <f t="shared" si="8"/>
        <v>0.0140963209802194</v>
      </c>
      <c r="E118" s="16">
        <f t="shared" si="9"/>
        <v>0.635763228938139</v>
      </c>
      <c r="F118" t="str">
        <f t="shared" si="6"/>
        <v>A</v>
      </c>
    </row>
    <row r="119" spans="2:6">
      <c r="B119" t="s">
        <v>833</v>
      </c>
      <c r="C119" s="15">
        <v>21584.69352</v>
      </c>
      <c r="D119" s="16">
        <f t="shared" si="8"/>
        <v>0.0139648273854217</v>
      </c>
      <c r="E119" s="16">
        <f t="shared" si="9"/>
        <v>0.649728056323561</v>
      </c>
      <c r="F119" t="str">
        <f t="shared" si="6"/>
        <v>A</v>
      </c>
    </row>
    <row r="120" spans="2:6">
      <c r="B120" t="s">
        <v>890</v>
      </c>
      <c r="C120" s="15">
        <v>19800.88896</v>
      </c>
      <c r="D120" s="16">
        <f t="shared" si="8"/>
        <v>0.0128107446208623</v>
      </c>
      <c r="E120" s="16">
        <f t="shared" si="9"/>
        <v>0.662538800944423</v>
      </c>
      <c r="F120" t="str">
        <f t="shared" si="6"/>
        <v>A</v>
      </c>
    </row>
    <row r="121" spans="2:6">
      <c r="B121" t="s">
        <v>615</v>
      </c>
      <c r="C121" s="15">
        <v>19073.05965</v>
      </c>
      <c r="D121" s="16">
        <f t="shared" si="8"/>
        <v>0.0123398548826883</v>
      </c>
      <c r="E121" s="16">
        <f t="shared" si="9"/>
        <v>0.674878655827111</v>
      </c>
      <c r="F121" t="str">
        <f t="shared" si="6"/>
        <v>A</v>
      </c>
    </row>
    <row r="122" spans="2:6">
      <c r="B122" t="s">
        <v>160</v>
      </c>
      <c r="C122" s="15">
        <v>18957.37689</v>
      </c>
      <c r="D122" s="16">
        <f t="shared" si="8"/>
        <v>0.0122650106522908</v>
      </c>
      <c r="E122" s="16">
        <f t="shared" si="9"/>
        <v>0.687143666479402</v>
      </c>
      <c r="F122" t="str">
        <f t="shared" si="6"/>
        <v>A</v>
      </c>
    </row>
    <row r="123" spans="2:6">
      <c r="B123" t="s">
        <v>837</v>
      </c>
      <c r="C123" s="15">
        <v>18554.3703</v>
      </c>
      <c r="D123" s="16">
        <f t="shared" si="8"/>
        <v>0.0120042741512456</v>
      </c>
      <c r="E123" s="16">
        <f t="shared" si="9"/>
        <v>0.699147940630648</v>
      </c>
      <c r="F123" t="str">
        <f t="shared" si="6"/>
        <v>A</v>
      </c>
    </row>
    <row r="124" spans="2:6">
      <c r="B124" t="s">
        <v>523</v>
      </c>
      <c r="C124" s="15">
        <v>18061.20432</v>
      </c>
      <c r="D124" s="16">
        <f t="shared" si="8"/>
        <v>0.0116852064852312</v>
      </c>
      <c r="E124" s="16">
        <f t="shared" si="9"/>
        <v>0.710833147115879</v>
      </c>
      <c r="F124" t="str">
        <f t="shared" si="6"/>
        <v>A</v>
      </c>
    </row>
    <row r="125" spans="2:6">
      <c r="B125" t="s">
        <v>180</v>
      </c>
      <c r="C125" s="15">
        <v>17930.49456</v>
      </c>
      <c r="D125" s="16">
        <f t="shared" si="8"/>
        <v>0.01160064011257</v>
      </c>
      <c r="E125" s="16">
        <f t="shared" si="9"/>
        <v>0.722433787228449</v>
      </c>
      <c r="F125" t="str">
        <f t="shared" si="6"/>
        <v>A</v>
      </c>
    </row>
    <row r="126" spans="2:6">
      <c r="B126" t="s">
        <v>637</v>
      </c>
      <c r="C126" s="15">
        <v>17594.02888</v>
      </c>
      <c r="D126" s="16">
        <f t="shared" si="8"/>
        <v>0.0113829541334773</v>
      </c>
      <c r="E126" s="16">
        <f t="shared" si="9"/>
        <v>0.733816741361926</v>
      </c>
      <c r="F126" t="str">
        <f t="shared" si="6"/>
        <v>A</v>
      </c>
    </row>
    <row r="127" spans="2:6">
      <c r="B127" t="s">
        <v>1233</v>
      </c>
      <c r="C127" s="15">
        <v>17540.20112</v>
      </c>
      <c r="D127" s="16">
        <f t="shared" ref="D127:D158" si="10">C127/$C$93</f>
        <v>0.0113481287431493</v>
      </c>
      <c r="E127" s="16">
        <f t="shared" si="9"/>
        <v>0.745164870105075</v>
      </c>
      <c r="F127" t="str">
        <f t="shared" si="6"/>
        <v>A</v>
      </c>
    </row>
    <row r="128" spans="2:6">
      <c r="B128" t="s">
        <v>906</v>
      </c>
      <c r="C128" s="15">
        <v>16946.09184</v>
      </c>
      <c r="D128" s="16">
        <f t="shared" si="10"/>
        <v>0.0109637529568733</v>
      </c>
      <c r="E128" s="16">
        <f t="shared" ref="E128:E159" si="11">E127+D128</f>
        <v>0.756128623061949</v>
      </c>
      <c r="F128" t="str">
        <f t="shared" si="6"/>
        <v>A</v>
      </c>
    </row>
    <row r="129" spans="2:6">
      <c r="B129" t="s">
        <v>1046</v>
      </c>
      <c r="C129" s="15">
        <v>15374.5632</v>
      </c>
      <c r="D129" s="16">
        <f t="shared" si="10"/>
        <v>0.0099470080969793</v>
      </c>
      <c r="E129" s="16">
        <f t="shared" si="11"/>
        <v>0.766075631158928</v>
      </c>
      <c r="F129" t="str">
        <f t="shared" si="6"/>
        <v>A</v>
      </c>
    </row>
    <row r="130" spans="2:6">
      <c r="B130" t="s">
        <v>857</v>
      </c>
      <c r="C130" s="15">
        <v>15348.7026</v>
      </c>
      <c r="D130" s="16">
        <f t="shared" si="10"/>
        <v>0.00993027685107355</v>
      </c>
      <c r="E130" s="16">
        <f t="shared" si="11"/>
        <v>0.776005908010001</v>
      </c>
      <c r="F130" t="str">
        <f t="shared" si="6"/>
        <v>A</v>
      </c>
    </row>
    <row r="131" spans="2:6">
      <c r="B131" t="s">
        <v>571</v>
      </c>
      <c r="C131" s="15">
        <v>14269.8486</v>
      </c>
      <c r="D131" s="16">
        <f t="shared" si="10"/>
        <v>0.00923228177089732</v>
      </c>
      <c r="E131" s="16">
        <f t="shared" si="11"/>
        <v>0.785238189780899</v>
      </c>
      <c r="F131" t="str">
        <f t="shared" si="6"/>
        <v>A</v>
      </c>
    </row>
    <row r="132" spans="2:6">
      <c r="B132" t="s">
        <v>271</v>
      </c>
      <c r="C132" s="15">
        <v>14197.0644</v>
      </c>
      <c r="D132" s="16">
        <f t="shared" si="10"/>
        <v>0.0091851919760645</v>
      </c>
      <c r="E132" s="16">
        <f t="shared" si="11"/>
        <v>0.794423381756963</v>
      </c>
      <c r="F132" t="str">
        <f t="shared" si="6"/>
        <v>A</v>
      </c>
    </row>
    <row r="133" spans="2:6">
      <c r="B133" t="s">
        <v>1353</v>
      </c>
      <c r="C133" s="15">
        <v>13983.75273</v>
      </c>
      <c r="D133" s="16">
        <f t="shared" si="10"/>
        <v>0.00904718396366971</v>
      </c>
      <c r="E133" s="16">
        <f t="shared" si="11"/>
        <v>0.803470565720633</v>
      </c>
      <c r="F133" t="str">
        <f t="shared" si="6"/>
        <v>B</v>
      </c>
    </row>
    <row r="134" spans="2:6">
      <c r="B134" t="s">
        <v>543</v>
      </c>
      <c r="C134" s="15">
        <v>13519.5291</v>
      </c>
      <c r="D134" s="16">
        <f t="shared" si="10"/>
        <v>0.00874684136880372</v>
      </c>
      <c r="E134" s="16">
        <f t="shared" si="11"/>
        <v>0.812217407089437</v>
      </c>
      <c r="F134" t="str">
        <f t="shared" ref="F134:F197" si="12">IF(E134&lt;=80%,"A",IF(E134&lt;=95%,"B",IF(E134&lt;=100%,"C"," ")))</f>
        <v>B</v>
      </c>
    </row>
    <row r="135" spans="2:6">
      <c r="B135" t="s">
        <v>898</v>
      </c>
      <c r="C135" s="15">
        <v>13185.543</v>
      </c>
      <c r="D135" s="16">
        <f t="shared" si="10"/>
        <v>0.00853075962405675</v>
      </c>
      <c r="E135" s="16">
        <f t="shared" si="11"/>
        <v>0.820748166713493</v>
      </c>
      <c r="F135" t="str">
        <f t="shared" si="12"/>
        <v>B</v>
      </c>
    </row>
    <row r="136" spans="2:6">
      <c r="B136" t="s">
        <v>269</v>
      </c>
      <c r="C136" s="15">
        <v>13146.4707</v>
      </c>
      <c r="D136" s="16">
        <f t="shared" si="10"/>
        <v>0.00850548069551668</v>
      </c>
      <c r="E136" s="16">
        <f t="shared" si="11"/>
        <v>0.82925364740901</v>
      </c>
      <c r="F136" t="str">
        <f t="shared" si="12"/>
        <v>B</v>
      </c>
    </row>
    <row r="137" spans="2:6">
      <c r="B137" t="s">
        <v>603</v>
      </c>
      <c r="C137" s="15">
        <v>12186.3686</v>
      </c>
      <c r="D137" s="16">
        <f t="shared" si="10"/>
        <v>0.00788431551258473</v>
      </c>
      <c r="E137" s="16">
        <f t="shared" si="11"/>
        <v>0.837137962921595</v>
      </c>
      <c r="F137" t="str">
        <f t="shared" si="12"/>
        <v>B</v>
      </c>
    </row>
    <row r="138" spans="2:6">
      <c r="B138" t="s">
        <v>310</v>
      </c>
      <c r="C138" s="15">
        <v>12080.2152</v>
      </c>
      <c r="D138" s="16">
        <f t="shared" si="10"/>
        <v>0.00781563657090775</v>
      </c>
      <c r="E138" s="16">
        <f t="shared" si="11"/>
        <v>0.844953599492503</v>
      </c>
      <c r="F138" t="str">
        <f t="shared" si="12"/>
        <v>B</v>
      </c>
    </row>
    <row r="139" spans="2:6">
      <c r="B139" t="s">
        <v>163</v>
      </c>
      <c r="C139" s="15">
        <v>11995.15392</v>
      </c>
      <c r="D139" s="16">
        <f t="shared" si="10"/>
        <v>0.00776060377225891</v>
      </c>
      <c r="E139" s="16">
        <f t="shared" si="11"/>
        <v>0.852714203264762</v>
      </c>
      <c r="F139" t="str">
        <f t="shared" si="12"/>
        <v>B</v>
      </c>
    </row>
    <row r="140" spans="2:6">
      <c r="B140" t="s">
        <v>1283</v>
      </c>
      <c r="C140" s="15">
        <v>11742.8703</v>
      </c>
      <c r="D140" s="16">
        <f t="shared" si="10"/>
        <v>0.00759738175559211</v>
      </c>
      <c r="E140" s="16">
        <f t="shared" si="11"/>
        <v>0.860311585020354</v>
      </c>
      <c r="F140" t="str">
        <f t="shared" si="12"/>
        <v>B</v>
      </c>
    </row>
    <row r="141" spans="2:6">
      <c r="B141" t="s">
        <v>681</v>
      </c>
      <c r="C141" s="15">
        <v>10456.41688</v>
      </c>
      <c r="D141" s="16">
        <f t="shared" si="10"/>
        <v>0.00676507436456803</v>
      </c>
      <c r="E141" s="16">
        <f t="shared" si="11"/>
        <v>0.867076659384922</v>
      </c>
      <c r="F141" t="str">
        <f t="shared" si="12"/>
        <v>B</v>
      </c>
    </row>
    <row r="142" spans="2:6">
      <c r="B142" t="s">
        <v>142</v>
      </c>
      <c r="C142" s="15">
        <v>9805.85738</v>
      </c>
      <c r="D142" s="16">
        <f t="shared" si="10"/>
        <v>0.0063441765133649</v>
      </c>
      <c r="E142" s="16">
        <f t="shared" si="11"/>
        <v>0.873420835898287</v>
      </c>
      <c r="F142" t="str">
        <f t="shared" si="12"/>
        <v>B</v>
      </c>
    </row>
    <row r="143" spans="2:6">
      <c r="B143" t="s">
        <v>375</v>
      </c>
      <c r="C143" s="15">
        <v>9698.16384</v>
      </c>
      <c r="D143" s="16">
        <f t="shared" si="10"/>
        <v>0.00627450113459561</v>
      </c>
      <c r="E143" s="16">
        <f t="shared" si="11"/>
        <v>0.879695337032882</v>
      </c>
      <c r="F143" t="str">
        <f t="shared" si="12"/>
        <v>B</v>
      </c>
    </row>
    <row r="144" spans="2:6">
      <c r="B144" t="s">
        <v>236</v>
      </c>
      <c r="C144" s="15">
        <v>8930.7125</v>
      </c>
      <c r="D144" s="16">
        <f t="shared" si="10"/>
        <v>0.00577797680452439</v>
      </c>
      <c r="E144" s="16">
        <f t="shared" si="11"/>
        <v>0.885473313837407</v>
      </c>
      <c r="F144" t="str">
        <f t="shared" si="12"/>
        <v>B</v>
      </c>
    </row>
    <row r="145" spans="2:6">
      <c r="B145" t="s">
        <v>446</v>
      </c>
      <c r="C145" s="15">
        <v>8928.9796</v>
      </c>
      <c r="D145" s="16">
        <f t="shared" si="10"/>
        <v>0.00577685565590332</v>
      </c>
      <c r="E145" s="16">
        <f t="shared" si="11"/>
        <v>0.89125016949331</v>
      </c>
      <c r="F145" t="str">
        <f t="shared" si="12"/>
        <v>B</v>
      </c>
    </row>
    <row r="146" spans="2:6">
      <c r="B146" t="s">
        <v>353</v>
      </c>
      <c r="C146" s="15">
        <v>8909.85872</v>
      </c>
      <c r="D146" s="16">
        <f t="shared" si="10"/>
        <v>0.00576448486229395</v>
      </c>
      <c r="E146" s="16">
        <f t="shared" si="11"/>
        <v>0.897014654355604</v>
      </c>
      <c r="F146" t="str">
        <f t="shared" si="12"/>
        <v>B</v>
      </c>
    </row>
    <row r="147" spans="2:6">
      <c r="B147" t="s">
        <v>691</v>
      </c>
      <c r="C147" s="15">
        <v>8903.484</v>
      </c>
      <c r="D147" s="16">
        <f t="shared" si="10"/>
        <v>0.00576036055706127</v>
      </c>
      <c r="E147" s="16">
        <f t="shared" si="11"/>
        <v>0.902775014912665</v>
      </c>
      <c r="F147" t="str">
        <f t="shared" si="12"/>
        <v>B</v>
      </c>
    </row>
    <row r="148" spans="2:6">
      <c r="B148" t="s">
        <v>733</v>
      </c>
      <c r="C148" s="15">
        <v>8780.5809</v>
      </c>
      <c r="D148" s="16">
        <f t="shared" si="10"/>
        <v>0.00568084492367769</v>
      </c>
      <c r="E148" s="16">
        <f t="shared" si="11"/>
        <v>0.908455859836343</v>
      </c>
      <c r="F148" t="str">
        <f t="shared" si="12"/>
        <v>B</v>
      </c>
    </row>
    <row r="149" spans="2:6">
      <c r="B149" t="s">
        <v>1293</v>
      </c>
      <c r="C149" s="15">
        <v>8128.51875</v>
      </c>
      <c r="D149" s="16">
        <f t="shared" si="10"/>
        <v>0.00525897489059709</v>
      </c>
      <c r="E149" s="16">
        <f t="shared" si="11"/>
        <v>0.91371483472694</v>
      </c>
      <c r="F149" t="str">
        <f t="shared" si="12"/>
        <v>B</v>
      </c>
    </row>
    <row r="150" spans="2:6">
      <c r="B150" t="s">
        <v>910</v>
      </c>
      <c r="C150" s="15">
        <v>7832.0011</v>
      </c>
      <c r="D150" s="16">
        <f t="shared" si="10"/>
        <v>0.00506713441831315</v>
      </c>
      <c r="E150" s="16">
        <f t="shared" si="11"/>
        <v>0.918781969145253</v>
      </c>
      <c r="F150" t="str">
        <f t="shared" si="12"/>
        <v>B</v>
      </c>
    </row>
    <row r="151" spans="2:6">
      <c r="B151" t="s">
        <v>1142</v>
      </c>
      <c r="C151" s="15">
        <v>7399.4832</v>
      </c>
      <c r="D151" s="16">
        <f t="shared" si="10"/>
        <v>0.00478730474137062</v>
      </c>
      <c r="E151" s="16">
        <f t="shared" si="11"/>
        <v>0.923569273886624</v>
      </c>
      <c r="F151" t="str">
        <f t="shared" si="12"/>
        <v>B</v>
      </c>
    </row>
    <row r="152" spans="2:6">
      <c r="B152" t="s">
        <v>976</v>
      </c>
      <c r="C152" s="15">
        <v>7340.38914</v>
      </c>
      <c r="D152" s="16">
        <f t="shared" si="10"/>
        <v>0.00474907216944927</v>
      </c>
      <c r="E152" s="16">
        <f t="shared" si="11"/>
        <v>0.928318346056073</v>
      </c>
      <c r="F152" t="str">
        <f t="shared" si="12"/>
        <v>B</v>
      </c>
    </row>
    <row r="153" spans="2:6">
      <c r="B153" t="s">
        <v>248</v>
      </c>
      <c r="C153" s="15">
        <v>6874.48286</v>
      </c>
      <c r="D153" s="16">
        <f t="shared" si="10"/>
        <v>0.00444764093661961</v>
      </c>
      <c r="E153" s="16">
        <f t="shared" si="11"/>
        <v>0.932765986992693</v>
      </c>
      <c r="F153" t="str">
        <f t="shared" si="12"/>
        <v>B</v>
      </c>
    </row>
    <row r="154" spans="2:6">
      <c r="B154" t="s">
        <v>1223</v>
      </c>
      <c r="C154" s="15">
        <v>6766.983</v>
      </c>
      <c r="D154" s="16">
        <f t="shared" si="10"/>
        <v>0.00437809086459909</v>
      </c>
      <c r="E154" s="16">
        <f t="shared" si="11"/>
        <v>0.937144077857292</v>
      </c>
      <c r="F154" t="str">
        <f t="shared" si="12"/>
        <v>B</v>
      </c>
    </row>
    <row r="155" spans="2:6">
      <c r="B155" t="s">
        <v>515</v>
      </c>
      <c r="C155" s="15">
        <v>6702.3502</v>
      </c>
      <c r="D155" s="16">
        <f t="shared" si="10"/>
        <v>0.0043362748483281</v>
      </c>
      <c r="E155" s="16">
        <f t="shared" si="11"/>
        <v>0.94148035270562</v>
      </c>
      <c r="F155" t="str">
        <f t="shared" si="12"/>
        <v>B</v>
      </c>
    </row>
    <row r="156" spans="2:6">
      <c r="B156" t="s">
        <v>1084</v>
      </c>
      <c r="C156" s="15">
        <v>6664.1</v>
      </c>
      <c r="D156" s="16">
        <f t="shared" si="10"/>
        <v>0.00431152780061288</v>
      </c>
      <c r="E156" s="16">
        <f t="shared" si="11"/>
        <v>0.945791880506233</v>
      </c>
      <c r="F156" t="str">
        <f t="shared" si="12"/>
        <v>B</v>
      </c>
    </row>
    <row r="157" spans="2:6">
      <c r="B157" t="s">
        <v>1150</v>
      </c>
      <c r="C157" s="15">
        <v>6435.2556</v>
      </c>
      <c r="D157" s="16">
        <f t="shared" si="10"/>
        <v>0.00416347044964057</v>
      </c>
      <c r="E157" s="16">
        <f t="shared" si="11"/>
        <v>0.949955350955874</v>
      </c>
      <c r="F157" t="str">
        <f t="shared" si="12"/>
        <v>B</v>
      </c>
    </row>
    <row r="158" spans="2:6">
      <c r="B158" t="s">
        <v>302</v>
      </c>
      <c r="C158" s="15">
        <v>6324.5776</v>
      </c>
      <c r="D158" s="16">
        <f t="shared" si="10"/>
        <v>0.00409186419014323</v>
      </c>
      <c r="E158" s="16">
        <f t="shared" si="11"/>
        <v>0.954047215146017</v>
      </c>
      <c r="F158" t="str">
        <f t="shared" si="12"/>
        <v>C</v>
      </c>
    </row>
    <row r="159" spans="2:6">
      <c r="B159" t="s">
        <v>1263</v>
      </c>
      <c r="C159" s="15">
        <v>6137.802</v>
      </c>
      <c r="D159" s="16">
        <f t="shared" ref="D159:D183" si="13">C159/$C$93</f>
        <v>0.00397102443805726</v>
      </c>
      <c r="E159" s="16">
        <f t="shared" si="11"/>
        <v>0.958018239584074</v>
      </c>
      <c r="F159" t="str">
        <f t="shared" si="12"/>
        <v>C</v>
      </c>
    </row>
    <row r="160" spans="2:6">
      <c r="B160" t="s">
        <v>1072</v>
      </c>
      <c r="C160" s="15">
        <v>6063.25172</v>
      </c>
      <c r="D160" s="16">
        <f t="shared" si="13"/>
        <v>0.00392279202786481</v>
      </c>
      <c r="E160" s="16">
        <f t="shared" ref="E160:E183" si="14">E159+D160</f>
        <v>0.961941031611939</v>
      </c>
      <c r="F160" t="str">
        <f t="shared" si="12"/>
        <v>C</v>
      </c>
    </row>
    <row r="161" spans="2:6">
      <c r="B161" t="s">
        <v>426</v>
      </c>
      <c r="C161" s="15">
        <v>5650.1744</v>
      </c>
      <c r="D161" s="16">
        <f t="shared" si="13"/>
        <v>0.00365553998348032</v>
      </c>
      <c r="E161" s="16">
        <f t="shared" si="14"/>
        <v>0.965596571595419</v>
      </c>
      <c r="F161" t="str">
        <f t="shared" si="12"/>
        <v>C</v>
      </c>
    </row>
    <row r="162" spans="2:6">
      <c r="B162" t="s">
        <v>263</v>
      </c>
      <c r="C162" s="15">
        <v>5331.6696</v>
      </c>
      <c r="D162" s="16">
        <f t="shared" si="13"/>
        <v>0.00344947430321913</v>
      </c>
      <c r="E162" s="16">
        <f t="shared" si="14"/>
        <v>0.969046045898639</v>
      </c>
      <c r="F162" t="str">
        <f t="shared" si="12"/>
        <v>C</v>
      </c>
    </row>
    <row r="163" spans="2:6">
      <c r="B163" t="s">
        <v>88</v>
      </c>
      <c r="C163" s="15">
        <v>4968.504</v>
      </c>
      <c r="D163" s="16">
        <f t="shared" si="13"/>
        <v>0.00321451405643017</v>
      </c>
      <c r="E163" s="16">
        <f t="shared" si="14"/>
        <v>0.972260559955069</v>
      </c>
      <c r="F163" t="str">
        <f t="shared" si="12"/>
        <v>C</v>
      </c>
    </row>
    <row r="164" spans="2:6">
      <c r="B164" t="s">
        <v>23</v>
      </c>
      <c r="C164" s="15">
        <v>4866.3288</v>
      </c>
      <c r="D164" s="16">
        <f t="shared" si="13"/>
        <v>0.00314840892365408</v>
      </c>
      <c r="E164" s="16">
        <f t="shared" si="14"/>
        <v>0.975408968878723</v>
      </c>
      <c r="F164" t="str">
        <f t="shared" si="12"/>
        <v>C</v>
      </c>
    </row>
    <row r="165" spans="2:6">
      <c r="B165" t="s">
        <v>547</v>
      </c>
      <c r="C165" s="15">
        <v>4503.4364</v>
      </c>
      <c r="D165" s="16">
        <f t="shared" si="13"/>
        <v>0.00291362543132486</v>
      </c>
      <c r="E165" s="16">
        <f t="shared" si="14"/>
        <v>0.978322594310048</v>
      </c>
      <c r="F165" t="str">
        <f t="shared" si="12"/>
        <v>C</v>
      </c>
    </row>
    <row r="166" spans="2:6">
      <c r="B166" t="s">
        <v>246</v>
      </c>
      <c r="C166" s="15">
        <v>4427.9172</v>
      </c>
      <c r="D166" s="16">
        <f t="shared" si="13"/>
        <v>0.00286476615095991</v>
      </c>
      <c r="E166" s="16">
        <f t="shared" si="14"/>
        <v>0.981187360461008</v>
      </c>
      <c r="F166" t="str">
        <f t="shared" si="12"/>
        <v>C</v>
      </c>
    </row>
    <row r="167" spans="2:6">
      <c r="B167" t="s">
        <v>1056</v>
      </c>
      <c r="C167" s="15">
        <v>4212.3746</v>
      </c>
      <c r="D167" s="16">
        <f t="shared" si="13"/>
        <v>0.00272531477536285</v>
      </c>
      <c r="E167" s="16">
        <f t="shared" si="14"/>
        <v>0.98391267523637</v>
      </c>
      <c r="F167" t="str">
        <f t="shared" si="12"/>
        <v>C</v>
      </c>
    </row>
    <row r="168" spans="2:6">
      <c r="B168" t="s">
        <v>1124</v>
      </c>
      <c r="C168" s="15">
        <v>3525.55056</v>
      </c>
      <c r="D168" s="16">
        <f t="shared" si="13"/>
        <v>0.00228095455528973</v>
      </c>
      <c r="E168" s="16">
        <f t="shared" si="14"/>
        <v>0.98619362979166</v>
      </c>
      <c r="F168" t="str">
        <f t="shared" si="12"/>
        <v>C</v>
      </c>
    </row>
    <row r="169" spans="2:6">
      <c r="B169" t="s">
        <v>1241</v>
      </c>
      <c r="C169" s="15">
        <v>3378.14784</v>
      </c>
      <c r="D169" s="16">
        <f t="shared" si="13"/>
        <v>0.00218558820046823</v>
      </c>
      <c r="E169" s="16">
        <f t="shared" si="14"/>
        <v>0.988379217992128</v>
      </c>
      <c r="F169" t="str">
        <f t="shared" si="12"/>
        <v>C</v>
      </c>
    </row>
    <row r="170" spans="2:6">
      <c r="B170" t="s">
        <v>755</v>
      </c>
      <c r="C170" s="15">
        <v>2373.96232</v>
      </c>
      <c r="D170" s="16">
        <f t="shared" si="13"/>
        <v>0.00153590200331439</v>
      </c>
      <c r="E170" s="16">
        <f t="shared" si="14"/>
        <v>0.989915119995443</v>
      </c>
      <c r="F170" t="str">
        <f t="shared" si="12"/>
        <v>C</v>
      </c>
    </row>
    <row r="171" spans="2:6">
      <c r="B171" t="s">
        <v>442</v>
      </c>
      <c r="C171" s="15">
        <v>2316.2622</v>
      </c>
      <c r="D171" s="16">
        <f t="shared" si="13"/>
        <v>0.00149857128026422</v>
      </c>
      <c r="E171" s="16">
        <f t="shared" si="14"/>
        <v>0.991413691275707</v>
      </c>
      <c r="F171" t="str">
        <f t="shared" si="12"/>
        <v>C</v>
      </c>
    </row>
    <row r="172" spans="2:6">
      <c r="B172" t="s">
        <v>1319</v>
      </c>
      <c r="C172" s="15">
        <v>2077.46</v>
      </c>
      <c r="D172" s="16">
        <f t="shared" si="13"/>
        <v>0.00134407144920713</v>
      </c>
      <c r="E172" s="16">
        <f t="shared" si="14"/>
        <v>0.992757762724914</v>
      </c>
      <c r="F172" t="str">
        <f t="shared" si="12"/>
        <v>C</v>
      </c>
    </row>
    <row r="173" spans="2:6">
      <c r="B173" t="s">
        <v>351</v>
      </c>
      <c r="C173" s="15">
        <v>2072.92584</v>
      </c>
      <c r="D173" s="16">
        <f t="shared" si="13"/>
        <v>0.00134113794627464</v>
      </c>
      <c r="E173" s="16">
        <f t="shared" si="14"/>
        <v>0.994098900671189</v>
      </c>
      <c r="F173" t="str">
        <f t="shared" si="12"/>
        <v>C</v>
      </c>
    </row>
    <row r="174" spans="2:6">
      <c r="B174" t="s">
        <v>1030</v>
      </c>
      <c r="C174" s="15">
        <v>1808.04592</v>
      </c>
      <c r="D174" s="16">
        <f t="shared" si="13"/>
        <v>0.0011697663973927</v>
      </c>
      <c r="E174" s="16">
        <f t="shared" si="14"/>
        <v>0.995268667068582</v>
      </c>
      <c r="F174" t="str">
        <f t="shared" si="12"/>
        <v>C</v>
      </c>
    </row>
    <row r="175" spans="2:6">
      <c r="B175" t="s">
        <v>1022</v>
      </c>
      <c r="C175" s="15">
        <v>1662.69456</v>
      </c>
      <c r="D175" s="16">
        <f t="shared" si="13"/>
        <v>0.00107572722788791</v>
      </c>
      <c r="E175" s="16">
        <f t="shared" si="14"/>
        <v>0.996344394296469</v>
      </c>
      <c r="F175" t="str">
        <f t="shared" si="12"/>
        <v>C</v>
      </c>
    </row>
    <row r="176" spans="2:6">
      <c r="B176" t="s">
        <v>273</v>
      </c>
      <c r="C176" s="15">
        <v>1654.8966</v>
      </c>
      <c r="D176" s="16">
        <f t="shared" si="13"/>
        <v>0.00107068211732113</v>
      </c>
      <c r="E176" s="16">
        <f t="shared" si="14"/>
        <v>0.997415076413791</v>
      </c>
      <c r="F176" t="str">
        <f t="shared" si="12"/>
        <v>C</v>
      </c>
    </row>
    <row r="177" spans="2:6">
      <c r="B177" t="s">
        <v>1140</v>
      </c>
      <c r="C177" s="15">
        <v>855.72882</v>
      </c>
      <c r="D177" s="16">
        <f t="shared" si="13"/>
        <v>0.000553637940189322</v>
      </c>
      <c r="E177" s="16">
        <f t="shared" si="14"/>
        <v>0.99796871435398</v>
      </c>
      <c r="F177" t="str">
        <f t="shared" si="12"/>
        <v>C</v>
      </c>
    </row>
    <row r="178" spans="2:6">
      <c r="B178" t="s">
        <v>357</v>
      </c>
      <c r="C178" s="15">
        <v>853.32277</v>
      </c>
      <c r="D178" s="16">
        <f t="shared" si="13"/>
        <v>0.000552081278154739</v>
      </c>
      <c r="E178" s="16">
        <f t="shared" si="14"/>
        <v>0.998520795632135</v>
      </c>
      <c r="F178" t="str">
        <f t="shared" si="12"/>
        <v>C</v>
      </c>
    </row>
    <row r="179" spans="2:6">
      <c r="B179" t="s">
        <v>749</v>
      </c>
      <c r="C179" s="15">
        <v>703.2428</v>
      </c>
      <c r="D179" s="16">
        <f t="shared" si="13"/>
        <v>0.000454982800795433</v>
      </c>
      <c r="E179" s="16">
        <f t="shared" si="14"/>
        <v>0.99897577843293</v>
      </c>
      <c r="F179" t="str">
        <f t="shared" si="12"/>
        <v>C</v>
      </c>
    </row>
    <row r="180" spans="2:6">
      <c r="B180" t="s">
        <v>563</v>
      </c>
      <c r="C180" s="15">
        <v>667.15008</v>
      </c>
      <c r="D180" s="16">
        <f t="shared" si="13"/>
        <v>0.000431631595729522</v>
      </c>
      <c r="E180" s="16">
        <f t="shared" si="14"/>
        <v>0.99940741002866</v>
      </c>
      <c r="F180" t="str">
        <f t="shared" si="12"/>
        <v>C</v>
      </c>
    </row>
    <row r="181" spans="2:6">
      <c r="B181" t="s">
        <v>1251</v>
      </c>
      <c r="C181" s="15">
        <v>496.9866</v>
      </c>
      <c r="D181" s="16">
        <f t="shared" si="13"/>
        <v>0.000321539524081583</v>
      </c>
      <c r="E181" s="16">
        <f t="shared" si="14"/>
        <v>0.999728949552741</v>
      </c>
      <c r="F181" t="str">
        <f t="shared" si="12"/>
        <v>C</v>
      </c>
    </row>
    <row r="182" spans="2:6">
      <c r="B182" t="s">
        <v>458</v>
      </c>
      <c r="C182" s="15">
        <v>321.93291</v>
      </c>
      <c r="D182" s="16">
        <f t="shared" si="13"/>
        <v>0.000208283592892845</v>
      </c>
      <c r="E182" s="16">
        <f t="shared" si="14"/>
        <v>0.999937233145634</v>
      </c>
      <c r="F182" t="str">
        <f t="shared" si="12"/>
        <v>C</v>
      </c>
    </row>
    <row r="183" spans="2:6">
      <c r="B183" t="s">
        <v>448</v>
      </c>
      <c r="C183" s="15">
        <v>97.0154</v>
      </c>
      <c r="D183" s="16">
        <f t="shared" si="13"/>
        <v>6.27668543670682e-5</v>
      </c>
      <c r="E183" s="16">
        <f t="shared" si="14"/>
        <v>1</v>
      </c>
      <c r="F183" t="str">
        <f t="shared" si="12"/>
        <v>C</v>
      </c>
    </row>
    <row r="184" spans="1:3">
      <c r="A184" t="s">
        <v>57</v>
      </c>
      <c r="C184" s="15">
        <v>1711094.3776</v>
      </c>
    </row>
    <row r="185" spans="2:6">
      <c r="B185" t="s">
        <v>946</v>
      </c>
      <c r="C185" s="15">
        <v>102122.94204</v>
      </c>
      <c r="D185" s="16">
        <f>C185/$C$184</f>
        <v>0.0596828225122443</v>
      </c>
      <c r="E185" s="16">
        <f>D185</f>
        <v>0.0596828225122443</v>
      </c>
      <c r="F185" t="str">
        <f t="shared" si="12"/>
        <v>A</v>
      </c>
    </row>
    <row r="186" spans="2:6">
      <c r="B186" t="s">
        <v>827</v>
      </c>
      <c r="C186" s="15">
        <v>82514.71152</v>
      </c>
      <c r="D186" s="16">
        <f t="shared" ref="D186:D217" si="15">C186/$C$184</f>
        <v>0.0482233549476891</v>
      </c>
      <c r="E186" s="16">
        <f>E185+D186</f>
        <v>0.107906177459933</v>
      </c>
      <c r="F186" t="str">
        <f t="shared" si="12"/>
        <v>A</v>
      </c>
    </row>
    <row r="187" spans="2:6">
      <c r="B187" t="s">
        <v>336</v>
      </c>
      <c r="C187" s="15">
        <v>65119.3296</v>
      </c>
      <c r="D187" s="16">
        <f t="shared" si="15"/>
        <v>0.0380571232378994</v>
      </c>
      <c r="E187" s="16">
        <f t="shared" ref="E187:E218" si="16">E186+D187</f>
        <v>0.145963300697833</v>
      </c>
      <c r="F187" t="str">
        <f t="shared" si="12"/>
        <v>A</v>
      </c>
    </row>
    <row r="188" spans="2:6">
      <c r="B188" t="s">
        <v>878</v>
      </c>
      <c r="C188" s="15">
        <v>65066.93423</v>
      </c>
      <c r="D188" s="16">
        <f t="shared" si="15"/>
        <v>0.0380265022676678</v>
      </c>
      <c r="E188" s="16">
        <f t="shared" si="16"/>
        <v>0.183989802965501</v>
      </c>
      <c r="F188" t="str">
        <f t="shared" si="12"/>
        <v>A</v>
      </c>
    </row>
    <row r="189" spans="2:6">
      <c r="B189" t="s">
        <v>1144</v>
      </c>
      <c r="C189" s="15">
        <v>64192.977</v>
      </c>
      <c r="D189" s="16">
        <f t="shared" si="15"/>
        <v>0.0375157430474629</v>
      </c>
      <c r="E189" s="16">
        <f t="shared" si="16"/>
        <v>0.221505546012964</v>
      </c>
      <c r="F189" t="str">
        <f t="shared" si="12"/>
        <v>A</v>
      </c>
    </row>
    <row r="190" spans="2:6">
      <c r="B190" t="s">
        <v>1158</v>
      </c>
      <c r="C190" s="15">
        <v>58526.83122</v>
      </c>
      <c r="D190" s="16">
        <f t="shared" si="15"/>
        <v>0.0342043267666453</v>
      </c>
      <c r="E190" s="16">
        <f t="shared" si="16"/>
        <v>0.255709872779609</v>
      </c>
      <c r="F190" t="str">
        <f t="shared" si="12"/>
        <v>A</v>
      </c>
    </row>
    <row r="191" spans="2:6">
      <c r="B191" t="s">
        <v>964</v>
      </c>
      <c r="C191" s="15">
        <v>58057.65</v>
      </c>
      <c r="D191" s="16">
        <f t="shared" si="15"/>
        <v>0.0339301272682763</v>
      </c>
      <c r="E191" s="16">
        <f t="shared" si="16"/>
        <v>0.289640000047885</v>
      </c>
      <c r="F191" t="str">
        <f t="shared" si="12"/>
        <v>A</v>
      </c>
    </row>
    <row r="192" spans="2:6">
      <c r="B192" t="s">
        <v>1235</v>
      </c>
      <c r="C192" s="15">
        <v>44173.62796</v>
      </c>
      <c r="D192" s="16">
        <f t="shared" si="15"/>
        <v>0.0258160090631344</v>
      </c>
      <c r="E192" s="16">
        <f t="shared" si="16"/>
        <v>0.31545600911102</v>
      </c>
      <c r="F192" t="str">
        <f t="shared" si="12"/>
        <v>A</v>
      </c>
    </row>
    <row r="193" spans="2:6">
      <c r="B193" t="s">
        <v>1170</v>
      </c>
      <c r="C193" s="15">
        <v>42433.2544</v>
      </c>
      <c r="D193" s="16">
        <f t="shared" si="15"/>
        <v>0.0247988976853032</v>
      </c>
      <c r="E193" s="16">
        <f t="shared" si="16"/>
        <v>0.340254906796323</v>
      </c>
      <c r="F193" t="str">
        <f t="shared" si="12"/>
        <v>A</v>
      </c>
    </row>
    <row r="194" spans="2:6">
      <c r="B194" t="s">
        <v>1058</v>
      </c>
      <c r="C194" s="15">
        <v>41914.21584</v>
      </c>
      <c r="D194" s="16">
        <f t="shared" si="15"/>
        <v>0.0244955604954937</v>
      </c>
      <c r="E194" s="16">
        <f t="shared" si="16"/>
        <v>0.364750467291817</v>
      </c>
      <c r="F194" t="str">
        <f t="shared" si="12"/>
        <v>A</v>
      </c>
    </row>
    <row r="195" spans="2:6">
      <c r="B195" t="s">
        <v>1267</v>
      </c>
      <c r="C195" s="15">
        <v>40563.32175</v>
      </c>
      <c r="D195" s="16">
        <f t="shared" si="15"/>
        <v>0.0237060692157113</v>
      </c>
      <c r="E195" s="16">
        <f t="shared" si="16"/>
        <v>0.388456536507528</v>
      </c>
      <c r="F195" t="str">
        <f t="shared" si="12"/>
        <v>A</v>
      </c>
    </row>
    <row r="196" spans="2:6">
      <c r="B196" t="s">
        <v>631</v>
      </c>
      <c r="C196" s="15">
        <v>40139.87462</v>
      </c>
      <c r="D196" s="16">
        <f t="shared" si="15"/>
        <v>0.0234585976936589</v>
      </c>
      <c r="E196" s="16">
        <f t="shared" si="16"/>
        <v>0.411915134201187</v>
      </c>
      <c r="F196" t="str">
        <f t="shared" si="12"/>
        <v>A</v>
      </c>
    </row>
    <row r="197" spans="2:6">
      <c r="B197" t="s">
        <v>111</v>
      </c>
      <c r="C197" s="15">
        <v>39263.70292</v>
      </c>
      <c r="D197" s="16">
        <f t="shared" si="15"/>
        <v>0.0229465442900185</v>
      </c>
      <c r="E197" s="16">
        <f t="shared" si="16"/>
        <v>0.434861678491205</v>
      </c>
      <c r="F197" t="str">
        <f t="shared" si="12"/>
        <v>A</v>
      </c>
    </row>
    <row r="198" spans="2:6">
      <c r="B198" t="s">
        <v>1066</v>
      </c>
      <c r="C198" s="15">
        <v>36161.097</v>
      </c>
      <c r="D198" s="16">
        <f t="shared" si="15"/>
        <v>0.0211333153059155</v>
      </c>
      <c r="E198" s="16">
        <f t="shared" si="16"/>
        <v>0.455994993797121</v>
      </c>
      <c r="F198" t="str">
        <f t="shared" ref="F198:F261" si="17">IF(E198&lt;=80%,"A",IF(E198&lt;=95%,"B",IF(E198&lt;=100%,"C"," ")))</f>
        <v>A</v>
      </c>
    </row>
    <row r="199" spans="2:6">
      <c r="B199" t="s">
        <v>587</v>
      </c>
      <c r="C199" s="15">
        <v>34082.86464</v>
      </c>
      <c r="D199" s="16">
        <f t="shared" si="15"/>
        <v>0.0199187520490863</v>
      </c>
      <c r="E199" s="16">
        <f t="shared" si="16"/>
        <v>0.475913745846207</v>
      </c>
      <c r="F199" t="str">
        <f t="shared" si="17"/>
        <v>A</v>
      </c>
    </row>
    <row r="200" spans="2:6">
      <c r="B200" t="s">
        <v>1301</v>
      </c>
      <c r="C200" s="15">
        <v>33938.14276</v>
      </c>
      <c r="D200" s="16">
        <f t="shared" si="15"/>
        <v>0.0198341734998873</v>
      </c>
      <c r="E200" s="16">
        <f t="shared" si="16"/>
        <v>0.495747919346094</v>
      </c>
      <c r="F200" t="str">
        <f t="shared" si="17"/>
        <v>A</v>
      </c>
    </row>
    <row r="201" spans="2:6">
      <c r="B201" t="s">
        <v>450</v>
      </c>
      <c r="C201" s="15">
        <v>31556.1876</v>
      </c>
      <c r="D201" s="16">
        <f t="shared" si="15"/>
        <v>0.0184421081695453</v>
      </c>
      <c r="E201" s="16">
        <f t="shared" si="16"/>
        <v>0.514190027515639</v>
      </c>
      <c r="F201" t="str">
        <f t="shared" si="17"/>
        <v>A</v>
      </c>
    </row>
    <row r="202" spans="2:6">
      <c r="B202" t="s">
        <v>954</v>
      </c>
      <c r="C202" s="15">
        <v>30435.615</v>
      </c>
      <c r="D202" s="16">
        <f t="shared" si="15"/>
        <v>0.0177872216742886</v>
      </c>
      <c r="E202" s="16">
        <f t="shared" si="16"/>
        <v>0.531977249189928</v>
      </c>
      <c r="F202" t="str">
        <f t="shared" si="17"/>
        <v>A</v>
      </c>
    </row>
    <row r="203" spans="2:6">
      <c r="B203" t="s">
        <v>322</v>
      </c>
      <c r="C203" s="15">
        <v>30151.67532</v>
      </c>
      <c r="D203" s="16">
        <f t="shared" si="15"/>
        <v>0.0176212812774776</v>
      </c>
      <c r="E203" s="16">
        <f t="shared" si="16"/>
        <v>0.549598530467406</v>
      </c>
      <c r="F203" t="str">
        <f t="shared" si="17"/>
        <v>A</v>
      </c>
    </row>
    <row r="204" spans="2:6">
      <c r="B204" t="s">
        <v>204</v>
      </c>
      <c r="C204" s="15">
        <v>29659.68995</v>
      </c>
      <c r="D204" s="16">
        <f t="shared" si="15"/>
        <v>0.0173337545481279</v>
      </c>
      <c r="E204" s="16">
        <f t="shared" si="16"/>
        <v>0.566932285015533</v>
      </c>
      <c r="F204" t="str">
        <f t="shared" si="17"/>
        <v>A</v>
      </c>
    </row>
    <row r="205" spans="2:6">
      <c r="B205" t="s">
        <v>761</v>
      </c>
      <c r="C205" s="15">
        <v>27756.432</v>
      </c>
      <c r="D205" s="16">
        <f t="shared" si="15"/>
        <v>0.0162214500633983</v>
      </c>
      <c r="E205" s="16">
        <f t="shared" si="16"/>
        <v>0.583153735078932</v>
      </c>
      <c r="F205" t="str">
        <f t="shared" si="17"/>
        <v>A</v>
      </c>
    </row>
    <row r="206" spans="2:6">
      <c r="B206" t="s">
        <v>223</v>
      </c>
      <c r="C206" s="15">
        <v>26304.276</v>
      </c>
      <c r="D206" s="16">
        <f t="shared" si="15"/>
        <v>0.0153727791665675</v>
      </c>
      <c r="E206" s="16">
        <f t="shared" si="16"/>
        <v>0.598526514245499</v>
      </c>
      <c r="F206" t="str">
        <f t="shared" si="17"/>
        <v>A</v>
      </c>
    </row>
    <row r="207" spans="2:6">
      <c r="B207" t="s">
        <v>298</v>
      </c>
      <c r="C207" s="15">
        <v>25502.91048</v>
      </c>
      <c r="D207" s="16">
        <f t="shared" si="15"/>
        <v>0.0149044440878654</v>
      </c>
      <c r="E207" s="16">
        <f t="shared" si="16"/>
        <v>0.613430958333364</v>
      </c>
      <c r="F207" t="str">
        <f t="shared" si="17"/>
        <v>A</v>
      </c>
    </row>
    <row r="208" spans="2:6">
      <c r="B208" t="s">
        <v>487</v>
      </c>
      <c r="C208" s="15">
        <v>24374.59488</v>
      </c>
      <c r="D208" s="16">
        <f t="shared" si="15"/>
        <v>0.0142450324184853</v>
      </c>
      <c r="E208" s="16">
        <f t="shared" si="16"/>
        <v>0.62767599075185</v>
      </c>
      <c r="F208" t="str">
        <f t="shared" si="17"/>
        <v>A</v>
      </c>
    </row>
    <row r="209" spans="2:6">
      <c r="B209" t="s">
        <v>613</v>
      </c>
      <c r="C209" s="15">
        <v>24161.2056</v>
      </c>
      <c r="D209" s="16">
        <f t="shared" si="15"/>
        <v>0.014120323178134</v>
      </c>
      <c r="E209" s="16">
        <f t="shared" si="16"/>
        <v>0.641796313929984</v>
      </c>
      <c r="F209" t="str">
        <f t="shared" si="17"/>
        <v>A</v>
      </c>
    </row>
    <row r="210" spans="2:6">
      <c r="B210" t="s">
        <v>114</v>
      </c>
      <c r="C210" s="15">
        <v>23782.31072</v>
      </c>
      <c r="D210" s="16">
        <f t="shared" si="15"/>
        <v>0.0138988889399294</v>
      </c>
      <c r="E210" s="16">
        <f t="shared" si="16"/>
        <v>0.655695202869913</v>
      </c>
      <c r="F210" t="str">
        <f t="shared" si="17"/>
        <v>A</v>
      </c>
    </row>
    <row r="211" spans="2:6">
      <c r="B211" t="s">
        <v>872</v>
      </c>
      <c r="C211" s="15">
        <v>22064.9103</v>
      </c>
      <c r="D211" s="16">
        <f t="shared" si="15"/>
        <v>0.0128952035544343</v>
      </c>
      <c r="E211" s="16">
        <f t="shared" si="16"/>
        <v>0.668590406424347</v>
      </c>
      <c r="F211" t="str">
        <f t="shared" si="17"/>
        <v>A</v>
      </c>
    </row>
    <row r="212" spans="2:6">
      <c r="B212" t="s">
        <v>406</v>
      </c>
      <c r="C212" s="15">
        <v>21572.5905</v>
      </c>
      <c r="D212" s="16">
        <f t="shared" si="15"/>
        <v>0.0126074813770693</v>
      </c>
      <c r="E212" s="16">
        <f t="shared" si="16"/>
        <v>0.681197887801417</v>
      </c>
      <c r="F212" t="str">
        <f t="shared" si="17"/>
        <v>A</v>
      </c>
    </row>
    <row r="213" spans="2:6">
      <c r="B213" t="s">
        <v>693</v>
      </c>
      <c r="C213" s="15">
        <v>20455.98513</v>
      </c>
      <c r="D213" s="16">
        <f t="shared" si="15"/>
        <v>0.0119549134155252</v>
      </c>
      <c r="E213" s="16">
        <f t="shared" si="16"/>
        <v>0.693152801216942</v>
      </c>
      <c r="F213" t="str">
        <f t="shared" si="17"/>
        <v>A</v>
      </c>
    </row>
    <row r="214" spans="2:6">
      <c r="B214" t="s">
        <v>124</v>
      </c>
      <c r="C214" s="15">
        <v>20225.2248</v>
      </c>
      <c r="D214" s="16">
        <f t="shared" si="15"/>
        <v>0.0118200521635564</v>
      </c>
      <c r="E214" s="16">
        <f t="shared" si="16"/>
        <v>0.704972853380498</v>
      </c>
      <c r="F214" t="str">
        <f t="shared" si="17"/>
        <v>A</v>
      </c>
    </row>
    <row r="215" spans="2:6">
      <c r="B215" t="s">
        <v>242</v>
      </c>
      <c r="C215" s="15">
        <v>20171.63305</v>
      </c>
      <c r="D215" s="16">
        <f t="shared" si="15"/>
        <v>0.0117887320033702</v>
      </c>
      <c r="E215" s="16">
        <f t="shared" si="16"/>
        <v>0.716761585383869</v>
      </c>
      <c r="F215" t="str">
        <f t="shared" si="17"/>
        <v>A</v>
      </c>
    </row>
    <row r="216" spans="2:6">
      <c r="B216" t="s">
        <v>876</v>
      </c>
      <c r="C216" s="15">
        <v>19773.3627</v>
      </c>
      <c r="D216" s="16">
        <f t="shared" si="15"/>
        <v>0.0115559743278067</v>
      </c>
      <c r="E216" s="16">
        <f t="shared" si="16"/>
        <v>0.728317559711675</v>
      </c>
      <c r="F216" t="str">
        <f t="shared" si="17"/>
        <v>A</v>
      </c>
    </row>
    <row r="217" spans="2:6">
      <c r="B217" t="s">
        <v>1183</v>
      </c>
      <c r="C217" s="15">
        <v>19581.87</v>
      </c>
      <c r="D217" s="16">
        <f t="shared" si="15"/>
        <v>0.0114440619151971</v>
      </c>
      <c r="E217" s="16">
        <f t="shared" si="16"/>
        <v>0.739761621626872</v>
      </c>
      <c r="F217" t="str">
        <f t="shared" si="17"/>
        <v>A</v>
      </c>
    </row>
    <row r="218" spans="2:6">
      <c r="B218" t="s">
        <v>483</v>
      </c>
      <c r="C218" s="15">
        <v>19542.97535</v>
      </c>
      <c r="D218" s="16">
        <f t="shared" ref="D218:D249" si="18">C218/$C$184</f>
        <v>0.0114213310532942</v>
      </c>
      <c r="E218" s="16">
        <f t="shared" si="16"/>
        <v>0.751182952680167</v>
      </c>
      <c r="F218" t="str">
        <f t="shared" si="17"/>
        <v>A</v>
      </c>
    </row>
    <row r="219" spans="2:6">
      <c r="B219" t="s">
        <v>1247</v>
      </c>
      <c r="C219" s="15">
        <v>19139.59424</v>
      </c>
      <c r="D219" s="16">
        <f t="shared" si="18"/>
        <v>0.0111855865407292</v>
      </c>
      <c r="E219" s="16">
        <f t="shared" ref="E219:E265" si="19">E218+D219</f>
        <v>0.762368539220896</v>
      </c>
      <c r="F219" t="str">
        <f t="shared" si="17"/>
        <v>A</v>
      </c>
    </row>
    <row r="220" spans="2:6">
      <c r="B220" t="s">
        <v>896</v>
      </c>
      <c r="C220" s="15">
        <v>18641.22216</v>
      </c>
      <c r="D220" s="16">
        <f t="shared" si="18"/>
        <v>0.0108943272820208</v>
      </c>
      <c r="E220" s="16">
        <f t="shared" si="19"/>
        <v>0.773262866502917</v>
      </c>
      <c r="F220" t="str">
        <f t="shared" si="17"/>
        <v>A</v>
      </c>
    </row>
    <row r="221" spans="2:6">
      <c r="B221" t="s">
        <v>605</v>
      </c>
      <c r="C221" s="15">
        <v>17453.3436</v>
      </c>
      <c r="D221" s="16">
        <f t="shared" si="18"/>
        <v>0.0102001057501459</v>
      </c>
      <c r="E221" s="16">
        <f t="shared" si="19"/>
        <v>0.783462972253062</v>
      </c>
      <c r="F221" t="str">
        <f t="shared" si="17"/>
        <v>A</v>
      </c>
    </row>
    <row r="222" spans="2:6">
      <c r="B222" t="s">
        <v>671</v>
      </c>
      <c r="C222" s="15">
        <v>15505.4796</v>
      </c>
      <c r="D222" s="16">
        <f t="shared" si="18"/>
        <v>0.00906173253970255</v>
      </c>
      <c r="E222" s="16">
        <f t="shared" si="19"/>
        <v>0.792524704792765</v>
      </c>
      <c r="F222" t="str">
        <f t="shared" si="17"/>
        <v>A</v>
      </c>
    </row>
    <row r="223" spans="2:6">
      <c r="B223" t="s">
        <v>551</v>
      </c>
      <c r="C223" s="15">
        <v>15490.527</v>
      </c>
      <c r="D223" s="16">
        <f t="shared" si="18"/>
        <v>0.00905299392177723</v>
      </c>
      <c r="E223" s="16">
        <f t="shared" si="19"/>
        <v>0.801577698714542</v>
      </c>
      <c r="F223" t="str">
        <f t="shared" si="17"/>
        <v>B</v>
      </c>
    </row>
    <row r="224" spans="2:6">
      <c r="B224" t="s">
        <v>952</v>
      </c>
      <c r="C224" s="15">
        <v>15366.9832</v>
      </c>
      <c r="D224" s="16">
        <f t="shared" si="18"/>
        <v>0.00898079229361615</v>
      </c>
      <c r="E224" s="16">
        <f t="shared" si="19"/>
        <v>0.810558491008158</v>
      </c>
      <c r="F224" t="str">
        <f t="shared" si="17"/>
        <v>B</v>
      </c>
    </row>
    <row r="225" spans="2:6">
      <c r="B225" t="s">
        <v>1172</v>
      </c>
      <c r="C225" s="15">
        <v>15155.3268</v>
      </c>
      <c r="D225" s="16">
        <f t="shared" si="18"/>
        <v>0.00885709578524653</v>
      </c>
      <c r="E225" s="16">
        <f t="shared" si="19"/>
        <v>0.819415586793405</v>
      </c>
      <c r="F225" t="str">
        <f t="shared" si="17"/>
        <v>B</v>
      </c>
    </row>
    <row r="226" spans="2:6">
      <c r="B226" t="s">
        <v>1291</v>
      </c>
      <c r="C226" s="15">
        <v>14910.6096</v>
      </c>
      <c r="D226" s="16">
        <f t="shared" si="18"/>
        <v>0.00871407784117308</v>
      </c>
      <c r="E226" s="16">
        <f t="shared" si="19"/>
        <v>0.828129664634578</v>
      </c>
      <c r="F226" t="str">
        <f t="shared" si="17"/>
        <v>B</v>
      </c>
    </row>
    <row r="227" spans="2:6">
      <c r="B227" t="s">
        <v>436</v>
      </c>
      <c r="C227" s="15">
        <v>14448.2987</v>
      </c>
      <c r="D227" s="16">
        <f t="shared" si="18"/>
        <v>0.00844389350414753</v>
      </c>
      <c r="E227" s="16">
        <f t="shared" si="19"/>
        <v>0.836573558138726</v>
      </c>
      <c r="F227" t="str">
        <f t="shared" si="17"/>
        <v>B</v>
      </c>
    </row>
    <row r="228" spans="2:6">
      <c r="B228" t="s">
        <v>1189</v>
      </c>
      <c r="C228" s="15">
        <v>14114.0685</v>
      </c>
      <c r="D228" s="16">
        <f t="shared" si="18"/>
        <v>0.0082485622562775</v>
      </c>
      <c r="E228" s="16">
        <f t="shared" si="19"/>
        <v>0.844822120395003</v>
      </c>
      <c r="F228" t="str">
        <f t="shared" si="17"/>
        <v>B</v>
      </c>
    </row>
    <row r="229" spans="2:6">
      <c r="B229" t="s">
        <v>839</v>
      </c>
      <c r="C229" s="15">
        <v>13784.586</v>
      </c>
      <c r="D229" s="16">
        <f t="shared" si="18"/>
        <v>0.00805600566541187</v>
      </c>
      <c r="E229" s="16">
        <f t="shared" si="19"/>
        <v>0.852878126060415</v>
      </c>
      <c r="F229" t="str">
        <f t="shared" si="17"/>
        <v>B</v>
      </c>
    </row>
    <row r="230" spans="2:6">
      <c r="B230" t="s">
        <v>304</v>
      </c>
      <c r="C230" s="15">
        <v>13669.81</v>
      </c>
      <c r="D230" s="16">
        <f t="shared" si="18"/>
        <v>0.00798892812632195</v>
      </c>
      <c r="E230" s="16">
        <f t="shared" si="19"/>
        <v>0.860867054186737</v>
      </c>
      <c r="F230" t="str">
        <f t="shared" si="17"/>
        <v>B</v>
      </c>
    </row>
    <row r="231" spans="2:6">
      <c r="B231" t="s">
        <v>793</v>
      </c>
      <c r="C231" s="15">
        <v>13637.288</v>
      </c>
      <c r="D231" s="16">
        <f t="shared" si="18"/>
        <v>0.00796992157681437</v>
      </c>
      <c r="E231" s="16">
        <f t="shared" si="19"/>
        <v>0.868836975763551</v>
      </c>
      <c r="F231" t="str">
        <f t="shared" si="17"/>
        <v>B</v>
      </c>
    </row>
    <row r="232" spans="2:6">
      <c r="B232" t="s">
        <v>153</v>
      </c>
      <c r="C232" s="15">
        <v>13218.5</v>
      </c>
      <c r="D232" s="16">
        <f t="shared" si="18"/>
        <v>0.00772517294957185</v>
      </c>
      <c r="E232" s="16">
        <f t="shared" si="19"/>
        <v>0.876562148713123</v>
      </c>
      <c r="F232" t="str">
        <f t="shared" si="17"/>
        <v>B</v>
      </c>
    </row>
    <row r="233" spans="2:6">
      <c r="B233" t="s">
        <v>394</v>
      </c>
      <c r="C233" s="15">
        <v>12954.35808</v>
      </c>
      <c r="D233" s="16">
        <f t="shared" si="18"/>
        <v>0.00757080278539044</v>
      </c>
      <c r="E233" s="16">
        <f t="shared" si="19"/>
        <v>0.884132951498514</v>
      </c>
      <c r="F233" t="str">
        <f t="shared" si="17"/>
        <v>B</v>
      </c>
    </row>
    <row r="234" spans="2:6">
      <c r="B234" t="s">
        <v>308</v>
      </c>
      <c r="C234" s="15">
        <v>12335.65485</v>
      </c>
      <c r="D234" s="16">
        <f t="shared" si="18"/>
        <v>0.00720921943960924</v>
      </c>
      <c r="E234" s="16">
        <f t="shared" si="19"/>
        <v>0.891342170938123</v>
      </c>
      <c r="F234" t="str">
        <f t="shared" si="17"/>
        <v>B</v>
      </c>
    </row>
    <row r="235" spans="2:6">
      <c r="B235" t="s">
        <v>801</v>
      </c>
      <c r="C235" s="15">
        <v>12236.8746</v>
      </c>
      <c r="D235" s="16">
        <f t="shared" si="18"/>
        <v>0.00715149015752338</v>
      </c>
      <c r="E235" s="16">
        <f t="shared" si="19"/>
        <v>0.898493661095646</v>
      </c>
      <c r="F235" t="str">
        <f t="shared" si="17"/>
        <v>B</v>
      </c>
    </row>
    <row r="236" spans="2:6">
      <c r="B236" t="s">
        <v>669</v>
      </c>
      <c r="C236" s="15">
        <v>11696.15688</v>
      </c>
      <c r="D236" s="16">
        <f t="shared" si="18"/>
        <v>0.00683548320485113</v>
      </c>
      <c r="E236" s="16">
        <f t="shared" si="19"/>
        <v>0.905329144300497</v>
      </c>
      <c r="F236" t="str">
        <f t="shared" si="17"/>
        <v>B</v>
      </c>
    </row>
    <row r="237" spans="2:6">
      <c r="B237" t="s">
        <v>1132</v>
      </c>
      <c r="C237" s="15">
        <v>10859.64</v>
      </c>
      <c r="D237" s="16">
        <f t="shared" si="18"/>
        <v>0.00634660492265298</v>
      </c>
      <c r="E237" s="16">
        <f t="shared" si="19"/>
        <v>0.91167574922315</v>
      </c>
      <c r="F237" t="str">
        <f t="shared" si="17"/>
        <v>B</v>
      </c>
    </row>
    <row r="238" spans="2:6">
      <c r="B238" t="s">
        <v>721</v>
      </c>
      <c r="C238" s="15">
        <v>9847.23586</v>
      </c>
      <c r="D238" s="16">
        <f t="shared" si="18"/>
        <v>0.00575493437937178</v>
      </c>
      <c r="E238" s="16">
        <f t="shared" si="19"/>
        <v>0.917430683602522</v>
      </c>
      <c r="F238" t="str">
        <f t="shared" si="17"/>
        <v>B</v>
      </c>
    </row>
    <row r="239" spans="2:6">
      <c r="B239" t="s">
        <v>595</v>
      </c>
      <c r="C239" s="15">
        <v>9774.3888</v>
      </c>
      <c r="D239" s="16">
        <f t="shared" si="18"/>
        <v>0.00571236100589008</v>
      </c>
      <c r="E239" s="16">
        <f t="shared" si="19"/>
        <v>0.923143044608412</v>
      </c>
      <c r="F239" t="str">
        <f t="shared" si="17"/>
        <v>B</v>
      </c>
    </row>
    <row r="240" spans="2:6">
      <c r="B240" t="s">
        <v>994</v>
      </c>
      <c r="C240" s="15">
        <v>9771.44832</v>
      </c>
      <c r="D240" s="16">
        <f t="shared" si="18"/>
        <v>0.00571064252674685</v>
      </c>
      <c r="E240" s="16">
        <f t="shared" si="19"/>
        <v>0.928853687135159</v>
      </c>
      <c r="F240" t="str">
        <f t="shared" si="17"/>
        <v>B</v>
      </c>
    </row>
    <row r="241" spans="2:6">
      <c r="B241" t="s">
        <v>661</v>
      </c>
      <c r="C241" s="15">
        <v>8907.6925</v>
      </c>
      <c r="D241" s="16">
        <f t="shared" si="18"/>
        <v>0.00520584522783251</v>
      </c>
      <c r="E241" s="16">
        <f t="shared" si="19"/>
        <v>0.934059532362992</v>
      </c>
      <c r="F241" t="str">
        <f t="shared" si="17"/>
        <v>B</v>
      </c>
    </row>
    <row r="242" spans="2:6">
      <c r="B242" t="s">
        <v>653</v>
      </c>
      <c r="C242" s="15">
        <v>8567.3925</v>
      </c>
      <c r="D242" s="16">
        <f t="shared" si="18"/>
        <v>0.0050069666595578</v>
      </c>
      <c r="E242" s="16">
        <f t="shared" si="19"/>
        <v>0.939066499022549</v>
      </c>
      <c r="F242" t="str">
        <f t="shared" si="17"/>
        <v>B</v>
      </c>
    </row>
    <row r="243" spans="2:6">
      <c r="B243" t="s">
        <v>367</v>
      </c>
      <c r="C243" s="15">
        <v>8336.8896</v>
      </c>
      <c r="D243" s="16">
        <f t="shared" si="18"/>
        <v>0.00487225585516412</v>
      </c>
      <c r="E243" s="16">
        <f t="shared" si="19"/>
        <v>0.943938754877714</v>
      </c>
      <c r="F243" t="str">
        <f t="shared" si="17"/>
        <v>B</v>
      </c>
    </row>
    <row r="244" spans="2:6">
      <c r="B244" t="s">
        <v>1120</v>
      </c>
      <c r="C244" s="15">
        <v>8297.4286</v>
      </c>
      <c r="D244" s="16">
        <f t="shared" si="18"/>
        <v>0.00484919400625819</v>
      </c>
      <c r="E244" s="16">
        <f t="shared" si="19"/>
        <v>0.948787948883972</v>
      </c>
      <c r="F244" t="str">
        <f t="shared" si="17"/>
        <v>B</v>
      </c>
    </row>
    <row r="245" spans="2:6">
      <c r="B245" t="s">
        <v>1018</v>
      </c>
      <c r="C245" s="15">
        <v>7643.265</v>
      </c>
      <c r="D245" s="16">
        <f t="shared" si="18"/>
        <v>0.00446688686495512</v>
      </c>
      <c r="E245" s="16">
        <f t="shared" si="19"/>
        <v>0.953254835748927</v>
      </c>
      <c r="F245" t="str">
        <f t="shared" si="17"/>
        <v>C</v>
      </c>
    </row>
    <row r="246" spans="2:6">
      <c r="B246" t="s">
        <v>99</v>
      </c>
      <c r="C246" s="15">
        <v>7090.5672</v>
      </c>
      <c r="D246" s="16">
        <f t="shared" si="18"/>
        <v>0.00414387849835922</v>
      </c>
      <c r="E246" s="16">
        <f t="shared" si="19"/>
        <v>0.957398714247286</v>
      </c>
      <c r="F246" t="str">
        <f t="shared" si="17"/>
        <v>C</v>
      </c>
    </row>
    <row r="247" spans="2:6">
      <c r="B247" t="s">
        <v>1311</v>
      </c>
      <c r="C247" s="15">
        <v>7071.63314</v>
      </c>
      <c r="D247" s="16">
        <f t="shared" si="18"/>
        <v>0.00413281303040616</v>
      </c>
      <c r="E247" s="16">
        <f t="shared" si="19"/>
        <v>0.961531527277692</v>
      </c>
      <c r="F247" t="str">
        <f t="shared" si="17"/>
        <v>C</v>
      </c>
    </row>
    <row r="248" spans="2:6">
      <c r="B248" t="s">
        <v>240</v>
      </c>
      <c r="C248" s="15">
        <v>6393.09528</v>
      </c>
      <c r="D248" s="16">
        <f t="shared" si="18"/>
        <v>0.00373626105239562</v>
      </c>
      <c r="E248" s="16">
        <f t="shared" si="19"/>
        <v>0.965267788330088</v>
      </c>
      <c r="F248" t="str">
        <f t="shared" si="17"/>
        <v>C</v>
      </c>
    </row>
    <row r="249" spans="2:6">
      <c r="B249" t="s">
        <v>711</v>
      </c>
      <c r="C249" s="15">
        <v>5932.7856</v>
      </c>
      <c r="D249" s="16">
        <f t="shared" si="18"/>
        <v>0.00346724627096338</v>
      </c>
      <c r="E249" s="16">
        <f t="shared" si="19"/>
        <v>0.968735034601051</v>
      </c>
      <c r="F249" t="str">
        <f t="shared" si="17"/>
        <v>C</v>
      </c>
    </row>
    <row r="250" spans="2:6">
      <c r="B250" t="s">
        <v>196</v>
      </c>
      <c r="C250" s="15">
        <v>5785.8</v>
      </c>
      <c r="D250" s="16">
        <f t="shared" ref="D250:D265" si="20">C250/$C$184</f>
        <v>0.00338134475557989</v>
      </c>
      <c r="E250" s="16">
        <f t="shared" si="19"/>
        <v>0.972116379356631</v>
      </c>
      <c r="F250" t="str">
        <f t="shared" si="17"/>
        <v>C</v>
      </c>
    </row>
    <row r="251" spans="2:6">
      <c r="B251" t="s">
        <v>922</v>
      </c>
      <c r="C251" s="15">
        <v>5323.99032</v>
      </c>
      <c r="D251" s="16">
        <f t="shared" si="20"/>
        <v>0.00311145334219816</v>
      </c>
      <c r="E251" s="16">
        <f t="shared" si="19"/>
        <v>0.975227832698829</v>
      </c>
      <c r="F251" t="str">
        <f t="shared" si="17"/>
        <v>C</v>
      </c>
    </row>
    <row r="252" spans="2:6">
      <c r="B252" t="s">
        <v>908</v>
      </c>
      <c r="C252" s="15">
        <v>5250.4239</v>
      </c>
      <c r="D252" s="16">
        <f t="shared" si="20"/>
        <v>0.00306845955941034</v>
      </c>
      <c r="E252" s="16">
        <f t="shared" si="19"/>
        <v>0.97829629225824</v>
      </c>
      <c r="F252" t="str">
        <f t="shared" si="17"/>
        <v>C</v>
      </c>
    </row>
    <row r="253" spans="2:6">
      <c r="B253" t="s">
        <v>918</v>
      </c>
      <c r="C253" s="15">
        <v>4679.71416</v>
      </c>
      <c r="D253" s="16">
        <f t="shared" si="20"/>
        <v>0.00273492463143022</v>
      </c>
      <c r="E253" s="16">
        <f t="shared" si="19"/>
        <v>0.98103121688967</v>
      </c>
      <c r="F253" t="str">
        <f t="shared" si="17"/>
        <v>C</v>
      </c>
    </row>
    <row r="254" spans="2:6">
      <c r="B254" t="s">
        <v>1231</v>
      </c>
      <c r="C254" s="15">
        <v>4229.43212</v>
      </c>
      <c r="D254" s="16">
        <f t="shared" si="20"/>
        <v>0.00247177021639931</v>
      </c>
      <c r="E254" s="16">
        <f t="shared" si="19"/>
        <v>0.983502987106069</v>
      </c>
      <c r="F254" t="str">
        <f t="shared" si="17"/>
        <v>C</v>
      </c>
    </row>
    <row r="255" spans="2:6">
      <c r="B255" t="s">
        <v>58</v>
      </c>
      <c r="C255" s="15">
        <v>4141.76</v>
      </c>
      <c r="D255" s="16">
        <f t="shared" si="20"/>
        <v>0.00242053276208486</v>
      </c>
      <c r="E255" s="16">
        <f t="shared" si="19"/>
        <v>0.985923519868154</v>
      </c>
      <c r="F255" t="str">
        <f t="shared" si="17"/>
        <v>C</v>
      </c>
    </row>
    <row r="256" spans="2:6">
      <c r="B256" t="s">
        <v>843</v>
      </c>
      <c r="C256" s="15">
        <v>4133.25108</v>
      </c>
      <c r="D256" s="16">
        <f t="shared" si="20"/>
        <v>0.00241555996799975</v>
      </c>
      <c r="E256" s="16">
        <f t="shared" si="19"/>
        <v>0.988339079836154</v>
      </c>
      <c r="F256" t="str">
        <f t="shared" si="17"/>
        <v>C</v>
      </c>
    </row>
    <row r="257" spans="2:6">
      <c r="B257" t="s">
        <v>1118</v>
      </c>
      <c r="C257" s="15">
        <v>3921.1744</v>
      </c>
      <c r="D257" s="16">
        <f t="shared" si="20"/>
        <v>0.00229161783904631</v>
      </c>
      <c r="E257" s="16">
        <f t="shared" si="19"/>
        <v>0.9906306976752</v>
      </c>
      <c r="F257" t="str">
        <f t="shared" si="17"/>
        <v>C</v>
      </c>
    </row>
    <row r="258" spans="2:6">
      <c r="B258" t="s">
        <v>1269</v>
      </c>
      <c r="C258" s="15">
        <v>3823.61516</v>
      </c>
      <c r="D258" s="16">
        <f t="shared" si="20"/>
        <v>0.00223460214121155</v>
      </c>
      <c r="E258" s="16">
        <f t="shared" si="19"/>
        <v>0.992865299816412</v>
      </c>
      <c r="F258" t="str">
        <f t="shared" si="17"/>
        <v>C</v>
      </c>
    </row>
    <row r="259" spans="2:6">
      <c r="B259" t="s">
        <v>581</v>
      </c>
      <c r="C259" s="15">
        <v>3823.5108</v>
      </c>
      <c r="D259" s="16">
        <f t="shared" si="20"/>
        <v>0.00223454115100471</v>
      </c>
      <c r="E259" s="16">
        <f t="shared" si="19"/>
        <v>0.995099840967416</v>
      </c>
      <c r="F259" t="str">
        <f t="shared" si="17"/>
        <v>C</v>
      </c>
    </row>
    <row r="260" spans="2:6">
      <c r="B260" t="s">
        <v>396</v>
      </c>
      <c r="C260" s="15">
        <v>3562.9029</v>
      </c>
      <c r="D260" s="16">
        <f t="shared" si="20"/>
        <v>0.00208223634338473</v>
      </c>
      <c r="E260" s="16">
        <f t="shared" si="19"/>
        <v>0.997182077310801</v>
      </c>
      <c r="F260" t="str">
        <f t="shared" si="17"/>
        <v>C</v>
      </c>
    </row>
    <row r="261" spans="2:6">
      <c r="B261" t="s">
        <v>198</v>
      </c>
      <c r="C261" s="15">
        <v>2518.87558</v>
      </c>
      <c r="D261" s="16">
        <f t="shared" si="20"/>
        <v>0.00147208454014851</v>
      </c>
      <c r="E261" s="16">
        <f t="shared" si="19"/>
        <v>0.99865416185095</v>
      </c>
      <c r="F261" t="str">
        <f t="shared" si="17"/>
        <v>C</v>
      </c>
    </row>
    <row r="262" spans="2:6">
      <c r="B262" t="s">
        <v>1054</v>
      </c>
      <c r="C262" s="15">
        <v>1009.2969</v>
      </c>
      <c r="D262" s="16">
        <f t="shared" si="20"/>
        <v>0.000589854606042041</v>
      </c>
      <c r="E262" s="16">
        <f t="shared" si="19"/>
        <v>0.999244016456992</v>
      </c>
      <c r="F262" t="str">
        <f t="shared" ref="F262:F325" si="21">IF(E262&lt;=80%,"A",IF(E262&lt;=95%,"B",IF(E262&lt;=100%,"C"," ")))</f>
        <v>C</v>
      </c>
    </row>
    <row r="263" spans="2:6">
      <c r="B263" t="s">
        <v>341</v>
      </c>
      <c r="C263" s="15">
        <v>592.92849</v>
      </c>
      <c r="D263" s="16">
        <f t="shared" si="20"/>
        <v>0.000346520038731965</v>
      </c>
      <c r="E263" s="16">
        <f t="shared" si="19"/>
        <v>0.999590536495723</v>
      </c>
      <c r="F263" t="str">
        <f t="shared" si="21"/>
        <v>C</v>
      </c>
    </row>
    <row r="264" spans="2:6">
      <c r="B264" t="s">
        <v>880</v>
      </c>
      <c r="C264" s="15">
        <v>434.45248</v>
      </c>
      <c r="D264" s="16">
        <f t="shared" si="20"/>
        <v>0.000253903283002641</v>
      </c>
      <c r="E264" s="16">
        <f t="shared" si="19"/>
        <v>0.999844439778726</v>
      </c>
      <c r="F264" t="str">
        <f t="shared" si="21"/>
        <v>C</v>
      </c>
    </row>
    <row r="265" spans="2:6">
      <c r="B265" t="s">
        <v>1363</v>
      </c>
      <c r="C265" s="15">
        <v>266.17822</v>
      </c>
      <c r="D265" s="16">
        <f t="shared" si="20"/>
        <v>0.00015556022127391</v>
      </c>
      <c r="E265" s="16">
        <f t="shared" si="19"/>
        <v>1</v>
      </c>
      <c r="F265" t="str">
        <f t="shared" si="21"/>
        <v>C</v>
      </c>
    </row>
    <row r="266" spans="1:3">
      <c r="A266" t="s">
        <v>64</v>
      </c>
      <c r="C266" s="15">
        <v>1568482.19811</v>
      </c>
    </row>
    <row r="267" spans="2:6">
      <c r="B267" t="s">
        <v>454</v>
      </c>
      <c r="C267" s="15">
        <v>92715.25</v>
      </c>
      <c r="D267" s="16">
        <f>C267/$C$266</f>
        <v>0.0591114455182983</v>
      </c>
      <c r="E267" s="16">
        <f>D267</f>
        <v>0.0591114455182983</v>
      </c>
      <c r="F267" t="str">
        <f t="shared" si="21"/>
        <v>A</v>
      </c>
    </row>
    <row r="268" spans="2:6">
      <c r="B268" t="s">
        <v>383</v>
      </c>
      <c r="C268" s="15">
        <v>87404.92992</v>
      </c>
      <c r="D268" s="16">
        <f t="shared" ref="D268:D299" si="22">C268/$C$266</f>
        <v>0.0557258029611823</v>
      </c>
      <c r="E268" s="16">
        <f>E267+D268</f>
        <v>0.114837248479481</v>
      </c>
      <c r="F268" t="str">
        <f t="shared" si="21"/>
        <v>A</v>
      </c>
    </row>
    <row r="269" spans="2:6">
      <c r="B269" t="s">
        <v>434</v>
      </c>
      <c r="C269" s="15">
        <v>85637.74032</v>
      </c>
      <c r="D269" s="16">
        <f t="shared" si="22"/>
        <v>0.0545991152613605</v>
      </c>
      <c r="E269" s="16">
        <f t="shared" ref="E269:E300" si="23">E268+D269</f>
        <v>0.169436363740841</v>
      </c>
      <c r="F269" t="str">
        <f t="shared" si="21"/>
        <v>A</v>
      </c>
    </row>
    <row r="270" spans="2:6">
      <c r="B270" t="s">
        <v>221</v>
      </c>
      <c r="C270" s="15">
        <v>72665.81745</v>
      </c>
      <c r="D270" s="16">
        <f t="shared" si="22"/>
        <v>0.0463287486064945</v>
      </c>
      <c r="E270" s="16">
        <f t="shared" si="23"/>
        <v>0.215765112347336</v>
      </c>
      <c r="F270" t="str">
        <f t="shared" si="21"/>
        <v>A</v>
      </c>
    </row>
    <row r="271" spans="2:6">
      <c r="B271" t="s">
        <v>894</v>
      </c>
      <c r="C271" s="15">
        <v>56176.7778</v>
      </c>
      <c r="D271" s="16">
        <f t="shared" si="22"/>
        <v>0.0358160123638587</v>
      </c>
      <c r="E271" s="16">
        <f t="shared" si="23"/>
        <v>0.251581124711194</v>
      </c>
      <c r="F271" t="str">
        <f t="shared" si="21"/>
        <v>A</v>
      </c>
    </row>
    <row r="272" spans="2:6">
      <c r="B272" t="s">
        <v>998</v>
      </c>
      <c r="C272" s="15">
        <v>45547.18336</v>
      </c>
      <c r="D272" s="16">
        <f t="shared" si="22"/>
        <v>0.0290390183674917</v>
      </c>
      <c r="E272" s="16">
        <f t="shared" si="23"/>
        <v>0.280620143078686</v>
      </c>
      <c r="F272" t="str">
        <f t="shared" si="21"/>
        <v>A</v>
      </c>
    </row>
    <row r="273" spans="2:6">
      <c r="B273" t="s">
        <v>170</v>
      </c>
      <c r="C273" s="15">
        <v>41106.80097</v>
      </c>
      <c r="D273" s="16">
        <f t="shared" si="22"/>
        <v>0.0262080124463849</v>
      </c>
      <c r="E273" s="16">
        <f t="shared" si="23"/>
        <v>0.306828155525071</v>
      </c>
      <c r="F273" t="str">
        <f t="shared" si="21"/>
        <v>A</v>
      </c>
    </row>
    <row r="274" spans="2:6">
      <c r="B274" t="s">
        <v>635</v>
      </c>
      <c r="C274" s="15">
        <v>38818.76016</v>
      </c>
      <c r="D274" s="16">
        <f t="shared" si="22"/>
        <v>0.0247492513506217</v>
      </c>
      <c r="E274" s="16">
        <f t="shared" si="23"/>
        <v>0.331577406875693</v>
      </c>
      <c r="F274" t="str">
        <f t="shared" si="21"/>
        <v>A</v>
      </c>
    </row>
    <row r="275" spans="2:6">
      <c r="B275" t="s">
        <v>647</v>
      </c>
      <c r="C275" s="15">
        <v>34632.10632</v>
      </c>
      <c r="D275" s="16">
        <f t="shared" si="22"/>
        <v>0.0220800123595481</v>
      </c>
      <c r="E275" s="16">
        <f t="shared" si="23"/>
        <v>0.353657419235241</v>
      </c>
      <c r="F275" t="str">
        <f t="shared" si="21"/>
        <v>A</v>
      </c>
    </row>
    <row r="276" spans="2:6">
      <c r="B276" t="s">
        <v>847</v>
      </c>
      <c r="C276" s="15">
        <v>32280.32474</v>
      </c>
      <c r="D276" s="16">
        <f t="shared" si="22"/>
        <v>0.0205806127598371</v>
      </c>
      <c r="E276" s="16">
        <f t="shared" si="23"/>
        <v>0.374238031995078</v>
      </c>
      <c r="F276" t="str">
        <f t="shared" si="21"/>
        <v>A</v>
      </c>
    </row>
    <row r="277" spans="2:6">
      <c r="B277" t="s">
        <v>202</v>
      </c>
      <c r="C277" s="15">
        <v>31680.79532</v>
      </c>
      <c r="D277" s="16">
        <f t="shared" si="22"/>
        <v>0.0201983773600841</v>
      </c>
      <c r="E277" s="16">
        <f t="shared" si="23"/>
        <v>0.394436409355162</v>
      </c>
      <c r="F277" t="str">
        <f t="shared" si="21"/>
        <v>A</v>
      </c>
    </row>
    <row r="278" spans="2:6">
      <c r="B278" t="s">
        <v>493</v>
      </c>
      <c r="C278" s="15">
        <v>31191.64716</v>
      </c>
      <c r="D278" s="16">
        <f t="shared" si="22"/>
        <v>0.0198865165301752</v>
      </c>
      <c r="E278" s="16">
        <f t="shared" si="23"/>
        <v>0.414322925885337</v>
      </c>
      <c r="F278" t="str">
        <f t="shared" si="21"/>
        <v>A</v>
      </c>
    </row>
    <row r="279" spans="2:6">
      <c r="B279" t="s">
        <v>723</v>
      </c>
      <c r="C279" s="15">
        <v>30799.2738</v>
      </c>
      <c r="D279" s="16">
        <f t="shared" si="22"/>
        <v>0.0196363553485738</v>
      </c>
      <c r="E279" s="16">
        <f t="shared" si="23"/>
        <v>0.433959281233911</v>
      </c>
      <c r="F279" t="str">
        <f t="shared" si="21"/>
        <v>A</v>
      </c>
    </row>
    <row r="280" spans="2:6">
      <c r="B280" t="s">
        <v>1185</v>
      </c>
      <c r="C280" s="15">
        <v>30652.40352</v>
      </c>
      <c r="D280" s="16">
        <f t="shared" si="22"/>
        <v>0.0195427168742723</v>
      </c>
      <c r="E280" s="16">
        <f t="shared" si="23"/>
        <v>0.453501998108183</v>
      </c>
      <c r="F280" t="str">
        <f t="shared" si="21"/>
        <v>A</v>
      </c>
    </row>
    <row r="281" spans="2:6">
      <c r="B281" t="s">
        <v>649</v>
      </c>
      <c r="C281" s="15">
        <v>29536.716</v>
      </c>
      <c r="D281" s="16">
        <f t="shared" si="22"/>
        <v>0.0188314002132707</v>
      </c>
      <c r="E281" s="16">
        <f t="shared" si="23"/>
        <v>0.472333398321454</v>
      </c>
      <c r="F281" t="str">
        <f t="shared" si="21"/>
        <v>A</v>
      </c>
    </row>
    <row r="282" spans="2:6">
      <c r="B282" t="s">
        <v>479</v>
      </c>
      <c r="C282" s="15">
        <v>28072.19016</v>
      </c>
      <c r="D282" s="16">
        <f t="shared" si="22"/>
        <v>0.017897678528852</v>
      </c>
      <c r="E282" s="16">
        <f t="shared" si="23"/>
        <v>0.490231076850306</v>
      </c>
      <c r="F282" t="str">
        <f t="shared" si="21"/>
        <v>A</v>
      </c>
    </row>
    <row r="283" spans="2:6">
      <c r="B283" t="s">
        <v>373</v>
      </c>
      <c r="C283" s="15">
        <v>27370.54086</v>
      </c>
      <c r="D283" s="16">
        <f t="shared" si="22"/>
        <v>0.0174503356767333</v>
      </c>
      <c r="E283" s="16">
        <f t="shared" si="23"/>
        <v>0.507681412527039</v>
      </c>
      <c r="F283" t="str">
        <f t="shared" si="21"/>
        <v>A</v>
      </c>
    </row>
    <row r="284" spans="2:6">
      <c r="B284" t="s">
        <v>472</v>
      </c>
      <c r="C284" s="15">
        <v>26408.63841</v>
      </c>
      <c r="D284" s="16">
        <f t="shared" si="22"/>
        <v>0.0168370660768876</v>
      </c>
      <c r="E284" s="16">
        <f t="shared" si="23"/>
        <v>0.524518478603927</v>
      </c>
      <c r="F284" t="str">
        <f t="shared" si="21"/>
        <v>A</v>
      </c>
    </row>
    <row r="285" spans="2:6">
      <c r="B285" t="s">
        <v>513</v>
      </c>
      <c r="C285" s="15">
        <v>26131.70736</v>
      </c>
      <c r="D285" s="16">
        <f t="shared" si="22"/>
        <v>0.0166605061832951</v>
      </c>
      <c r="E285" s="16">
        <f t="shared" si="23"/>
        <v>0.541178984787222</v>
      </c>
      <c r="F285" t="str">
        <f t="shared" si="21"/>
        <v>A</v>
      </c>
    </row>
    <row r="286" spans="2:6">
      <c r="B286" t="s">
        <v>781</v>
      </c>
      <c r="C286" s="15">
        <v>26106.61396</v>
      </c>
      <c r="D286" s="16">
        <f t="shared" si="22"/>
        <v>0.0166445076593525</v>
      </c>
      <c r="E286" s="16">
        <f t="shared" si="23"/>
        <v>0.557823492446575</v>
      </c>
      <c r="F286" t="str">
        <f t="shared" si="21"/>
        <v>A</v>
      </c>
    </row>
    <row r="287" spans="2:6">
      <c r="B287" t="s">
        <v>511</v>
      </c>
      <c r="C287" s="15">
        <v>25553.7828</v>
      </c>
      <c r="D287" s="16">
        <f t="shared" si="22"/>
        <v>0.0162920451572813</v>
      </c>
      <c r="E287" s="16">
        <f t="shared" si="23"/>
        <v>0.574115537603856</v>
      </c>
      <c r="F287" t="str">
        <f t="shared" si="21"/>
        <v>A</v>
      </c>
    </row>
    <row r="288" spans="2:6">
      <c r="B288" t="s">
        <v>1237</v>
      </c>
      <c r="C288" s="15">
        <v>25079.48069</v>
      </c>
      <c r="D288" s="16">
        <f t="shared" si="22"/>
        <v>0.0159896495607157</v>
      </c>
      <c r="E288" s="16">
        <f t="shared" si="23"/>
        <v>0.590105187164572</v>
      </c>
      <c r="F288" t="str">
        <f t="shared" si="21"/>
        <v>A</v>
      </c>
    </row>
    <row r="289" spans="2:6">
      <c r="B289" t="s">
        <v>331</v>
      </c>
      <c r="C289" s="15">
        <v>24523.00672</v>
      </c>
      <c r="D289" s="16">
        <f t="shared" si="22"/>
        <v>0.0156348645522084</v>
      </c>
      <c r="E289" s="16">
        <f t="shared" si="23"/>
        <v>0.60574005171678</v>
      </c>
      <c r="F289" t="str">
        <f t="shared" si="21"/>
        <v>A</v>
      </c>
    </row>
    <row r="290" spans="2:6">
      <c r="B290" t="s">
        <v>1010</v>
      </c>
      <c r="C290" s="15">
        <v>23132.39835</v>
      </c>
      <c r="D290" s="16">
        <f t="shared" si="22"/>
        <v>0.0147482696187909</v>
      </c>
      <c r="E290" s="16">
        <f t="shared" si="23"/>
        <v>0.620488321335571</v>
      </c>
      <c r="F290" t="str">
        <f t="shared" si="21"/>
        <v>A</v>
      </c>
    </row>
    <row r="291" spans="2:6">
      <c r="B291" t="s">
        <v>345</v>
      </c>
      <c r="C291" s="15">
        <v>22983.34563</v>
      </c>
      <c r="D291" s="16">
        <f t="shared" si="22"/>
        <v>0.0146532397101444</v>
      </c>
      <c r="E291" s="16">
        <f t="shared" si="23"/>
        <v>0.635141561045715</v>
      </c>
      <c r="F291" t="str">
        <f t="shared" si="21"/>
        <v>A</v>
      </c>
    </row>
    <row r="292" spans="2:6">
      <c r="B292" t="s">
        <v>424</v>
      </c>
      <c r="C292" s="15">
        <v>22044.8715</v>
      </c>
      <c r="D292" s="16">
        <f t="shared" si="22"/>
        <v>0.0140549070474397</v>
      </c>
      <c r="E292" s="16">
        <f t="shared" si="23"/>
        <v>0.649196468093155</v>
      </c>
      <c r="F292" t="str">
        <f t="shared" si="21"/>
        <v>A</v>
      </c>
    </row>
    <row r="293" spans="2:6">
      <c r="B293" t="s">
        <v>1102</v>
      </c>
      <c r="C293" s="15">
        <v>20332.77554</v>
      </c>
      <c r="D293" s="16">
        <f t="shared" si="22"/>
        <v>0.0129633447956889</v>
      </c>
      <c r="E293" s="16">
        <f t="shared" si="23"/>
        <v>0.662159812888844</v>
      </c>
      <c r="F293" t="str">
        <f t="shared" si="21"/>
        <v>A</v>
      </c>
    </row>
    <row r="294" spans="2:6">
      <c r="B294" t="s">
        <v>1335</v>
      </c>
      <c r="C294" s="15">
        <v>18175.84328</v>
      </c>
      <c r="D294" s="16">
        <f t="shared" si="22"/>
        <v>0.0115881731408247</v>
      </c>
      <c r="E294" s="16">
        <f t="shared" si="23"/>
        <v>0.673747986029669</v>
      </c>
      <c r="F294" t="str">
        <f t="shared" si="21"/>
        <v>A</v>
      </c>
    </row>
    <row r="295" spans="2:6">
      <c r="B295" t="s">
        <v>607</v>
      </c>
      <c r="C295" s="15">
        <v>17689.623</v>
      </c>
      <c r="D295" s="16">
        <f t="shared" si="22"/>
        <v>0.0112781790072694</v>
      </c>
      <c r="E295" s="16">
        <f t="shared" si="23"/>
        <v>0.685026165036938</v>
      </c>
      <c r="F295" t="str">
        <f t="shared" si="21"/>
        <v>A</v>
      </c>
    </row>
    <row r="296" spans="2:6">
      <c r="B296" t="s">
        <v>663</v>
      </c>
      <c r="C296" s="15">
        <v>17441.02152</v>
      </c>
      <c r="D296" s="16">
        <f t="shared" si="22"/>
        <v>0.0111196808870488</v>
      </c>
      <c r="E296" s="16">
        <f t="shared" si="23"/>
        <v>0.696145845923987</v>
      </c>
      <c r="F296" t="str">
        <f t="shared" si="21"/>
        <v>A</v>
      </c>
    </row>
    <row r="297" spans="2:6">
      <c r="B297" t="s">
        <v>1100</v>
      </c>
      <c r="C297" s="15">
        <v>16574.54474</v>
      </c>
      <c r="D297" s="16">
        <f t="shared" si="22"/>
        <v>0.0105672507854868</v>
      </c>
      <c r="E297" s="16">
        <f t="shared" si="23"/>
        <v>0.706713096709474</v>
      </c>
      <c r="F297" t="str">
        <f t="shared" si="21"/>
        <v>A</v>
      </c>
    </row>
    <row r="298" spans="2:6">
      <c r="B298" t="s">
        <v>805</v>
      </c>
      <c r="C298" s="15">
        <v>16487.22781</v>
      </c>
      <c r="D298" s="16">
        <f t="shared" si="22"/>
        <v>0.0105115810876699</v>
      </c>
      <c r="E298" s="16">
        <f t="shared" si="23"/>
        <v>0.717224677797144</v>
      </c>
      <c r="F298" t="str">
        <f t="shared" si="21"/>
        <v>A</v>
      </c>
    </row>
    <row r="299" spans="2:6">
      <c r="B299" t="s">
        <v>882</v>
      </c>
      <c r="C299" s="15">
        <v>16142.52783</v>
      </c>
      <c r="D299" s="16">
        <f t="shared" si="22"/>
        <v>0.0102918145003185</v>
      </c>
      <c r="E299" s="16">
        <f t="shared" si="23"/>
        <v>0.727516492297462</v>
      </c>
      <c r="F299" t="str">
        <f t="shared" si="21"/>
        <v>A</v>
      </c>
    </row>
    <row r="300" spans="2:6">
      <c r="B300" t="s">
        <v>1148</v>
      </c>
      <c r="C300" s="15">
        <v>16121.2734</v>
      </c>
      <c r="D300" s="16">
        <f t="shared" ref="D300:D331" si="24">C300/$C$266</f>
        <v>0.0102782635463928</v>
      </c>
      <c r="E300" s="16">
        <f t="shared" si="23"/>
        <v>0.737794755843855</v>
      </c>
      <c r="F300" t="str">
        <f t="shared" si="21"/>
        <v>A</v>
      </c>
    </row>
    <row r="301" spans="2:6">
      <c r="B301" t="s">
        <v>870</v>
      </c>
      <c r="C301" s="15">
        <v>15257.51748</v>
      </c>
      <c r="D301" s="16">
        <f t="shared" si="24"/>
        <v>0.00972756815371262</v>
      </c>
      <c r="E301" s="16">
        <f t="shared" ref="E301:E332" si="25">E300+D301</f>
        <v>0.747522323997568</v>
      </c>
      <c r="F301" t="str">
        <f t="shared" si="21"/>
        <v>A</v>
      </c>
    </row>
    <row r="302" spans="2:6">
      <c r="B302" t="s">
        <v>71</v>
      </c>
      <c r="C302" s="15">
        <v>14714.12934</v>
      </c>
      <c r="D302" s="16">
        <f t="shared" si="24"/>
        <v>0.00938112613438032</v>
      </c>
      <c r="E302" s="16">
        <f t="shared" si="25"/>
        <v>0.756903450131948</v>
      </c>
      <c r="F302" t="str">
        <f t="shared" si="21"/>
        <v>A</v>
      </c>
    </row>
    <row r="303" spans="2:6">
      <c r="B303" t="s">
        <v>1249</v>
      </c>
      <c r="C303" s="15">
        <v>14466.95104</v>
      </c>
      <c r="D303" s="16">
        <f t="shared" si="24"/>
        <v>0.00922353537543014</v>
      </c>
      <c r="E303" s="16">
        <f t="shared" si="25"/>
        <v>0.766126985507378</v>
      </c>
      <c r="F303" t="str">
        <f t="shared" si="21"/>
        <v>A</v>
      </c>
    </row>
    <row r="304" spans="2:6">
      <c r="B304" t="s">
        <v>232</v>
      </c>
      <c r="C304" s="15">
        <v>14287.89635</v>
      </c>
      <c r="D304" s="16">
        <f t="shared" si="24"/>
        <v>0.00910937743967814</v>
      </c>
      <c r="E304" s="16">
        <f t="shared" si="25"/>
        <v>0.775236362947056</v>
      </c>
      <c r="F304" t="str">
        <f t="shared" si="21"/>
        <v>A</v>
      </c>
    </row>
    <row r="305" spans="2:6">
      <c r="B305" t="s">
        <v>958</v>
      </c>
      <c r="C305" s="15">
        <v>13450.74</v>
      </c>
      <c r="D305" s="16">
        <f t="shared" si="24"/>
        <v>0.00857564084323556</v>
      </c>
      <c r="E305" s="16">
        <f t="shared" si="25"/>
        <v>0.783812003790292</v>
      </c>
      <c r="F305" t="str">
        <f t="shared" si="21"/>
        <v>A</v>
      </c>
    </row>
    <row r="306" spans="2:6">
      <c r="B306" t="s">
        <v>912</v>
      </c>
      <c r="C306" s="15">
        <v>13437.30024</v>
      </c>
      <c r="D306" s="16">
        <f t="shared" si="24"/>
        <v>0.00856707220279055</v>
      </c>
      <c r="E306" s="16">
        <f t="shared" si="25"/>
        <v>0.792379075993082</v>
      </c>
      <c r="F306" t="str">
        <f t="shared" si="21"/>
        <v>A</v>
      </c>
    </row>
    <row r="307" spans="2:6">
      <c r="B307" t="s">
        <v>900</v>
      </c>
      <c r="C307" s="15">
        <v>12972.00222</v>
      </c>
      <c r="D307" s="16">
        <f t="shared" si="24"/>
        <v>0.00827041724517568</v>
      </c>
      <c r="E307" s="16">
        <f t="shared" si="25"/>
        <v>0.800649493238258</v>
      </c>
      <c r="F307" t="str">
        <f t="shared" si="21"/>
        <v>B</v>
      </c>
    </row>
    <row r="308" spans="2:6">
      <c r="B308" t="s">
        <v>968</v>
      </c>
      <c r="C308" s="15">
        <v>12967.95864</v>
      </c>
      <c r="D308" s="16">
        <f t="shared" si="24"/>
        <v>0.00826783922420428</v>
      </c>
      <c r="E308" s="16">
        <f t="shared" si="25"/>
        <v>0.808917332462462</v>
      </c>
      <c r="F308" t="str">
        <f t="shared" si="21"/>
        <v>B</v>
      </c>
    </row>
    <row r="309" spans="2:6">
      <c r="B309" t="s">
        <v>438</v>
      </c>
      <c r="C309" s="15">
        <v>12413.98458</v>
      </c>
      <c r="D309" s="16">
        <f t="shared" si="24"/>
        <v>0.00791464805590952</v>
      </c>
      <c r="E309" s="16">
        <f t="shared" si="25"/>
        <v>0.816831980518372</v>
      </c>
      <c r="F309" t="str">
        <f t="shared" si="21"/>
        <v>B</v>
      </c>
    </row>
    <row r="310" spans="2:6">
      <c r="B310" t="s">
        <v>430</v>
      </c>
      <c r="C310" s="15">
        <v>12194.714</v>
      </c>
      <c r="D310" s="16">
        <f t="shared" si="24"/>
        <v>0.00777485011605135</v>
      </c>
      <c r="E310" s="16">
        <f t="shared" si="25"/>
        <v>0.824606830634423</v>
      </c>
      <c r="F310" t="str">
        <f t="shared" si="21"/>
        <v>B</v>
      </c>
    </row>
    <row r="311" spans="2:6">
      <c r="B311" t="s">
        <v>275</v>
      </c>
      <c r="C311" s="15">
        <v>11842.8464</v>
      </c>
      <c r="D311" s="16">
        <f t="shared" si="24"/>
        <v>0.00755051374779419</v>
      </c>
      <c r="E311" s="16">
        <f t="shared" si="25"/>
        <v>0.832157344382217</v>
      </c>
      <c r="F311" t="str">
        <f t="shared" si="21"/>
        <v>B</v>
      </c>
    </row>
    <row r="312" spans="2:6">
      <c r="B312" t="s">
        <v>601</v>
      </c>
      <c r="C312" s="15">
        <v>11813.60416</v>
      </c>
      <c r="D312" s="16">
        <f t="shared" si="24"/>
        <v>0.00753187009341594</v>
      </c>
      <c r="E312" s="16">
        <f t="shared" si="25"/>
        <v>0.839689214475633</v>
      </c>
      <c r="F312" t="str">
        <f t="shared" si="21"/>
        <v>B</v>
      </c>
    </row>
    <row r="313" spans="2:6">
      <c r="B313" t="s">
        <v>1199</v>
      </c>
      <c r="C313" s="15">
        <v>10937.52</v>
      </c>
      <c r="D313" s="16">
        <f t="shared" si="24"/>
        <v>0.00697331471991175</v>
      </c>
      <c r="E313" s="16">
        <f t="shared" si="25"/>
        <v>0.846662529195545</v>
      </c>
      <c r="F313" t="str">
        <f t="shared" si="21"/>
        <v>B</v>
      </c>
    </row>
    <row r="314" spans="2:6">
      <c r="B314" t="s">
        <v>1217</v>
      </c>
      <c r="C314" s="15">
        <v>10519.77645</v>
      </c>
      <c r="D314" s="16">
        <f t="shared" si="24"/>
        <v>0.00670697854440184</v>
      </c>
      <c r="E314" s="16">
        <f t="shared" si="25"/>
        <v>0.853369507739947</v>
      </c>
      <c r="F314" t="str">
        <f t="shared" si="21"/>
        <v>B</v>
      </c>
    </row>
    <row r="315" spans="2:6">
      <c r="B315" t="s">
        <v>940</v>
      </c>
      <c r="C315" s="15">
        <v>9509.2866</v>
      </c>
      <c r="D315" s="16">
        <f t="shared" si="24"/>
        <v>0.00606273160859496</v>
      </c>
      <c r="E315" s="16">
        <f t="shared" si="25"/>
        <v>0.859432239348542</v>
      </c>
      <c r="F315" t="str">
        <f t="shared" si="21"/>
        <v>B</v>
      </c>
    </row>
    <row r="316" spans="2:6">
      <c r="B316" t="s">
        <v>1325</v>
      </c>
      <c r="C316" s="15">
        <v>9256.14</v>
      </c>
      <c r="D316" s="16">
        <f t="shared" si="24"/>
        <v>0.00590133570604341</v>
      </c>
      <c r="E316" s="16">
        <f t="shared" si="25"/>
        <v>0.865333575054585</v>
      </c>
      <c r="F316" t="str">
        <f t="shared" si="21"/>
        <v>B</v>
      </c>
    </row>
    <row r="317" spans="2:6">
      <c r="B317" t="s">
        <v>1122</v>
      </c>
      <c r="C317" s="15">
        <v>9232.28306</v>
      </c>
      <c r="D317" s="16">
        <f t="shared" si="24"/>
        <v>0.00588612549834788</v>
      </c>
      <c r="E317" s="16">
        <f t="shared" si="25"/>
        <v>0.871219700552933</v>
      </c>
      <c r="F317" t="str">
        <f t="shared" si="21"/>
        <v>B</v>
      </c>
    </row>
    <row r="318" spans="2:6">
      <c r="B318" t="s">
        <v>485</v>
      </c>
      <c r="C318" s="15">
        <v>8763.285</v>
      </c>
      <c r="D318" s="16">
        <f t="shared" si="24"/>
        <v>0.00558711154679323</v>
      </c>
      <c r="E318" s="16">
        <f t="shared" si="25"/>
        <v>0.876806812099726</v>
      </c>
      <c r="F318" t="str">
        <f t="shared" si="21"/>
        <v>B</v>
      </c>
    </row>
    <row r="319" spans="2:6">
      <c r="B319" t="s">
        <v>470</v>
      </c>
      <c r="C319" s="15">
        <v>8698.87683</v>
      </c>
      <c r="D319" s="16">
        <f t="shared" si="24"/>
        <v>0.00554604753594401</v>
      </c>
      <c r="E319" s="16">
        <f t="shared" si="25"/>
        <v>0.88235285963567</v>
      </c>
      <c r="F319" t="str">
        <f t="shared" si="21"/>
        <v>B</v>
      </c>
    </row>
    <row r="320" spans="2:6">
      <c r="B320" t="s">
        <v>234</v>
      </c>
      <c r="C320" s="15">
        <v>8671.73544</v>
      </c>
      <c r="D320" s="16">
        <f t="shared" si="24"/>
        <v>0.00552874329746893</v>
      </c>
      <c r="E320" s="16">
        <f t="shared" si="25"/>
        <v>0.887881602933139</v>
      </c>
      <c r="F320" t="str">
        <f t="shared" si="21"/>
        <v>B</v>
      </c>
    </row>
    <row r="321" spans="2:6">
      <c r="B321" t="s">
        <v>481</v>
      </c>
      <c r="C321" s="15">
        <v>8590.7094</v>
      </c>
      <c r="D321" s="16">
        <f t="shared" si="24"/>
        <v>0.00547708441342318</v>
      </c>
      <c r="E321" s="16">
        <f t="shared" si="25"/>
        <v>0.893358687346563</v>
      </c>
      <c r="F321" t="str">
        <f t="shared" si="21"/>
        <v>B</v>
      </c>
    </row>
    <row r="322" spans="2:6">
      <c r="B322" t="s">
        <v>1227</v>
      </c>
      <c r="C322" s="15">
        <v>8520.29544</v>
      </c>
      <c r="D322" s="16">
        <f t="shared" si="24"/>
        <v>0.00543219135688428</v>
      </c>
      <c r="E322" s="16">
        <f t="shared" si="25"/>
        <v>0.898790878703447</v>
      </c>
      <c r="F322" t="str">
        <f t="shared" si="21"/>
        <v>B</v>
      </c>
    </row>
    <row r="323" spans="2:6">
      <c r="B323" t="s">
        <v>1048</v>
      </c>
      <c r="C323" s="15">
        <v>8330.25132</v>
      </c>
      <c r="D323" s="16">
        <f t="shared" si="24"/>
        <v>0.00531102701072275</v>
      </c>
      <c r="E323" s="16">
        <f t="shared" si="25"/>
        <v>0.90410190571417</v>
      </c>
      <c r="F323" t="str">
        <f t="shared" si="21"/>
        <v>B</v>
      </c>
    </row>
    <row r="324" spans="2:6">
      <c r="B324" t="s">
        <v>1016</v>
      </c>
      <c r="C324" s="15">
        <v>7854.69312</v>
      </c>
      <c r="D324" s="16">
        <f t="shared" si="24"/>
        <v>0.00500783058262619</v>
      </c>
      <c r="E324" s="16">
        <f t="shared" si="25"/>
        <v>0.909109736296796</v>
      </c>
      <c r="F324" t="str">
        <f t="shared" si="21"/>
        <v>B</v>
      </c>
    </row>
    <row r="325" spans="2:6">
      <c r="B325" t="s">
        <v>535</v>
      </c>
      <c r="C325" s="15">
        <v>7738.95969</v>
      </c>
      <c r="D325" s="16">
        <f t="shared" si="24"/>
        <v>0.00493404368843035</v>
      </c>
      <c r="E325" s="16">
        <f t="shared" si="25"/>
        <v>0.914043779985226</v>
      </c>
      <c r="F325" t="str">
        <f t="shared" si="21"/>
        <v>B</v>
      </c>
    </row>
    <row r="326" spans="2:6">
      <c r="B326" t="s">
        <v>363</v>
      </c>
      <c r="C326" s="15">
        <v>7703.86408</v>
      </c>
      <c r="D326" s="16">
        <f t="shared" si="24"/>
        <v>0.00491166816511087</v>
      </c>
      <c r="E326" s="16">
        <f t="shared" si="25"/>
        <v>0.918955448150337</v>
      </c>
      <c r="F326" t="str">
        <f t="shared" ref="F326:F389" si="26">IF(E326&lt;=80%,"A",IF(E326&lt;=95%,"B",IF(E326&lt;=100%,"C"," ")))</f>
        <v>B</v>
      </c>
    </row>
    <row r="327" spans="2:6">
      <c r="B327" t="s">
        <v>829</v>
      </c>
      <c r="C327" s="15">
        <v>7327.95336</v>
      </c>
      <c r="D327" s="16">
        <f t="shared" si="24"/>
        <v>0.00467200288841664</v>
      </c>
      <c r="E327" s="16">
        <f t="shared" si="25"/>
        <v>0.923627451038754</v>
      </c>
      <c r="F327" t="str">
        <f t="shared" si="26"/>
        <v>B</v>
      </c>
    </row>
    <row r="328" spans="2:6">
      <c r="B328" t="s">
        <v>645</v>
      </c>
      <c r="C328" s="15">
        <v>7120.64864</v>
      </c>
      <c r="D328" s="16">
        <f t="shared" si="24"/>
        <v>0.00453983389073863</v>
      </c>
      <c r="E328" s="16">
        <f t="shared" si="25"/>
        <v>0.928167284929492</v>
      </c>
      <c r="F328" t="str">
        <f t="shared" si="26"/>
        <v>B</v>
      </c>
    </row>
    <row r="329" spans="2:6">
      <c r="B329" t="s">
        <v>460</v>
      </c>
      <c r="C329" s="15">
        <v>7098.5496</v>
      </c>
      <c r="D329" s="16">
        <f t="shared" si="24"/>
        <v>0.00452574444807449</v>
      </c>
      <c r="E329" s="16">
        <f t="shared" si="25"/>
        <v>0.932693029377567</v>
      </c>
      <c r="F329" t="str">
        <f t="shared" si="26"/>
        <v>B</v>
      </c>
    </row>
    <row r="330" spans="2:6">
      <c r="B330" t="s">
        <v>440</v>
      </c>
      <c r="C330" s="15">
        <v>6824.2884</v>
      </c>
      <c r="D330" s="16">
        <f t="shared" si="24"/>
        <v>0.00435088674147732</v>
      </c>
      <c r="E330" s="16">
        <f t="shared" si="25"/>
        <v>0.937043916119044</v>
      </c>
      <c r="F330" t="str">
        <f t="shared" si="26"/>
        <v>B</v>
      </c>
    </row>
    <row r="331" spans="2:6">
      <c r="B331" t="s">
        <v>611</v>
      </c>
      <c r="C331" s="15">
        <v>6468.27516</v>
      </c>
      <c r="D331" s="16">
        <f t="shared" si="24"/>
        <v>0.00412390728297343</v>
      </c>
      <c r="E331" s="16">
        <f t="shared" si="25"/>
        <v>0.941167823402018</v>
      </c>
      <c r="F331" t="str">
        <f t="shared" si="26"/>
        <v>B</v>
      </c>
    </row>
    <row r="332" spans="2:6">
      <c r="B332" t="s">
        <v>759</v>
      </c>
      <c r="C332" s="15">
        <v>6229.7424</v>
      </c>
      <c r="D332" s="16">
        <f t="shared" ref="D332:D360" si="27">C332/$C$266</f>
        <v>0.00397182856618122</v>
      </c>
      <c r="E332" s="16">
        <f t="shared" si="25"/>
        <v>0.945139651968199</v>
      </c>
      <c r="F332" t="str">
        <f t="shared" si="26"/>
        <v>B</v>
      </c>
    </row>
    <row r="333" spans="2:6">
      <c r="B333" t="s">
        <v>1299</v>
      </c>
      <c r="C333" s="15">
        <v>5962.14225</v>
      </c>
      <c r="D333" s="16">
        <f t="shared" si="27"/>
        <v>0.0038012176722084</v>
      </c>
      <c r="E333" s="16">
        <f t="shared" ref="E333:E360" si="28">E332+D333</f>
        <v>0.948940869640407</v>
      </c>
      <c r="F333" t="str">
        <f t="shared" si="26"/>
        <v>B</v>
      </c>
    </row>
    <row r="334" spans="2:6">
      <c r="B334" t="s">
        <v>339</v>
      </c>
      <c r="C334" s="15">
        <v>5769.2758</v>
      </c>
      <c r="D334" s="16">
        <f t="shared" si="27"/>
        <v>0.00367825392404957</v>
      </c>
      <c r="E334" s="16">
        <f t="shared" si="28"/>
        <v>0.952619123564457</v>
      </c>
      <c r="F334" t="str">
        <f t="shared" si="26"/>
        <v>C</v>
      </c>
    </row>
    <row r="335" spans="2:6">
      <c r="B335" t="s">
        <v>1287</v>
      </c>
      <c r="C335" s="15">
        <v>5725.6496</v>
      </c>
      <c r="D335" s="16">
        <f t="shared" si="27"/>
        <v>0.00365043964598344</v>
      </c>
      <c r="E335" s="16">
        <f t="shared" si="28"/>
        <v>0.95626956321044</v>
      </c>
      <c r="F335" t="str">
        <f t="shared" si="26"/>
        <v>C</v>
      </c>
    </row>
    <row r="336" spans="2:6">
      <c r="B336" t="s">
        <v>996</v>
      </c>
      <c r="C336" s="15">
        <v>5565.32725</v>
      </c>
      <c r="D336" s="16">
        <f t="shared" si="27"/>
        <v>0.00354822468288524</v>
      </c>
      <c r="E336" s="16">
        <f t="shared" si="28"/>
        <v>0.959817787893325</v>
      </c>
      <c r="F336" t="str">
        <f t="shared" si="26"/>
        <v>C</v>
      </c>
    </row>
    <row r="337" spans="2:6">
      <c r="B337" t="s">
        <v>569</v>
      </c>
      <c r="C337" s="15">
        <v>5280.85776</v>
      </c>
      <c r="D337" s="16">
        <f t="shared" si="27"/>
        <v>0.00336685858874482</v>
      </c>
      <c r="E337" s="16">
        <f t="shared" si="28"/>
        <v>0.96318464648207</v>
      </c>
      <c r="F337" t="str">
        <f t="shared" si="26"/>
        <v>C</v>
      </c>
    </row>
    <row r="338" spans="2:6">
      <c r="B338" t="s">
        <v>1355</v>
      </c>
      <c r="C338" s="15">
        <v>5096.47908</v>
      </c>
      <c r="D338" s="16">
        <f t="shared" si="27"/>
        <v>0.00324930629505467</v>
      </c>
      <c r="E338" s="16">
        <f t="shared" si="28"/>
        <v>0.966433952777125</v>
      </c>
      <c r="F338" t="str">
        <f t="shared" si="26"/>
        <v>C</v>
      </c>
    </row>
    <row r="339" spans="2:6">
      <c r="B339" t="s">
        <v>731</v>
      </c>
      <c r="C339" s="15">
        <v>5032.44336</v>
      </c>
      <c r="D339" s="16">
        <f t="shared" si="27"/>
        <v>0.00320847974306883</v>
      </c>
      <c r="E339" s="16">
        <f t="shared" si="28"/>
        <v>0.969642432520194</v>
      </c>
      <c r="F339" t="str">
        <f t="shared" si="26"/>
        <v>C</v>
      </c>
    </row>
    <row r="340" spans="2:6">
      <c r="B340" t="s">
        <v>256</v>
      </c>
      <c r="C340" s="15">
        <v>4877.13798</v>
      </c>
      <c r="D340" s="16">
        <f t="shared" si="27"/>
        <v>0.00310946339453319</v>
      </c>
      <c r="E340" s="16">
        <f t="shared" si="28"/>
        <v>0.972751895914727</v>
      </c>
      <c r="F340" t="str">
        <f t="shared" si="26"/>
        <v>C</v>
      </c>
    </row>
    <row r="341" spans="2:6">
      <c r="B341" t="s">
        <v>476</v>
      </c>
      <c r="C341" s="15">
        <v>4831.94646</v>
      </c>
      <c r="D341" s="16">
        <f t="shared" si="27"/>
        <v>0.00308065113255505</v>
      </c>
      <c r="E341" s="16">
        <f t="shared" si="28"/>
        <v>0.975832547047282</v>
      </c>
      <c r="F341" t="str">
        <f t="shared" si="26"/>
        <v>C</v>
      </c>
    </row>
    <row r="342" spans="2:6">
      <c r="B342" t="s">
        <v>1193</v>
      </c>
      <c r="C342" s="15">
        <v>4826.53962</v>
      </c>
      <c r="D342" s="16">
        <f t="shared" si="27"/>
        <v>0.00307720395285067</v>
      </c>
      <c r="E342" s="16">
        <f t="shared" si="28"/>
        <v>0.978909751000133</v>
      </c>
      <c r="F342" t="str">
        <f t="shared" si="26"/>
        <v>C</v>
      </c>
    </row>
    <row r="343" spans="2:6">
      <c r="B343" t="s">
        <v>1092</v>
      </c>
      <c r="C343" s="15">
        <v>4682.95198</v>
      </c>
      <c r="D343" s="16">
        <f t="shared" si="27"/>
        <v>0.00298565835534691</v>
      </c>
      <c r="E343" s="16">
        <f t="shared" si="28"/>
        <v>0.98189540935548</v>
      </c>
      <c r="F343" t="str">
        <f t="shared" si="26"/>
        <v>C</v>
      </c>
    </row>
    <row r="344" spans="2:6">
      <c r="B344" t="s">
        <v>619</v>
      </c>
      <c r="C344" s="15">
        <v>4375.362</v>
      </c>
      <c r="D344" s="16">
        <f t="shared" si="27"/>
        <v>0.00278955158386385</v>
      </c>
      <c r="E344" s="16">
        <f t="shared" si="28"/>
        <v>0.984684960939344</v>
      </c>
      <c r="F344" t="str">
        <f t="shared" si="26"/>
        <v>C</v>
      </c>
    </row>
    <row r="345" spans="2:6">
      <c r="B345" t="s">
        <v>697</v>
      </c>
      <c r="C345" s="15">
        <v>3190.87132</v>
      </c>
      <c r="D345" s="16">
        <f t="shared" si="27"/>
        <v>0.00203436884642042</v>
      </c>
      <c r="E345" s="16">
        <f t="shared" si="28"/>
        <v>0.986719329785764</v>
      </c>
      <c r="F345" t="str">
        <f t="shared" si="26"/>
        <v>C</v>
      </c>
    </row>
    <row r="346" spans="2:6">
      <c r="B346" t="s">
        <v>739</v>
      </c>
      <c r="C346" s="15">
        <v>2915.4541</v>
      </c>
      <c r="D346" s="16">
        <f t="shared" si="27"/>
        <v>0.00185877410882513</v>
      </c>
      <c r="E346" s="16">
        <f t="shared" si="28"/>
        <v>0.988578103894589</v>
      </c>
      <c r="F346" t="str">
        <f t="shared" si="26"/>
        <v>C</v>
      </c>
    </row>
    <row r="347" spans="2:6">
      <c r="B347" t="s">
        <v>65</v>
      </c>
      <c r="C347" s="15">
        <v>2886.44964</v>
      </c>
      <c r="D347" s="16">
        <f t="shared" si="27"/>
        <v>0.00184028205323473</v>
      </c>
      <c r="E347" s="16">
        <f t="shared" si="28"/>
        <v>0.990418385947824</v>
      </c>
      <c r="F347" t="str">
        <f t="shared" si="26"/>
        <v>C</v>
      </c>
    </row>
    <row r="348" spans="2:6">
      <c r="B348" t="s">
        <v>966</v>
      </c>
      <c r="C348" s="15">
        <v>2627.624</v>
      </c>
      <c r="D348" s="16">
        <f t="shared" si="27"/>
        <v>0.0016752654274089</v>
      </c>
      <c r="E348" s="16">
        <f t="shared" si="28"/>
        <v>0.992093651375233</v>
      </c>
      <c r="F348" t="str">
        <f t="shared" si="26"/>
        <v>C</v>
      </c>
    </row>
    <row r="349" spans="2:6">
      <c r="B349" t="s">
        <v>537</v>
      </c>
      <c r="C349" s="15">
        <v>2231.64672</v>
      </c>
      <c r="D349" s="16">
        <f t="shared" si="27"/>
        <v>0.00142280653404234</v>
      </c>
      <c r="E349" s="16">
        <f t="shared" si="28"/>
        <v>0.993516457909275</v>
      </c>
      <c r="F349" t="str">
        <f t="shared" si="26"/>
        <v>C</v>
      </c>
    </row>
    <row r="350" spans="2:6">
      <c r="B350" t="s">
        <v>1203</v>
      </c>
      <c r="C350" s="15">
        <v>1846.80408</v>
      </c>
      <c r="D350" s="16">
        <f t="shared" si="27"/>
        <v>0.00117744663103309</v>
      </c>
      <c r="E350" s="16">
        <f t="shared" si="28"/>
        <v>0.994693904540308</v>
      </c>
      <c r="F350" t="str">
        <f t="shared" si="26"/>
        <v>C</v>
      </c>
    </row>
    <row r="351" spans="2:6">
      <c r="B351" t="s">
        <v>1265</v>
      </c>
      <c r="C351" s="15">
        <v>1801.4076</v>
      </c>
      <c r="D351" s="16">
        <f t="shared" si="27"/>
        <v>0.0011485036949547</v>
      </c>
      <c r="E351" s="16">
        <f t="shared" si="28"/>
        <v>0.995842408235263</v>
      </c>
      <c r="F351" t="str">
        <f t="shared" si="26"/>
        <v>C</v>
      </c>
    </row>
    <row r="352" spans="2:6">
      <c r="B352" t="s">
        <v>525</v>
      </c>
      <c r="C352" s="15">
        <v>1774.8072</v>
      </c>
      <c r="D352" s="16">
        <f t="shared" si="27"/>
        <v>0.00113154436954313</v>
      </c>
      <c r="E352" s="16">
        <f t="shared" si="28"/>
        <v>0.996973952604806</v>
      </c>
      <c r="F352" t="str">
        <f t="shared" si="26"/>
        <v>C</v>
      </c>
    </row>
    <row r="353" spans="2:6">
      <c r="B353" t="s">
        <v>713</v>
      </c>
      <c r="C353" s="15">
        <v>1641.71072</v>
      </c>
      <c r="D353" s="16">
        <f t="shared" si="27"/>
        <v>0.00104668750590746</v>
      </c>
      <c r="E353" s="16">
        <f t="shared" si="28"/>
        <v>0.998020640110713</v>
      </c>
      <c r="F353" t="str">
        <f t="shared" si="26"/>
        <v>C</v>
      </c>
    </row>
    <row r="354" spans="2:6">
      <c r="B354" t="s">
        <v>277</v>
      </c>
      <c r="C354" s="15">
        <v>624.43504</v>
      </c>
      <c r="D354" s="16">
        <f t="shared" si="27"/>
        <v>0.000398114202859577</v>
      </c>
      <c r="E354" s="16">
        <f t="shared" si="28"/>
        <v>0.998418754313573</v>
      </c>
      <c r="F354" t="str">
        <f t="shared" si="26"/>
        <v>C</v>
      </c>
    </row>
    <row r="355" spans="2:6">
      <c r="B355" t="s">
        <v>597</v>
      </c>
      <c r="C355" s="15">
        <v>607.30668</v>
      </c>
      <c r="D355" s="16">
        <f t="shared" si="27"/>
        <v>0.000387193862150171</v>
      </c>
      <c r="E355" s="16">
        <f t="shared" si="28"/>
        <v>0.998805948175723</v>
      </c>
      <c r="F355" t="str">
        <f t="shared" si="26"/>
        <v>C</v>
      </c>
    </row>
    <row r="356" spans="2:6">
      <c r="B356" t="s">
        <v>194</v>
      </c>
      <c r="C356" s="15">
        <v>599.532</v>
      </c>
      <c r="D356" s="16">
        <f t="shared" si="27"/>
        <v>0.000382237044655291</v>
      </c>
      <c r="E356" s="16">
        <f t="shared" si="28"/>
        <v>0.999188185220379</v>
      </c>
      <c r="F356" t="str">
        <f t="shared" si="26"/>
        <v>C</v>
      </c>
    </row>
    <row r="357" spans="2:6">
      <c r="B357" t="s">
        <v>1166</v>
      </c>
      <c r="C357" s="15">
        <v>534.57696</v>
      </c>
      <c r="D357" s="16">
        <f t="shared" si="27"/>
        <v>0.000340824371895427</v>
      </c>
      <c r="E357" s="16">
        <f t="shared" si="28"/>
        <v>0.999529009592274</v>
      </c>
      <c r="F357" t="str">
        <f t="shared" si="26"/>
        <v>C</v>
      </c>
    </row>
    <row r="358" spans="2:6">
      <c r="B358" t="s">
        <v>265</v>
      </c>
      <c r="C358" s="15">
        <v>524.81175</v>
      </c>
      <c r="D358" s="16">
        <f t="shared" si="27"/>
        <v>0.000334598474010347</v>
      </c>
      <c r="E358" s="16">
        <f t="shared" si="28"/>
        <v>0.999863608066284</v>
      </c>
      <c r="F358" t="str">
        <f t="shared" si="26"/>
        <v>C</v>
      </c>
    </row>
    <row r="359" spans="2:6">
      <c r="B359" t="s">
        <v>292</v>
      </c>
      <c r="C359" s="15">
        <v>147.00756</v>
      </c>
      <c r="D359" s="16">
        <f t="shared" si="27"/>
        <v>9.37259984060656e-5</v>
      </c>
      <c r="E359" s="16">
        <f t="shared" si="28"/>
        <v>0.99995733406469</v>
      </c>
      <c r="F359" t="str">
        <f t="shared" si="26"/>
        <v>C</v>
      </c>
    </row>
    <row r="360" spans="2:6">
      <c r="B360" t="s">
        <v>699</v>
      </c>
      <c r="C360" s="15">
        <v>66.92076</v>
      </c>
      <c r="D360" s="16">
        <f t="shared" si="27"/>
        <v>4.2665935310352e-5</v>
      </c>
      <c r="E360" s="16">
        <f t="shared" si="28"/>
        <v>1</v>
      </c>
      <c r="F360" t="str">
        <f t="shared" si="26"/>
        <v>C</v>
      </c>
    </row>
    <row r="361" spans="1:3">
      <c r="A361" t="s">
        <v>35</v>
      </c>
      <c r="C361" s="15">
        <v>1789271.69822</v>
      </c>
    </row>
    <row r="362" spans="2:6">
      <c r="B362" t="s">
        <v>186</v>
      </c>
      <c r="C362" s="15">
        <v>109244</v>
      </c>
      <c r="D362" s="16">
        <f>C362/$C$361</f>
        <v>0.0610550092021675</v>
      </c>
      <c r="E362" s="16">
        <f>D362</f>
        <v>0.0610550092021675</v>
      </c>
      <c r="F362" t="str">
        <f t="shared" si="26"/>
        <v>A</v>
      </c>
    </row>
    <row r="363" spans="2:6">
      <c r="B363" t="s">
        <v>1327</v>
      </c>
      <c r="C363" s="15">
        <v>82141.3398</v>
      </c>
      <c r="D363" s="16">
        <f t="shared" ref="D363:D394" si="29">C363/$C$361</f>
        <v>0.0459076952268991</v>
      </c>
      <c r="E363" s="16">
        <f>E362+D363</f>
        <v>0.106962704429067</v>
      </c>
      <c r="F363" t="str">
        <f t="shared" si="26"/>
        <v>A</v>
      </c>
    </row>
    <row r="364" spans="2:6">
      <c r="B364" t="s">
        <v>655</v>
      </c>
      <c r="C364" s="15">
        <v>79548.756</v>
      </c>
      <c r="D364" s="16">
        <f t="shared" si="29"/>
        <v>0.044458734846774</v>
      </c>
      <c r="E364" s="16">
        <f t="shared" ref="E364:E395" si="30">E363+D364</f>
        <v>0.151421439275841</v>
      </c>
      <c r="F364" t="str">
        <f t="shared" si="26"/>
        <v>A</v>
      </c>
    </row>
    <row r="365" spans="2:6">
      <c r="B365" t="s">
        <v>549</v>
      </c>
      <c r="C365" s="15">
        <v>66988.7712</v>
      </c>
      <c r="D365" s="16">
        <f t="shared" si="29"/>
        <v>0.0374391274766385</v>
      </c>
      <c r="E365" s="16">
        <f t="shared" si="30"/>
        <v>0.188860566752479</v>
      </c>
      <c r="F365" t="str">
        <f t="shared" si="26"/>
        <v>A</v>
      </c>
    </row>
    <row r="366" spans="2:6">
      <c r="B366" t="s">
        <v>259</v>
      </c>
      <c r="C366" s="15">
        <v>60292.8053</v>
      </c>
      <c r="D366" s="16">
        <f t="shared" si="29"/>
        <v>0.0336968417708615</v>
      </c>
      <c r="E366" s="16">
        <f t="shared" si="30"/>
        <v>0.222557408523341</v>
      </c>
      <c r="F366" t="str">
        <f t="shared" si="26"/>
        <v>A</v>
      </c>
    </row>
    <row r="367" spans="2:6">
      <c r="B367" t="s">
        <v>1285</v>
      </c>
      <c r="C367" s="15">
        <v>51768.18192</v>
      </c>
      <c r="D367" s="16">
        <f t="shared" si="29"/>
        <v>0.0289325438788865</v>
      </c>
      <c r="E367" s="16">
        <f t="shared" si="30"/>
        <v>0.251489952402227</v>
      </c>
      <c r="F367" t="str">
        <f t="shared" si="26"/>
        <v>A</v>
      </c>
    </row>
    <row r="368" spans="2:6">
      <c r="B368" t="s">
        <v>1349</v>
      </c>
      <c r="C368" s="15">
        <v>50090.3975</v>
      </c>
      <c r="D368" s="16">
        <f t="shared" si="29"/>
        <v>0.0279948526262562</v>
      </c>
      <c r="E368" s="16">
        <f t="shared" si="30"/>
        <v>0.279484805028483</v>
      </c>
      <c r="F368" t="str">
        <f t="shared" si="26"/>
        <v>A</v>
      </c>
    </row>
    <row r="369" spans="2:6">
      <c r="B369" t="s">
        <v>817</v>
      </c>
      <c r="C369" s="15">
        <v>49336.5114</v>
      </c>
      <c r="D369" s="16">
        <f t="shared" si="29"/>
        <v>0.0275735157768833</v>
      </c>
      <c r="E369" s="16">
        <f t="shared" si="30"/>
        <v>0.307058320805367</v>
      </c>
      <c r="F369" t="str">
        <f t="shared" si="26"/>
        <v>A</v>
      </c>
    </row>
    <row r="370" spans="2:6">
      <c r="B370" t="s">
        <v>509</v>
      </c>
      <c r="C370" s="15">
        <v>47962.71758</v>
      </c>
      <c r="D370" s="16">
        <f t="shared" si="29"/>
        <v>0.0268057208012144</v>
      </c>
      <c r="E370" s="16">
        <f t="shared" si="30"/>
        <v>0.333864041606581</v>
      </c>
      <c r="F370" t="str">
        <f t="shared" si="26"/>
        <v>A</v>
      </c>
    </row>
    <row r="371" spans="2:6">
      <c r="B371" t="s">
        <v>868</v>
      </c>
      <c r="C371" s="15">
        <v>47693.373</v>
      </c>
      <c r="D371" s="16">
        <f t="shared" si="29"/>
        <v>0.026655187721041</v>
      </c>
      <c r="E371" s="16">
        <f t="shared" si="30"/>
        <v>0.360519229327622</v>
      </c>
      <c r="F371" t="str">
        <f t="shared" si="26"/>
        <v>A</v>
      </c>
    </row>
    <row r="372" spans="2:6">
      <c r="B372" t="s">
        <v>855</v>
      </c>
      <c r="C372" s="15">
        <v>43553.49306</v>
      </c>
      <c r="D372" s="16">
        <f t="shared" si="29"/>
        <v>0.0243414642411925</v>
      </c>
      <c r="E372" s="16">
        <f t="shared" si="30"/>
        <v>0.384860693568815</v>
      </c>
      <c r="F372" t="str">
        <f t="shared" si="26"/>
        <v>A</v>
      </c>
    </row>
    <row r="373" spans="2:6">
      <c r="B373" t="s">
        <v>1062</v>
      </c>
      <c r="C373" s="15">
        <v>40488.79296</v>
      </c>
      <c r="D373" s="16">
        <f t="shared" si="29"/>
        <v>0.0226286443809953</v>
      </c>
      <c r="E373" s="16">
        <f t="shared" si="30"/>
        <v>0.40748933794981</v>
      </c>
      <c r="F373" t="str">
        <f t="shared" si="26"/>
        <v>A</v>
      </c>
    </row>
    <row r="374" spans="2:6">
      <c r="B374" t="s">
        <v>707</v>
      </c>
      <c r="C374" s="15">
        <v>39686.4182</v>
      </c>
      <c r="D374" s="16">
        <f t="shared" si="29"/>
        <v>0.0221802078686433</v>
      </c>
      <c r="E374" s="16">
        <f t="shared" si="30"/>
        <v>0.429669545818453</v>
      </c>
      <c r="F374" t="str">
        <f t="shared" si="26"/>
        <v>A</v>
      </c>
    </row>
    <row r="375" spans="2:6">
      <c r="B375" t="s">
        <v>747</v>
      </c>
      <c r="C375" s="15">
        <v>39546.77454</v>
      </c>
      <c r="D375" s="16">
        <f t="shared" si="29"/>
        <v>0.022102162896413</v>
      </c>
      <c r="E375" s="16">
        <f t="shared" si="30"/>
        <v>0.451771708714866</v>
      </c>
      <c r="F375" t="str">
        <f t="shared" si="26"/>
        <v>A</v>
      </c>
    </row>
    <row r="376" spans="2:6">
      <c r="B376" t="s">
        <v>343</v>
      </c>
      <c r="C376" s="15">
        <v>39516.80439</v>
      </c>
      <c r="D376" s="16">
        <f t="shared" si="29"/>
        <v>0.0220854129807743</v>
      </c>
      <c r="E376" s="16">
        <f t="shared" si="30"/>
        <v>0.47385712169564</v>
      </c>
      <c r="F376" t="str">
        <f t="shared" si="26"/>
        <v>A</v>
      </c>
    </row>
    <row r="377" spans="2:6">
      <c r="B377" t="s">
        <v>188</v>
      </c>
      <c r="C377" s="15">
        <v>35621.30232</v>
      </c>
      <c r="D377" s="16">
        <f t="shared" si="29"/>
        <v>0.0199082690210976</v>
      </c>
      <c r="E377" s="16">
        <f t="shared" si="30"/>
        <v>0.493765390716738</v>
      </c>
      <c r="F377" t="str">
        <f t="shared" si="26"/>
        <v>A</v>
      </c>
    </row>
    <row r="378" spans="2:6">
      <c r="B378" t="s">
        <v>809</v>
      </c>
      <c r="C378" s="15">
        <v>34816.968</v>
      </c>
      <c r="D378" s="16">
        <f t="shared" si="29"/>
        <v>0.0194587373368933</v>
      </c>
      <c r="E378" s="16">
        <f t="shared" si="30"/>
        <v>0.513224128053631</v>
      </c>
      <c r="F378" t="str">
        <f t="shared" si="26"/>
        <v>A</v>
      </c>
    </row>
    <row r="379" spans="2:6">
      <c r="B379" t="s">
        <v>1239</v>
      </c>
      <c r="C379" s="15">
        <v>34307.16</v>
      </c>
      <c r="D379" s="16">
        <f t="shared" si="29"/>
        <v>0.0191738124702522</v>
      </c>
      <c r="E379" s="16">
        <f t="shared" si="30"/>
        <v>0.532397940523884</v>
      </c>
      <c r="F379" t="str">
        <f t="shared" si="26"/>
        <v>A</v>
      </c>
    </row>
    <row r="380" spans="2:6">
      <c r="B380" t="s">
        <v>861</v>
      </c>
      <c r="C380" s="15">
        <v>33200.03808</v>
      </c>
      <c r="D380" s="16">
        <f t="shared" si="29"/>
        <v>0.0185550568496825</v>
      </c>
      <c r="E380" s="16">
        <f t="shared" si="30"/>
        <v>0.550952997373566</v>
      </c>
      <c r="F380" t="str">
        <f t="shared" si="26"/>
        <v>A</v>
      </c>
    </row>
    <row r="381" spans="2:6">
      <c r="B381" t="s">
        <v>1351</v>
      </c>
      <c r="C381" s="15">
        <v>32704.3864</v>
      </c>
      <c r="D381" s="16">
        <f t="shared" si="29"/>
        <v>0.0182780437607854</v>
      </c>
      <c r="E381" s="16">
        <f t="shared" si="30"/>
        <v>0.569231041134352</v>
      </c>
      <c r="F381" t="str">
        <f t="shared" si="26"/>
        <v>A</v>
      </c>
    </row>
    <row r="382" spans="2:6">
      <c r="B382" t="s">
        <v>182</v>
      </c>
      <c r="C382" s="15">
        <v>32506.5594</v>
      </c>
      <c r="D382" s="16">
        <f t="shared" si="29"/>
        <v>0.018167480898702</v>
      </c>
      <c r="E382" s="16">
        <f t="shared" si="30"/>
        <v>0.587398522033054</v>
      </c>
      <c r="F382" t="str">
        <f t="shared" si="26"/>
        <v>A</v>
      </c>
    </row>
    <row r="383" spans="2:6">
      <c r="B383" t="s">
        <v>930</v>
      </c>
      <c r="C383" s="15">
        <v>31513.42304</v>
      </c>
      <c r="D383" s="16">
        <f t="shared" si="29"/>
        <v>0.0176124302817454</v>
      </c>
      <c r="E383" s="16">
        <f t="shared" si="30"/>
        <v>0.605010952314799</v>
      </c>
      <c r="F383" t="str">
        <f t="shared" si="26"/>
        <v>A</v>
      </c>
    </row>
    <row r="384" spans="2:6">
      <c r="B384" t="s">
        <v>1094</v>
      </c>
      <c r="C384" s="15">
        <v>30692.47896</v>
      </c>
      <c r="D384" s="16">
        <f t="shared" si="29"/>
        <v>0.0171536156250241</v>
      </c>
      <c r="E384" s="16">
        <f t="shared" si="30"/>
        <v>0.622164567939823</v>
      </c>
      <c r="F384" t="str">
        <f t="shared" si="26"/>
        <v>A</v>
      </c>
    </row>
    <row r="385" spans="2:6">
      <c r="B385" t="s">
        <v>555</v>
      </c>
      <c r="C385" s="15">
        <v>30479.41897</v>
      </c>
      <c r="D385" s="16">
        <f t="shared" si="29"/>
        <v>0.0170345392487466</v>
      </c>
      <c r="E385" s="16">
        <f t="shared" si="30"/>
        <v>0.63919910718857</v>
      </c>
      <c r="F385" t="str">
        <f t="shared" si="26"/>
        <v>A</v>
      </c>
    </row>
    <row r="386" spans="2:6">
      <c r="B386" t="s">
        <v>1345</v>
      </c>
      <c r="C386" s="15">
        <v>30229.99488</v>
      </c>
      <c r="D386" s="16">
        <f t="shared" si="29"/>
        <v>0.016895139463768</v>
      </c>
      <c r="E386" s="16">
        <f t="shared" si="30"/>
        <v>0.656094246652338</v>
      </c>
      <c r="F386" t="str">
        <f t="shared" si="26"/>
        <v>A</v>
      </c>
    </row>
    <row r="387" spans="2:6">
      <c r="B387" t="s">
        <v>1201</v>
      </c>
      <c r="C387" s="15">
        <v>29673.4545</v>
      </c>
      <c r="D387" s="16">
        <f t="shared" si="29"/>
        <v>0.0165840964955293</v>
      </c>
      <c r="E387" s="16">
        <f t="shared" si="30"/>
        <v>0.672678343147867</v>
      </c>
      <c r="F387" t="str">
        <f t="shared" si="26"/>
        <v>A</v>
      </c>
    </row>
    <row r="388" spans="2:6">
      <c r="B388" t="s">
        <v>392</v>
      </c>
      <c r="C388" s="15">
        <v>25672.12704</v>
      </c>
      <c r="D388" s="16">
        <f t="shared" si="29"/>
        <v>0.0143478081420162</v>
      </c>
      <c r="E388" s="16">
        <f t="shared" si="30"/>
        <v>0.687026151289883</v>
      </c>
      <c r="F388" t="str">
        <f t="shared" si="26"/>
        <v>A</v>
      </c>
    </row>
    <row r="389" spans="2:6">
      <c r="B389" t="s">
        <v>1096</v>
      </c>
      <c r="C389" s="15">
        <v>25249.61322</v>
      </c>
      <c r="D389" s="16">
        <f t="shared" si="29"/>
        <v>0.0141116708240111</v>
      </c>
      <c r="E389" s="16">
        <f t="shared" si="30"/>
        <v>0.701137822113894</v>
      </c>
      <c r="F389" t="str">
        <f t="shared" si="26"/>
        <v>A</v>
      </c>
    </row>
    <row r="390" spans="2:6">
      <c r="B390" t="s">
        <v>1070</v>
      </c>
      <c r="C390" s="15">
        <v>21908.73165</v>
      </c>
      <c r="D390" s="16">
        <f t="shared" si="29"/>
        <v>0.0122444968373418</v>
      </c>
      <c r="E390" s="16">
        <f t="shared" si="30"/>
        <v>0.713382318951236</v>
      </c>
      <c r="F390" t="str">
        <f t="shared" ref="F390:F453" si="31">IF(E390&lt;=80%,"A",IF(E390&lt;=95%,"B",IF(E390&lt;=100%,"C"," ")))</f>
        <v>A</v>
      </c>
    </row>
    <row r="391" spans="2:6">
      <c r="B391" t="s">
        <v>267</v>
      </c>
      <c r="C391" s="15">
        <v>21062.61248</v>
      </c>
      <c r="D391" s="16">
        <f t="shared" si="29"/>
        <v>0.0117716121598265</v>
      </c>
      <c r="E391" s="16">
        <f t="shared" si="30"/>
        <v>0.725153931111063</v>
      </c>
      <c r="F391" t="str">
        <f t="shared" si="31"/>
        <v>A</v>
      </c>
    </row>
    <row r="392" spans="2:6">
      <c r="B392" t="s">
        <v>139</v>
      </c>
      <c r="C392" s="15">
        <v>20084.13372</v>
      </c>
      <c r="D392" s="16">
        <f t="shared" si="29"/>
        <v>0.0112247534792955</v>
      </c>
      <c r="E392" s="16">
        <f t="shared" si="30"/>
        <v>0.736378684590358</v>
      </c>
      <c r="F392" t="str">
        <f t="shared" si="31"/>
        <v>A</v>
      </c>
    </row>
    <row r="393" spans="2:6">
      <c r="B393" t="s">
        <v>677</v>
      </c>
      <c r="C393" s="15">
        <v>20028.78738</v>
      </c>
      <c r="D393" s="16">
        <f t="shared" si="29"/>
        <v>0.0111938211507649</v>
      </c>
      <c r="E393" s="16">
        <f t="shared" si="30"/>
        <v>0.747572505741123</v>
      </c>
      <c r="F393" t="str">
        <f t="shared" si="31"/>
        <v>A</v>
      </c>
    </row>
    <row r="394" spans="2:6">
      <c r="B394" t="s">
        <v>118</v>
      </c>
      <c r="C394" s="15">
        <v>19903.58504</v>
      </c>
      <c r="D394" s="16">
        <f t="shared" si="29"/>
        <v>0.0111238472389635</v>
      </c>
      <c r="E394" s="16">
        <f t="shared" si="30"/>
        <v>0.758696352980086</v>
      </c>
      <c r="F394" t="str">
        <f t="shared" si="31"/>
        <v>A</v>
      </c>
    </row>
    <row r="395" spans="2:6">
      <c r="B395" t="s">
        <v>1205</v>
      </c>
      <c r="C395" s="15">
        <v>18830.12472</v>
      </c>
      <c r="D395" s="16">
        <f t="shared" ref="D395:D426" si="32">C395/$C$361</f>
        <v>0.0105239046360218</v>
      </c>
      <c r="E395" s="16">
        <f t="shared" si="30"/>
        <v>0.769220257616108</v>
      </c>
      <c r="F395" t="str">
        <f t="shared" si="31"/>
        <v>A</v>
      </c>
    </row>
    <row r="396" spans="2:6">
      <c r="B396" t="s">
        <v>1329</v>
      </c>
      <c r="C396" s="15">
        <v>18500.69352</v>
      </c>
      <c r="D396" s="16">
        <f t="shared" si="32"/>
        <v>0.0103397899482817</v>
      </c>
      <c r="E396" s="16">
        <f t="shared" ref="E396:E427" si="33">E395+D396</f>
        <v>0.77956004756439</v>
      </c>
      <c r="F396" t="str">
        <f t="shared" si="31"/>
        <v>A</v>
      </c>
    </row>
    <row r="397" spans="2:6">
      <c r="B397" t="s">
        <v>902</v>
      </c>
      <c r="C397" s="15">
        <v>17731.623</v>
      </c>
      <c r="D397" s="16">
        <f t="shared" si="32"/>
        <v>0.00990996672983747</v>
      </c>
      <c r="E397" s="16">
        <f t="shared" si="33"/>
        <v>0.789470014294227</v>
      </c>
      <c r="F397" t="str">
        <f t="shared" si="31"/>
        <v>A</v>
      </c>
    </row>
    <row r="398" spans="2:6">
      <c r="B398" t="s">
        <v>737</v>
      </c>
      <c r="C398" s="15">
        <v>16306.59375</v>
      </c>
      <c r="D398" s="16">
        <f t="shared" si="32"/>
        <v>0.00911353695820601</v>
      </c>
      <c r="E398" s="16">
        <f t="shared" si="33"/>
        <v>0.798583551252433</v>
      </c>
      <c r="F398" t="str">
        <f t="shared" si="31"/>
        <v>A</v>
      </c>
    </row>
    <row r="399" spans="2:6">
      <c r="B399" t="s">
        <v>361</v>
      </c>
      <c r="C399" s="15">
        <v>16071.44868</v>
      </c>
      <c r="D399" s="16">
        <f t="shared" si="32"/>
        <v>0.008982117526359</v>
      </c>
      <c r="E399" s="16">
        <f t="shared" si="33"/>
        <v>0.807565668778792</v>
      </c>
      <c r="F399" t="str">
        <f t="shared" si="31"/>
        <v>B</v>
      </c>
    </row>
    <row r="400" spans="2:6">
      <c r="B400" t="s">
        <v>1116</v>
      </c>
      <c r="C400" s="15">
        <v>15323.9268</v>
      </c>
      <c r="D400" s="16">
        <f t="shared" si="32"/>
        <v>0.00856433755434936</v>
      </c>
      <c r="E400" s="16">
        <f t="shared" si="33"/>
        <v>0.816130006333142</v>
      </c>
      <c r="F400" t="str">
        <f t="shared" si="31"/>
        <v>B</v>
      </c>
    </row>
    <row r="401" spans="2:6">
      <c r="B401" t="s">
        <v>533</v>
      </c>
      <c r="C401" s="15">
        <v>15253.0698</v>
      </c>
      <c r="D401" s="16">
        <f t="shared" si="32"/>
        <v>0.00852473652557855</v>
      </c>
      <c r="E401" s="16">
        <f t="shared" si="33"/>
        <v>0.82465474285872</v>
      </c>
      <c r="F401" t="str">
        <f t="shared" si="31"/>
        <v>B</v>
      </c>
    </row>
    <row r="402" spans="2:6">
      <c r="B402" t="s">
        <v>36</v>
      </c>
      <c r="C402" s="15">
        <v>15232.80528</v>
      </c>
      <c r="D402" s="16">
        <f t="shared" si="32"/>
        <v>0.00851341095662211</v>
      </c>
      <c r="E402" s="16">
        <f t="shared" si="33"/>
        <v>0.833168153815342</v>
      </c>
      <c r="F402" t="str">
        <f t="shared" si="31"/>
        <v>B</v>
      </c>
    </row>
    <row r="403" spans="2:6">
      <c r="B403" t="s">
        <v>1036</v>
      </c>
      <c r="C403" s="15">
        <v>14261.92439</v>
      </c>
      <c r="D403" s="16">
        <f t="shared" si="32"/>
        <v>0.00797079862392504</v>
      </c>
      <c r="E403" s="16">
        <f t="shared" si="33"/>
        <v>0.841138952439267</v>
      </c>
      <c r="F403" t="str">
        <f t="shared" si="31"/>
        <v>B</v>
      </c>
    </row>
    <row r="404" spans="2:6">
      <c r="B404" t="s">
        <v>1255</v>
      </c>
      <c r="C404" s="15">
        <v>13882.6016</v>
      </c>
      <c r="D404" s="16">
        <f t="shared" si="32"/>
        <v>0.00775880019440908</v>
      </c>
      <c r="E404" s="16">
        <f t="shared" si="33"/>
        <v>0.848897752633677</v>
      </c>
      <c r="F404" t="str">
        <f t="shared" si="31"/>
        <v>B</v>
      </c>
    </row>
    <row r="405" spans="2:6">
      <c r="B405" t="s">
        <v>665</v>
      </c>
      <c r="C405" s="15">
        <v>13035.97022</v>
      </c>
      <c r="D405" s="16">
        <f t="shared" si="32"/>
        <v>0.0072856292495815</v>
      </c>
      <c r="E405" s="16">
        <f t="shared" si="33"/>
        <v>0.856183381883258</v>
      </c>
      <c r="F405" t="str">
        <f t="shared" si="31"/>
        <v>B</v>
      </c>
    </row>
    <row r="406" spans="2:6">
      <c r="B406" t="s">
        <v>864</v>
      </c>
      <c r="C406" s="15">
        <v>12881.0976</v>
      </c>
      <c r="D406" s="16">
        <f t="shared" si="32"/>
        <v>0.00719907301547012</v>
      </c>
      <c r="E406" s="16">
        <f t="shared" si="33"/>
        <v>0.863382454898728</v>
      </c>
      <c r="F406" t="str">
        <f t="shared" si="31"/>
        <v>B</v>
      </c>
    </row>
    <row r="407" spans="2:6">
      <c r="B407" t="s">
        <v>1253</v>
      </c>
      <c r="C407" s="15">
        <v>12091.1904</v>
      </c>
      <c r="D407" s="16">
        <f t="shared" si="32"/>
        <v>0.00675760445550474</v>
      </c>
      <c r="E407" s="16">
        <f t="shared" si="33"/>
        <v>0.870140059354233</v>
      </c>
      <c r="F407" t="str">
        <f t="shared" si="31"/>
        <v>B</v>
      </c>
    </row>
    <row r="408" spans="2:6">
      <c r="B408" t="s">
        <v>349</v>
      </c>
      <c r="C408" s="15">
        <v>10817.3416</v>
      </c>
      <c r="D408" s="16">
        <f t="shared" si="32"/>
        <v>0.00604566741359699</v>
      </c>
      <c r="E408" s="16">
        <f t="shared" si="33"/>
        <v>0.87618572676783</v>
      </c>
      <c r="F408" t="str">
        <f t="shared" si="31"/>
        <v>B</v>
      </c>
    </row>
    <row r="409" spans="2:6">
      <c r="B409" t="s">
        <v>1191</v>
      </c>
      <c r="C409" s="15">
        <v>10792.63712</v>
      </c>
      <c r="D409" s="16">
        <f t="shared" si="32"/>
        <v>0.00603186041043219</v>
      </c>
      <c r="E409" s="16">
        <f t="shared" si="33"/>
        <v>0.882217587178262</v>
      </c>
      <c r="F409" t="str">
        <f t="shared" si="31"/>
        <v>B</v>
      </c>
    </row>
    <row r="410" spans="2:6">
      <c r="B410" t="s">
        <v>1333</v>
      </c>
      <c r="C410" s="15">
        <v>10786.32144</v>
      </c>
      <c r="D410" s="16">
        <f t="shared" si="32"/>
        <v>0.00602833066142522</v>
      </c>
      <c r="E410" s="16">
        <f t="shared" si="33"/>
        <v>0.888245917839687</v>
      </c>
      <c r="F410" t="str">
        <f t="shared" si="31"/>
        <v>B</v>
      </c>
    </row>
    <row r="411" spans="2:6">
      <c r="B411" t="s">
        <v>173</v>
      </c>
      <c r="C411" s="15">
        <v>10558.74</v>
      </c>
      <c r="D411" s="16">
        <f t="shared" si="32"/>
        <v>0.00590113844113447</v>
      </c>
      <c r="E411" s="16">
        <f t="shared" si="33"/>
        <v>0.894147056280822</v>
      </c>
      <c r="F411" t="str">
        <f t="shared" si="31"/>
        <v>B</v>
      </c>
    </row>
    <row r="412" spans="2:6">
      <c r="B412" t="s">
        <v>1110</v>
      </c>
      <c r="C412" s="15">
        <v>10189.8891</v>
      </c>
      <c r="D412" s="16">
        <f t="shared" si="32"/>
        <v>0.00569499261075726</v>
      </c>
      <c r="E412" s="16">
        <f t="shared" si="33"/>
        <v>0.899842048891579</v>
      </c>
      <c r="F412" t="str">
        <f t="shared" si="31"/>
        <v>B</v>
      </c>
    </row>
    <row r="413" spans="2:6">
      <c r="B413" t="s">
        <v>1229</v>
      </c>
      <c r="C413" s="15">
        <v>10166.5356</v>
      </c>
      <c r="D413" s="16">
        <f t="shared" si="32"/>
        <v>0.00568194065222954</v>
      </c>
      <c r="E413" s="16">
        <f t="shared" si="33"/>
        <v>0.905523989543809</v>
      </c>
      <c r="F413" t="str">
        <f t="shared" si="31"/>
        <v>B</v>
      </c>
    </row>
    <row r="414" spans="2:6">
      <c r="B414" t="s">
        <v>1138</v>
      </c>
      <c r="C414" s="15">
        <v>9807.78428</v>
      </c>
      <c r="D414" s="16">
        <f t="shared" si="32"/>
        <v>0.00548143934191602</v>
      </c>
      <c r="E414" s="16">
        <f t="shared" si="33"/>
        <v>0.911005428885725</v>
      </c>
      <c r="F414" t="str">
        <f t="shared" si="31"/>
        <v>B</v>
      </c>
    </row>
    <row r="415" spans="2:6">
      <c r="B415" t="s">
        <v>150</v>
      </c>
      <c r="C415" s="15">
        <v>9647.38528</v>
      </c>
      <c r="D415" s="16">
        <f t="shared" si="32"/>
        <v>0.00539179448800168</v>
      </c>
      <c r="E415" s="16">
        <f t="shared" si="33"/>
        <v>0.916397223373726</v>
      </c>
      <c r="F415" t="str">
        <f t="shared" si="31"/>
        <v>B</v>
      </c>
    </row>
    <row r="416" spans="2:6">
      <c r="B416" t="s">
        <v>244</v>
      </c>
      <c r="C416" s="15">
        <v>9373.46022</v>
      </c>
      <c r="D416" s="16">
        <f t="shared" si="32"/>
        <v>0.00523870143887308</v>
      </c>
      <c r="E416" s="16">
        <f t="shared" si="33"/>
        <v>0.921635924812599</v>
      </c>
      <c r="F416" t="str">
        <f t="shared" si="31"/>
        <v>B</v>
      </c>
    </row>
    <row r="417" spans="2:6">
      <c r="B417" t="s">
        <v>1162</v>
      </c>
      <c r="C417" s="15">
        <v>9262.06866</v>
      </c>
      <c r="D417" s="16">
        <f t="shared" si="32"/>
        <v>0.00517644618713529</v>
      </c>
      <c r="E417" s="16">
        <f t="shared" si="33"/>
        <v>0.926812370999735</v>
      </c>
      <c r="F417" t="str">
        <f t="shared" si="31"/>
        <v>B</v>
      </c>
    </row>
    <row r="418" spans="2:6">
      <c r="B418" t="s">
        <v>414</v>
      </c>
      <c r="C418" s="15">
        <v>8909.66468</v>
      </c>
      <c r="D418" s="16">
        <f t="shared" si="32"/>
        <v>0.00497949232017893</v>
      </c>
      <c r="E418" s="16">
        <f t="shared" si="33"/>
        <v>0.931791863319914</v>
      </c>
      <c r="F418" t="str">
        <f t="shared" si="31"/>
        <v>B</v>
      </c>
    </row>
    <row r="419" spans="2:6">
      <c r="B419" t="s">
        <v>765</v>
      </c>
      <c r="C419" s="15">
        <v>8764.40656</v>
      </c>
      <c r="D419" s="16">
        <f t="shared" si="32"/>
        <v>0.00489830950141278</v>
      </c>
      <c r="E419" s="16">
        <f t="shared" si="33"/>
        <v>0.936690172821326</v>
      </c>
      <c r="F419" t="str">
        <f t="shared" si="31"/>
        <v>B</v>
      </c>
    </row>
    <row r="420" spans="2:6">
      <c r="B420" t="s">
        <v>1108</v>
      </c>
      <c r="C420" s="15">
        <v>8637.18745</v>
      </c>
      <c r="D420" s="16">
        <f t="shared" si="32"/>
        <v>0.00482720844385592</v>
      </c>
      <c r="E420" s="16">
        <f t="shared" si="33"/>
        <v>0.941517381265182</v>
      </c>
      <c r="F420" t="str">
        <f t="shared" si="31"/>
        <v>B</v>
      </c>
    </row>
    <row r="421" spans="2:6">
      <c r="B421" t="s">
        <v>499</v>
      </c>
      <c r="C421" s="15">
        <v>8349.22242</v>
      </c>
      <c r="D421" s="16">
        <f t="shared" si="32"/>
        <v>0.00466626864344077</v>
      </c>
      <c r="E421" s="16">
        <f t="shared" si="33"/>
        <v>0.946183649908623</v>
      </c>
      <c r="F421" t="str">
        <f t="shared" si="31"/>
        <v>B</v>
      </c>
    </row>
    <row r="422" spans="2:6">
      <c r="B422" t="s">
        <v>279</v>
      </c>
      <c r="C422" s="15">
        <v>8324.8326</v>
      </c>
      <c r="D422" s="16">
        <f t="shared" si="32"/>
        <v>0.00465263749953777</v>
      </c>
      <c r="E422" s="16">
        <f t="shared" si="33"/>
        <v>0.950836287408161</v>
      </c>
      <c r="F422" t="str">
        <f t="shared" si="31"/>
        <v>C</v>
      </c>
    </row>
    <row r="423" spans="2:6">
      <c r="B423" t="s">
        <v>627</v>
      </c>
      <c r="C423" s="15">
        <v>8186.0576</v>
      </c>
      <c r="D423" s="16">
        <f t="shared" si="32"/>
        <v>0.00457507800975315</v>
      </c>
      <c r="E423" s="16">
        <f t="shared" si="33"/>
        <v>0.955411365417914</v>
      </c>
      <c r="F423" t="str">
        <f t="shared" si="31"/>
        <v>C</v>
      </c>
    </row>
    <row r="424" spans="2:6">
      <c r="B424" t="s">
        <v>1174</v>
      </c>
      <c r="C424" s="15">
        <v>7823.44724</v>
      </c>
      <c r="D424" s="16">
        <f t="shared" si="32"/>
        <v>0.00437241993364278</v>
      </c>
      <c r="E424" s="16">
        <f t="shared" si="33"/>
        <v>0.959783785351557</v>
      </c>
      <c r="F424" t="str">
        <f t="shared" si="31"/>
        <v>C</v>
      </c>
    </row>
    <row r="425" spans="2:6">
      <c r="B425" t="s">
        <v>745</v>
      </c>
      <c r="C425" s="15">
        <v>7493.1076</v>
      </c>
      <c r="D425" s="16">
        <f t="shared" si="32"/>
        <v>0.00418779753094752</v>
      </c>
      <c r="E425" s="16">
        <f t="shared" si="33"/>
        <v>0.963971582882504</v>
      </c>
      <c r="F425" t="str">
        <f t="shared" si="31"/>
        <v>C</v>
      </c>
    </row>
    <row r="426" spans="2:6">
      <c r="B426" t="s">
        <v>416</v>
      </c>
      <c r="C426" s="15">
        <v>7203.8047</v>
      </c>
      <c r="D426" s="16">
        <f t="shared" si="32"/>
        <v>0.00402611001289881</v>
      </c>
      <c r="E426" s="16">
        <f t="shared" si="33"/>
        <v>0.967997692895403</v>
      </c>
      <c r="F426" t="str">
        <f t="shared" si="31"/>
        <v>C</v>
      </c>
    </row>
    <row r="427" spans="2:6">
      <c r="B427" t="s">
        <v>859</v>
      </c>
      <c r="C427" s="15">
        <v>6576.29896</v>
      </c>
      <c r="D427" s="16">
        <f t="shared" ref="D427:D447" si="34">C427/$C$361</f>
        <v>0.00367540545493578</v>
      </c>
      <c r="E427" s="16">
        <f t="shared" si="33"/>
        <v>0.971673098350339</v>
      </c>
      <c r="F427" t="str">
        <f t="shared" si="31"/>
        <v>C</v>
      </c>
    </row>
    <row r="428" spans="2:6">
      <c r="B428" t="s">
        <v>974</v>
      </c>
      <c r="C428" s="15">
        <v>5546.46422</v>
      </c>
      <c r="D428" s="16">
        <f t="shared" si="34"/>
        <v>0.00309984460466106</v>
      </c>
      <c r="E428" s="16">
        <f t="shared" ref="E428:E447" si="35">E427+D428</f>
        <v>0.974772942955</v>
      </c>
      <c r="F428" t="str">
        <f t="shared" si="31"/>
        <v>C</v>
      </c>
    </row>
    <row r="429" spans="2:6">
      <c r="B429" t="s">
        <v>296</v>
      </c>
      <c r="C429" s="15">
        <v>5328.48904</v>
      </c>
      <c r="D429" s="16">
        <f t="shared" si="34"/>
        <v>0.00297802119448985</v>
      </c>
      <c r="E429" s="16">
        <f t="shared" si="35"/>
        <v>0.97775096414949</v>
      </c>
      <c r="F429" t="str">
        <f t="shared" si="31"/>
        <v>C</v>
      </c>
    </row>
    <row r="430" spans="2:6">
      <c r="B430" t="s">
        <v>1259</v>
      </c>
      <c r="C430" s="15">
        <v>4280.67864</v>
      </c>
      <c r="D430" s="16">
        <f t="shared" si="34"/>
        <v>0.00239241398847279</v>
      </c>
      <c r="E430" s="16">
        <f t="shared" si="35"/>
        <v>0.980143378137963</v>
      </c>
      <c r="F430" t="str">
        <f t="shared" si="31"/>
        <v>C</v>
      </c>
    </row>
    <row r="431" spans="2:6">
      <c r="B431" t="s">
        <v>491</v>
      </c>
      <c r="C431" s="15">
        <v>3928.37976</v>
      </c>
      <c r="D431" s="16">
        <f t="shared" si="34"/>
        <v>0.00219551886049951</v>
      </c>
      <c r="E431" s="16">
        <f t="shared" si="35"/>
        <v>0.982338896998462</v>
      </c>
      <c r="F431" t="str">
        <f t="shared" si="31"/>
        <v>C</v>
      </c>
    </row>
    <row r="432" spans="2:6">
      <c r="B432" t="s">
        <v>717</v>
      </c>
      <c r="C432" s="15">
        <v>3644.32128</v>
      </c>
      <c r="D432" s="16">
        <f t="shared" si="34"/>
        <v>0.00203676237858422</v>
      </c>
      <c r="E432" s="16">
        <f t="shared" si="35"/>
        <v>0.984375659377046</v>
      </c>
      <c r="F432" t="str">
        <f t="shared" si="31"/>
        <v>C</v>
      </c>
    </row>
    <row r="433" spans="2:6">
      <c r="B433" t="s">
        <v>599</v>
      </c>
      <c r="C433" s="15">
        <v>3592.04</v>
      </c>
      <c r="D433" s="16">
        <f t="shared" si="34"/>
        <v>0.00200754307105703</v>
      </c>
      <c r="E433" s="16">
        <f t="shared" si="35"/>
        <v>0.986383202448103</v>
      </c>
      <c r="F433" t="str">
        <f t="shared" si="31"/>
        <v>C</v>
      </c>
    </row>
    <row r="434" spans="2:6">
      <c r="B434" t="s">
        <v>1181</v>
      </c>
      <c r="C434" s="15">
        <v>3340.637</v>
      </c>
      <c r="D434" s="16">
        <f t="shared" si="34"/>
        <v>0.00186703729977025</v>
      </c>
      <c r="E434" s="16">
        <f t="shared" si="35"/>
        <v>0.988250239747874</v>
      </c>
      <c r="F434" t="str">
        <f t="shared" si="31"/>
        <v>C</v>
      </c>
    </row>
    <row r="435" spans="2:6">
      <c r="B435" t="s">
        <v>791</v>
      </c>
      <c r="C435" s="15">
        <v>3175.15478</v>
      </c>
      <c r="D435" s="16">
        <f t="shared" si="34"/>
        <v>0.00177455150224457</v>
      </c>
      <c r="E435" s="16">
        <f t="shared" si="35"/>
        <v>0.990024791250118</v>
      </c>
      <c r="F435" t="str">
        <f t="shared" si="31"/>
        <v>C</v>
      </c>
    </row>
    <row r="436" spans="2:6">
      <c r="B436" t="s">
        <v>980</v>
      </c>
      <c r="C436" s="15">
        <v>2795.63844</v>
      </c>
      <c r="D436" s="16">
        <f t="shared" si="34"/>
        <v>0.00156244490022457</v>
      </c>
      <c r="E436" s="16">
        <f t="shared" si="35"/>
        <v>0.991587236150343</v>
      </c>
      <c r="F436" t="str">
        <f t="shared" si="31"/>
        <v>C</v>
      </c>
    </row>
    <row r="437" spans="2:6">
      <c r="B437" t="s">
        <v>617</v>
      </c>
      <c r="C437" s="15">
        <v>2394.16056</v>
      </c>
      <c r="D437" s="16">
        <f t="shared" si="34"/>
        <v>0.00133806428748734</v>
      </c>
      <c r="E437" s="16">
        <f t="shared" si="35"/>
        <v>0.99292530043783</v>
      </c>
      <c r="F437" t="str">
        <f t="shared" si="31"/>
        <v>C</v>
      </c>
    </row>
    <row r="438" spans="2:6">
      <c r="B438" t="s">
        <v>1343</v>
      </c>
      <c r="C438" s="15">
        <v>2355.21132</v>
      </c>
      <c r="D438" s="16">
        <f t="shared" si="34"/>
        <v>0.00131629607864642</v>
      </c>
      <c r="E438" s="16">
        <f t="shared" si="35"/>
        <v>0.994241596516476</v>
      </c>
      <c r="F438" t="str">
        <f t="shared" si="31"/>
        <v>C</v>
      </c>
    </row>
    <row r="439" spans="2:6">
      <c r="B439" t="s">
        <v>970</v>
      </c>
      <c r="C439" s="15">
        <v>1950.00312</v>
      </c>
      <c r="D439" s="16">
        <f t="shared" si="34"/>
        <v>0.00108983063999721</v>
      </c>
      <c r="E439" s="16">
        <f t="shared" si="35"/>
        <v>0.995331427156474</v>
      </c>
      <c r="F439" t="str">
        <f t="shared" si="31"/>
        <v>C</v>
      </c>
    </row>
    <row r="440" spans="2:6">
      <c r="B440" t="s">
        <v>1028</v>
      </c>
      <c r="C440" s="15">
        <v>1886.9916</v>
      </c>
      <c r="D440" s="16">
        <f t="shared" si="34"/>
        <v>0.00105461434497467</v>
      </c>
      <c r="E440" s="16">
        <f t="shared" si="35"/>
        <v>0.996386041501448</v>
      </c>
      <c r="F440" t="str">
        <f t="shared" si="31"/>
        <v>C</v>
      </c>
    </row>
    <row r="441" spans="2:6">
      <c r="B441" t="s">
        <v>316</v>
      </c>
      <c r="C441" s="15">
        <v>1660.4</v>
      </c>
      <c r="D441" s="16">
        <f t="shared" si="34"/>
        <v>0.0009279753330094</v>
      </c>
      <c r="E441" s="16">
        <f t="shared" si="35"/>
        <v>0.997314016834458</v>
      </c>
      <c r="F441" t="str">
        <f t="shared" si="31"/>
        <v>C</v>
      </c>
    </row>
    <row r="442" spans="2:6">
      <c r="B442" t="s">
        <v>329</v>
      </c>
      <c r="C442" s="15">
        <v>1499.22</v>
      </c>
      <c r="D442" s="16">
        <f t="shared" si="34"/>
        <v>0.000837893988649936</v>
      </c>
      <c r="E442" s="16">
        <f t="shared" si="35"/>
        <v>0.998151910823108</v>
      </c>
      <c r="F442" t="str">
        <f t="shared" si="31"/>
        <v>C</v>
      </c>
    </row>
    <row r="443" spans="2:6">
      <c r="B443" t="s">
        <v>785</v>
      </c>
      <c r="C443" s="15">
        <v>1115.1976</v>
      </c>
      <c r="D443" s="16">
        <f t="shared" si="34"/>
        <v>0.000623269010016432</v>
      </c>
      <c r="E443" s="16">
        <f t="shared" si="35"/>
        <v>0.998775179833124</v>
      </c>
      <c r="F443" t="str">
        <f t="shared" si="31"/>
        <v>C</v>
      </c>
    </row>
    <row r="444" spans="2:6">
      <c r="B444" t="s">
        <v>1305</v>
      </c>
      <c r="C444" s="15">
        <v>1062.5902</v>
      </c>
      <c r="D444" s="16">
        <f t="shared" si="34"/>
        <v>0.00059386743838685</v>
      </c>
      <c r="E444" s="16">
        <f t="shared" si="35"/>
        <v>0.999369047271511</v>
      </c>
      <c r="F444" t="str">
        <f t="shared" si="31"/>
        <v>C</v>
      </c>
    </row>
    <row r="445" spans="2:6">
      <c r="B445" t="s">
        <v>725</v>
      </c>
      <c r="C445" s="15">
        <v>879.0584</v>
      </c>
      <c r="D445" s="16">
        <f t="shared" si="34"/>
        <v>0.000491293972220375</v>
      </c>
      <c r="E445" s="16">
        <f t="shared" si="35"/>
        <v>0.999860341243731</v>
      </c>
      <c r="F445" t="str">
        <f t="shared" si="31"/>
        <v>C</v>
      </c>
    </row>
    <row r="446" spans="2:6">
      <c r="B446" t="s">
        <v>200</v>
      </c>
      <c r="C446" s="15">
        <v>215.1984</v>
      </c>
      <c r="D446" s="16">
        <f t="shared" si="34"/>
        <v>0.000120271505000657</v>
      </c>
      <c r="E446" s="16">
        <f t="shared" si="35"/>
        <v>0.999980612748732</v>
      </c>
      <c r="F446" t="str">
        <f t="shared" si="31"/>
        <v>C</v>
      </c>
    </row>
    <row r="447" spans="2:6">
      <c r="B447" t="s">
        <v>324</v>
      </c>
      <c r="C447" s="15">
        <v>34.68906</v>
      </c>
      <c r="D447" s="16">
        <f t="shared" si="34"/>
        <v>1.93872512679373e-5</v>
      </c>
      <c r="E447" s="16">
        <f t="shared" si="35"/>
        <v>1</v>
      </c>
      <c r="F447" t="str">
        <f t="shared" si="31"/>
        <v>C</v>
      </c>
    </row>
    <row r="448" spans="1:3">
      <c r="A448" t="s">
        <v>42</v>
      </c>
      <c r="C448" s="15">
        <v>1398841.4533</v>
      </c>
    </row>
    <row r="449" spans="2:6">
      <c r="B449" t="s">
        <v>1277</v>
      </c>
      <c r="C449" s="15">
        <v>68665.57425</v>
      </c>
      <c r="D449" s="16">
        <f>C449/$C$448</f>
        <v>0.0490874602607832</v>
      </c>
      <c r="E449" s="16">
        <f>D449</f>
        <v>0.0490874602607832</v>
      </c>
      <c r="F449" t="str">
        <f t="shared" si="31"/>
        <v>A</v>
      </c>
    </row>
    <row r="450" spans="2:6">
      <c r="B450" t="s">
        <v>300</v>
      </c>
      <c r="C450" s="15">
        <v>52780.07</v>
      </c>
      <c r="D450" s="16">
        <f t="shared" ref="D450:D481" si="36">C450/$C$448</f>
        <v>0.0377312738877496</v>
      </c>
      <c r="E450" s="16">
        <f>E449+D450</f>
        <v>0.0868187341485328</v>
      </c>
      <c r="F450" t="str">
        <f t="shared" si="31"/>
        <v>A</v>
      </c>
    </row>
    <row r="451" spans="2:6">
      <c r="B451" t="s">
        <v>402</v>
      </c>
      <c r="C451" s="15">
        <v>42495.80544</v>
      </c>
      <c r="D451" s="16">
        <f t="shared" si="36"/>
        <v>0.030379286615898</v>
      </c>
      <c r="E451" s="16">
        <f t="shared" ref="E451:E482" si="37">E450+D451</f>
        <v>0.117198020764431</v>
      </c>
      <c r="F451" t="str">
        <f t="shared" si="31"/>
        <v>A</v>
      </c>
    </row>
    <row r="452" spans="2:6">
      <c r="B452" t="s">
        <v>466</v>
      </c>
      <c r="C452" s="15">
        <v>41352.2462</v>
      </c>
      <c r="D452" s="16">
        <f t="shared" si="36"/>
        <v>0.0295617820750494</v>
      </c>
      <c r="E452" s="16">
        <f t="shared" si="37"/>
        <v>0.14675980283948</v>
      </c>
      <c r="F452" t="str">
        <f t="shared" si="31"/>
        <v>A</v>
      </c>
    </row>
    <row r="453" spans="2:6">
      <c r="B453" t="s">
        <v>960</v>
      </c>
      <c r="C453" s="15">
        <v>41138.262</v>
      </c>
      <c r="D453" s="16">
        <f t="shared" si="36"/>
        <v>0.029408809628104</v>
      </c>
      <c r="E453" s="16">
        <f t="shared" si="37"/>
        <v>0.176168612467584</v>
      </c>
      <c r="F453" t="str">
        <f t="shared" si="31"/>
        <v>A</v>
      </c>
    </row>
    <row r="454" spans="2:6">
      <c r="B454" t="s">
        <v>853</v>
      </c>
      <c r="C454" s="15">
        <v>38422.02232</v>
      </c>
      <c r="D454" s="16">
        <f t="shared" si="36"/>
        <v>0.0274670315419655</v>
      </c>
      <c r="E454" s="16">
        <f t="shared" si="37"/>
        <v>0.20363564400955</v>
      </c>
      <c r="F454" t="str">
        <f t="shared" ref="F454:F517" si="38">IF(E454&lt;=80%,"A",IF(E454&lt;=95%,"B",IF(E454&lt;=100%,"C"," ")))</f>
        <v>A</v>
      </c>
    </row>
    <row r="455" spans="2:6">
      <c r="B455" t="s">
        <v>575</v>
      </c>
      <c r="C455" s="15">
        <v>37038.58176</v>
      </c>
      <c r="D455" s="16">
        <f t="shared" si="36"/>
        <v>0.0264780412909715</v>
      </c>
      <c r="E455" s="16">
        <f t="shared" si="37"/>
        <v>0.230113685300521</v>
      </c>
      <c r="F455" t="str">
        <f t="shared" si="38"/>
        <v>A</v>
      </c>
    </row>
    <row r="456" spans="2:6">
      <c r="B456" t="s">
        <v>103</v>
      </c>
      <c r="C456" s="15">
        <v>35367.21104</v>
      </c>
      <c r="D456" s="16">
        <f t="shared" si="36"/>
        <v>0.0252832163048681</v>
      </c>
      <c r="E456" s="16">
        <f t="shared" si="37"/>
        <v>0.255396901605389</v>
      </c>
      <c r="F456" t="str">
        <f t="shared" si="38"/>
        <v>A</v>
      </c>
    </row>
    <row r="457" spans="2:6">
      <c r="B457" t="s">
        <v>659</v>
      </c>
      <c r="C457" s="15">
        <v>34840.344</v>
      </c>
      <c r="D457" s="16">
        <f t="shared" si="36"/>
        <v>0.0249065710183297</v>
      </c>
      <c r="E457" s="16">
        <f t="shared" si="37"/>
        <v>0.280303472623719</v>
      </c>
      <c r="F457" t="str">
        <f t="shared" si="38"/>
        <v>A</v>
      </c>
    </row>
    <row r="458" spans="2:6">
      <c r="B458" t="s">
        <v>1114</v>
      </c>
      <c r="C458" s="15">
        <v>34800.4314</v>
      </c>
      <c r="D458" s="16">
        <f t="shared" si="36"/>
        <v>0.0248780384066418</v>
      </c>
      <c r="E458" s="16">
        <f t="shared" si="37"/>
        <v>0.305181511030361</v>
      </c>
      <c r="F458" t="str">
        <f t="shared" si="38"/>
        <v>A</v>
      </c>
    </row>
    <row r="459" spans="2:6">
      <c r="B459" t="s">
        <v>1211</v>
      </c>
      <c r="C459" s="15">
        <v>33551.9275</v>
      </c>
      <c r="D459" s="16">
        <f t="shared" si="36"/>
        <v>0.0239855113106977</v>
      </c>
      <c r="E459" s="16">
        <f t="shared" si="37"/>
        <v>0.329167022341059</v>
      </c>
      <c r="F459" t="str">
        <f t="shared" si="38"/>
        <v>A</v>
      </c>
    </row>
    <row r="460" spans="2:6">
      <c r="B460" t="s">
        <v>1225</v>
      </c>
      <c r="C460" s="15">
        <v>33071.3145</v>
      </c>
      <c r="D460" s="16">
        <f t="shared" si="36"/>
        <v>0.0236419319873468</v>
      </c>
      <c r="E460" s="16">
        <f t="shared" si="37"/>
        <v>0.352808954328405</v>
      </c>
      <c r="F460" t="str">
        <f t="shared" si="38"/>
        <v>A</v>
      </c>
    </row>
    <row r="461" spans="2:6">
      <c r="B461" t="s">
        <v>1357</v>
      </c>
      <c r="C461" s="15">
        <v>33017.42</v>
      </c>
      <c r="D461" s="16">
        <f t="shared" si="36"/>
        <v>0.0236034040327507</v>
      </c>
      <c r="E461" s="16">
        <f t="shared" si="37"/>
        <v>0.376412358361156</v>
      </c>
      <c r="F461" t="str">
        <f t="shared" si="38"/>
        <v>A</v>
      </c>
    </row>
    <row r="462" spans="2:6">
      <c r="B462" t="s">
        <v>851</v>
      </c>
      <c r="C462" s="15">
        <v>31005.24768</v>
      </c>
      <c r="D462" s="16">
        <f t="shared" si="36"/>
        <v>0.0221649477193113</v>
      </c>
      <c r="E462" s="16">
        <f t="shared" si="37"/>
        <v>0.398577306080467</v>
      </c>
      <c r="F462" t="str">
        <f t="shared" si="38"/>
        <v>A</v>
      </c>
    </row>
    <row r="463" spans="2:6">
      <c r="B463" t="s">
        <v>948</v>
      </c>
      <c r="C463" s="15">
        <v>29627.32032</v>
      </c>
      <c r="D463" s="16">
        <f t="shared" si="36"/>
        <v>0.0211798987298427</v>
      </c>
      <c r="E463" s="16">
        <f t="shared" si="37"/>
        <v>0.41975720481031</v>
      </c>
      <c r="F463" t="str">
        <f t="shared" si="38"/>
        <v>A</v>
      </c>
    </row>
    <row r="464" spans="2:6">
      <c r="B464" t="s">
        <v>422</v>
      </c>
      <c r="C464" s="15">
        <v>29263.75452</v>
      </c>
      <c r="D464" s="16">
        <f t="shared" si="36"/>
        <v>0.0209199937926947</v>
      </c>
      <c r="E464" s="16">
        <f t="shared" si="37"/>
        <v>0.440677198603005</v>
      </c>
      <c r="F464" t="str">
        <f t="shared" si="38"/>
        <v>A</v>
      </c>
    </row>
    <row r="465" spans="2:6">
      <c r="B465" t="s">
        <v>1315</v>
      </c>
      <c r="C465" s="15">
        <v>29175.03603</v>
      </c>
      <c r="D465" s="16">
        <f t="shared" si="36"/>
        <v>0.0208565709581835</v>
      </c>
      <c r="E465" s="16">
        <f t="shared" si="37"/>
        <v>0.461533769561188</v>
      </c>
      <c r="F465" t="str">
        <f t="shared" si="38"/>
        <v>A</v>
      </c>
    </row>
    <row r="466" spans="2:6">
      <c r="B466" t="s">
        <v>775</v>
      </c>
      <c r="C466" s="15">
        <v>28247.74656</v>
      </c>
      <c r="D466" s="16">
        <f t="shared" si="36"/>
        <v>0.0201936727663888</v>
      </c>
      <c r="E466" s="16">
        <f t="shared" si="37"/>
        <v>0.481727442327577</v>
      </c>
      <c r="F466" t="str">
        <f t="shared" si="38"/>
        <v>A</v>
      </c>
    </row>
    <row r="467" spans="2:6">
      <c r="B467" t="s">
        <v>972</v>
      </c>
      <c r="C467" s="15">
        <v>27249</v>
      </c>
      <c r="D467" s="16">
        <f t="shared" si="36"/>
        <v>0.0194796915230936</v>
      </c>
      <c r="E467" s="16">
        <f t="shared" si="37"/>
        <v>0.501207133850671</v>
      </c>
      <c r="F467" t="str">
        <f t="shared" si="38"/>
        <v>A</v>
      </c>
    </row>
    <row r="468" spans="2:6">
      <c r="B468" t="s">
        <v>146</v>
      </c>
      <c r="C468" s="15">
        <v>26150.36432</v>
      </c>
      <c r="D468" s="16">
        <f t="shared" si="36"/>
        <v>0.0186943018154837</v>
      </c>
      <c r="E468" s="16">
        <f t="shared" si="37"/>
        <v>0.519901435666154</v>
      </c>
      <c r="F468" t="str">
        <f t="shared" si="38"/>
        <v>A</v>
      </c>
    </row>
    <row r="469" spans="2:6">
      <c r="B469" t="s">
        <v>507</v>
      </c>
      <c r="C469" s="15">
        <v>25299.04</v>
      </c>
      <c r="D469" s="16">
        <f t="shared" si="36"/>
        <v>0.0180857093849465</v>
      </c>
      <c r="E469" s="16">
        <f t="shared" si="37"/>
        <v>0.537987145051101</v>
      </c>
      <c r="F469" t="str">
        <f t="shared" si="38"/>
        <v>A</v>
      </c>
    </row>
    <row r="470" spans="2:6">
      <c r="B470" t="s">
        <v>529</v>
      </c>
      <c r="C470" s="15">
        <v>24223.05</v>
      </c>
      <c r="D470" s="16">
        <f t="shared" si="36"/>
        <v>0.0173165085598911</v>
      </c>
      <c r="E470" s="16">
        <f t="shared" si="37"/>
        <v>0.555303653610992</v>
      </c>
      <c r="F470" t="str">
        <f t="shared" si="38"/>
        <v>A</v>
      </c>
    </row>
    <row r="471" spans="2:6">
      <c r="B471" t="s">
        <v>314</v>
      </c>
      <c r="C471" s="15">
        <v>23687.52444</v>
      </c>
      <c r="D471" s="16">
        <f t="shared" si="36"/>
        <v>0.0169336734939609</v>
      </c>
      <c r="E471" s="16">
        <f t="shared" si="37"/>
        <v>0.572237327104953</v>
      </c>
      <c r="F471" t="str">
        <f t="shared" si="38"/>
        <v>A</v>
      </c>
    </row>
    <row r="472" spans="2:6">
      <c r="B472" t="s">
        <v>1271</v>
      </c>
      <c r="C472" s="15">
        <v>22676.31261</v>
      </c>
      <c r="D472" s="16">
        <f t="shared" si="36"/>
        <v>0.0162107811121156</v>
      </c>
      <c r="E472" s="16">
        <f t="shared" si="37"/>
        <v>0.588448108217068</v>
      </c>
      <c r="F472" t="str">
        <f t="shared" si="38"/>
        <v>A</v>
      </c>
    </row>
    <row r="473" spans="2:6">
      <c r="B473" t="s">
        <v>743</v>
      </c>
      <c r="C473" s="15">
        <v>22380.204</v>
      </c>
      <c r="D473" s="16">
        <f t="shared" si="36"/>
        <v>0.0159990997887595</v>
      </c>
      <c r="E473" s="16">
        <f t="shared" si="37"/>
        <v>0.604447208005828</v>
      </c>
      <c r="F473" t="str">
        <f t="shared" si="38"/>
        <v>A</v>
      </c>
    </row>
    <row r="474" spans="2:6">
      <c r="B474" t="s">
        <v>495</v>
      </c>
      <c r="C474" s="15">
        <v>21679.7498</v>
      </c>
      <c r="D474" s="16">
        <f t="shared" si="36"/>
        <v>0.0154983609821223</v>
      </c>
      <c r="E474" s="16">
        <f t="shared" si="37"/>
        <v>0.61994556898795</v>
      </c>
      <c r="F474" t="str">
        <f t="shared" si="38"/>
        <v>A</v>
      </c>
    </row>
    <row r="475" spans="2:6">
      <c r="B475" t="s">
        <v>553</v>
      </c>
      <c r="C475" s="15">
        <v>21573.6495</v>
      </c>
      <c r="D475" s="16">
        <f t="shared" si="36"/>
        <v>0.0154225122862249</v>
      </c>
      <c r="E475" s="16">
        <f t="shared" si="37"/>
        <v>0.635368081274175</v>
      </c>
      <c r="F475" t="str">
        <f t="shared" si="38"/>
        <v>A</v>
      </c>
    </row>
    <row r="476" spans="2:6">
      <c r="B476" t="s">
        <v>916</v>
      </c>
      <c r="C476" s="15">
        <v>21541.01796</v>
      </c>
      <c r="D476" s="16">
        <f t="shared" si="36"/>
        <v>0.0153991847390444</v>
      </c>
      <c r="E476" s="16">
        <f t="shared" si="37"/>
        <v>0.65076726601322</v>
      </c>
      <c r="F476" t="str">
        <f t="shared" si="38"/>
        <v>A</v>
      </c>
    </row>
    <row r="477" spans="2:6">
      <c r="B477" t="s">
        <v>1014</v>
      </c>
      <c r="C477" s="15">
        <v>20797.98</v>
      </c>
      <c r="D477" s="16">
        <f t="shared" si="36"/>
        <v>0.014868003769073</v>
      </c>
      <c r="E477" s="16">
        <f t="shared" si="37"/>
        <v>0.665635269782293</v>
      </c>
      <c r="F477" t="str">
        <f t="shared" si="38"/>
        <v>A</v>
      </c>
    </row>
    <row r="478" spans="2:6">
      <c r="B478" t="s">
        <v>956</v>
      </c>
      <c r="C478" s="15">
        <v>19637.76528</v>
      </c>
      <c r="D478" s="16">
        <f t="shared" si="36"/>
        <v>0.0140385926036669</v>
      </c>
      <c r="E478" s="16">
        <f t="shared" si="37"/>
        <v>0.67967386238596</v>
      </c>
      <c r="F478" t="str">
        <f t="shared" si="38"/>
        <v>A</v>
      </c>
    </row>
    <row r="479" spans="2:6">
      <c r="B479" t="s">
        <v>835</v>
      </c>
      <c r="C479" s="15">
        <v>19547.32992</v>
      </c>
      <c r="D479" s="16">
        <f t="shared" si="36"/>
        <v>0.0139739424177672</v>
      </c>
      <c r="E479" s="16">
        <f t="shared" si="37"/>
        <v>0.693647804803727</v>
      </c>
      <c r="F479" t="str">
        <f t="shared" si="38"/>
        <v>A</v>
      </c>
    </row>
    <row r="480" spans="2:6">
      <c r="B480" t="s">
        <v>282</v>
      </c>
      <c r="C480" s="15">
        <v>19510.808</v>
      </c>
      <c r="D480" s="16">
        <f t="shared" si="36"/>
        <v>0.0139478337262398</v>
      </c>
      <c r="E480" s="16">
        <f t="shared" si="37"/>
        <v>0.707595638529966</v>
      </c>
      <c r="F480" t="str">
        <f t="shared" si="38"/>
        <v>A</v>
      </c>
    </row>
    <row r="481" spans="2:6">
      <c r="B481" t="s">
        <v>1050</v>
      </c>
      <c r="C481" s="15">
        <v>19233.3555</v>
      </c>
      <c r="D481" s="16">
        <f t="shared" si="36"/>
        <v>0.0137494892324121</v>
      </c>
      <c r="E481" s="16">
        <f t="shared" si="37"/>
        <v>0.721345127762378</v>
      </c>
      <c r="F481" t="str">
        <f t="shared" si="38"/>
        <v>A</v>
      </c>
    </row>
    <row r="482" spans="2:6">
      <c r="B482" t="s">
        <v>845</v>
      </c>
      <c r="C482" s="15">
        <v>16873.45</v>
      </c>
      <c r="D482" s="16">
        <f t="shared" ref="D482:D513" si="39">C482/$C$448</f>
        <v>0.012062446362448</v>
      </c>
      <c r="E482" s="16">
        <f t="shared" si="37"/>
        <v>0.733407574124826</v>
      </c>
      <c r="F482" t="str">
        <f t="shared" si="38"/>
        <v>A</v>
      </c>
    </row>
    <row r="483" spans="2:6">
      <c r="B483" t="s">
        <v>928</v>
      </c>
      <c r="C483" s="15">
        <v>16134.22069</v>
      </c>
      <c r="D483" s="16">
        <f t="shared" si="39"/>
        <v>0.0115339881099018</v>
      </c>
      <c r="E483" s="16">
        <f t="shared" ref="E483:E514" si="40">E482+D483</f>
        <v>0.744941562234728</v>
      </c>
      <c r="F483" t="str">
        <f t="shared" si="38"/>
        <v>A</v>
      </c>
    </row>
    <row r="484" spans="2:6">
      <c r="B484" t="s">
        <v>347</v>
      </c>
      <c r="C484" s="15">
        <v>16061.97288</v>
      </c>
      <c r="D484" s="16">
        <f t="shared" si="39"/>
        <v>0.0114823397906234</v>
      </c>
      <c r="E484" s="16">
        <f t="shared" si="40"/>
        <v>0.756423902025352</v>
      </c>
      <c r="F484" t="str">
        <f t="shared" si="38"/>
        <v>A</v>
      </c>
    </row>
    <row r="485" spans="2:6">
      <c r="B485" t="s">
        <v>503</v>
      </c>
      <c r="C485" s="15">
        <v>14963.76918</v>
      </c>
      <c r="D485" s="16">
        <f t="shared" si="39"/>
        <v>0.0106972588957091</v>
      </c>
      <c r="E485" s="16">
        <f t="shared" si="40"/>
        <v>0.767121160921061</v>
      </c>
      <c r="F485" t="str">
        <f t="shared" si="38"/>
        <v>A</v>
      </c>
    </row>
    <row r="486" spans="2:6">
      <c r="B486" t="s">
        <v>942</v>
      </c>
      <c r="C486" s="15">
        <v>14527.7484</v>
      </c>
      <c r="D486" s="16">
        <f t="shared" si="39"/>
        <v>0.0103855575381525</v>
      </c>
      <c r="E486" s="16">
        <f t="shared" si="40"/>
        <v>0.777506718459213</v>
      </c>
      <c r="F486" t="str">
        <f t="shared" si="38"/>
        <v>A</v>
      </c>
    </row>
    <row r="487" spans="2:6">
      <c r="B487" t="s">
        <v>1361</v>
      </c>
      <c r="C487" s="15">
        <v>12769.38768</v>
      </c>
      <c r="D487" s="16">
        <f t="shared" si="39"/>
        <v>0.00912854537580067</v>
      </c>
      <c r="E487" s="16">
        <f t="shared" si="40"/>
        <v>0.786635263835014</v>
      </c>
      <c r="F487" t="str">
        <f t="shared" si="38"/>
        <v>A</v>
      </c>
    </row>
    <row r="488" spans="2:6">
      <c r="B488" t="s">
        <v>984</v>
      </c>
      <c r="C488" s="15">
        <v>12668.50728</v>
      </c>
      <c r="D488" s="16">
        <f t="shared" si="39"/>
        <v>0.00905642826791685</v>
      </c>
      <c r="E488" s="16">
        <f t="shared" si="40"/>
        <v>0.795691692102931</v>
      </c>
      <c r="F488" t="str">
        <f t="shared" si="38"/>
        <v>A</v>
      </c>
    </row>
    <row r="489" spans="2:6">
      <c r="B489" t="s">
        <v>1000</v>
      </c>
      <c r="C489" s="15">
        <v>12289.2</v>
      </c>
      <c r="D489" s="16">
        <f t="shared" si="39"/>
        <v>0.00878527010406262</v>
      </c>
      <c r="E489" s="16">
        <f t="shared" si="40"/>
        <v>0.804476962206993</v>
      </c>
      <c r="F489" t="str">
        <f t="shared" si="38"/>
        <v>B</v>
      </c>
    </row>
    <row r="490" spans="2:6">
      <c r="B490" t="s">
        <v>591</v>
      </c>
      <c r="C490" s="15">
        <v>12248.676</v>
      </c>
      <c r="D490" s="16">
        <f t="shared" si="39"/>
        <v>0.00875630041639402</v>
      </c>
      <c r="E490" s="16">
        <f t="shared" si="40"/>
        <v>0.813233262623387</v>
      </c>
      <c r="F490" t="str">
        <f t="shared" si="38"/>
        <v>B</v>
      </c>
    </row>
    <row r="491" spans="2:6">
      <c r="B491" t="s">
        <v>226</v>
      </c>
      <c r="C491" s="15">
        <v>12153.26736</v>
      </c>
      <c r="D491" s="16">
        <f t="shared" si="39"/>
        <v>0.0086880949455203</v>
      </c>
      <c r="E491" s="16">
        <f t="shared" si="40"/>
        <v>0.821921357568907</v>
      </c>
      <c r="F491" t="str">
        <f t="shared" si="38"/>
        <v>B</v>
      </c>
    </row>
    <row r="492" spans="2:6">
      <c r="B492" t="s">
        <v>1008</v>
      </c>
      <c r="C492" s="15">
        <v>11984.89125</v>
      </c>
      <c r="D492" s="16">
        <f t="shared" si="39"/>
        <v>0.00856772668677105</v>
      </c>
      <c r="E492" s="16">
        <f t="shared" si="40"/>
        <v>0.830489084255679</v>
      </c>
      <c r="F492" t="str">
        <f t="shared" si="38"/>
        <v>B</v>
      </c>
    </row>
    <row r="493" spans="2:6">
      <c r="B493" t="s">
        <v>1168</v>
      </c>
      <c r="C493" s="15">
        <v>11924.0978</v>
      </c>
      <c r="D493" s="16">
        <f t="shared" si="39"/>
        <v>0.00852426682943226</v>
      </c>
      <c r="E493" s="16">
        <f t="shared" si="40"/>
        <v>0.839013351085111</v>
      </c>
      <c r="F493" t="str">
        <f t="shared" si="38"/>
        <v>B</v>
      </c>
    </row>
    <row r="494" spans="2:6">
      <c r="B494" t="s">
        <v>497</v>
      </c>
      <c r="C494" s="15">
        <v>11326.84644</v>
      </c>
      <c r="D494" s="16">
        <f t="shared" si="39"/>
        <v>0.00809730539031346</v>
      </c>
      <c r="E494" s="16">
        <f t="shared" si="40"/>
        <v>0.847110656475424</v>
      </c>
      <c r="F494" t="str">
        <f t="shared" si="38"/>
        <v>B</v>
      </c>
    </row>
    <row r="495" spans="2:6">
      <c r="B495" t="s">
        <v>888</v>
      </c>
      <c r="C495" s="15">
        <v>11285.76402</v>
      </c>
      <c r="D495" s="16">
        <f t="shared" si="39"/>
        <v>0.00806793650086349</v>
      </c>
      <c r="E495" s="16">
        <f t="shared" si="40"/>
        <v>0.855178592976288</v>
      </c>
      <c r="F495" t="str">
        <f t="shared" si="38"/>
        <v>B</v>
      </c>
    </row>
    <row r="496" spans="2:6">
      <c r="B496" t="s">
        <v>218</v>
      </c>
      <c r="C496" s="15">
        <v>10947.904</v>
      </c>
      <c r="D496" s="16">
        <f t="shared" si="39"/>
        <v>0.00782640804229304</v>
      </c>
      <c r="E496" s="16">
        <f t="shared" si="40"/>
        <v>0.863005001018581</v>
      </c>
      <c r="F496" t="str">
        <f t="shared" si="38"/>
        <v>B</v>
      </c>
    </row>
    <row r="497" spans="2:6">
      <c r="B497" t="s">
        <v>85</v>
      </c>
      <c r="C497" s="15">
        <v>10370.55</v>
      </c>
      <c r="D497" s="16">
        <f t="shared" si="39"/>
        <v>0.0074136707741502</v>
      </c>
      <c r="E497" s="16">
        <f t="shared" si="40"/>
        <v>0.870418671792731</v>
      </c>
      <c r="F497" t="str">
        <f t="shared" si="38"/>
        <v>B</v>
      </c>
    </row>
    <row r="498" spans="2:6">
      <c r="B498" t="s">
        <v>944</v>
      </c>
      <c r="C498" s="15">
        <v>9984.7161</v>
      </c>
      <c r="D498" s="16">
        <f t="shared" si="39"/>
        <v>0.00713784687781815</v>
      </c>
      <c r="E498" s="16">
        <f t="shared" si="40"/>
        <v>0.877556518670549</v>
      </c>
      <c r="F498" t="str">
        <f t="shared" si="38"/>
        <v>B</v>
      </c>
    </row>
    <row r="499" spans="2:6">
      <c r="B499" t="s">
        <v>585</v>
      </c>
      <c r="C499" s="15">
        <v>9684.8756</v>
      </c>
      <c r="D499" s="16">
        <f t="shared" si="39"/>
        <v>0.00692349771101826</v>
      </c>
      <c r="E499" s="16">
        <f t="shared" si="40"/>
        <v>0.884480016381568</v>
      </c>
      <c r="F499" t="str">
        <f t="shared" si="38"/>
        <v>B</v>
      </c>
    </row>
    <row r="500" spans="2:6">
      <c r="B500" t="s">
        <v>1080</v>
      </c>
      <c r="C500" s="15">
        <v>9614.4404</v>
      </c>
      <c r="D500" s="16">
        <f t="shared" si="39"/>
        <v>0.0068731451854809</v>
      </c>
      <c r="E500" s="16">
        <f t="shared" si="40"/>
        <v>0.891353161567048</v>
      </c>
      <c r="F500" t="str">
        <f t="shared" si="38"/>
        <v>B</v>
      </c>
    </row>
    <row r="501" spans="2:6">
      <c r="B501" t="s">
        <v>735</v>
      </c>
      <c r="C501" s="15">
        <v>9062.34692</v>
      </c>
      <c r="D501" s="16">
        <f t="shared" si="39"/>
        <v>0.00647846608964945</v>
      </c>
      <c r="E501" s="16">
        <f t="shared" si="40"/>
        <v>0.897831627656698</v>
      </c>
      <c r="F501" t="str">
        <f t="shared" si="38"/>
        <v>B</v>
      </c>
    </row>
    <row r="502" spans="2:6">
      <c r="B502" t="s">
        <v>789</v>
      </c>
      <c r="C502" s="15">
        <v>8938.89966</v>
      </c>
      <c r="D502" s="16">
        <f t="shared" si="39"/>
        <v>0.00639021644583972</v>
      </c>
      <c r="E502" s="16">
        <f t="shared" si="40"/>
        <v>0.904221844102538</v>
      </c>
      <c r="F502" t="str">
        <f t="shared" si="38"/>
        <v>B</v>
      </c>
    </row>
    <row r="503" spans="2:6">
      <c r="B503" t="s">
        <v>385</v>
      </c>
      <c r="C503" s="15">
        <v>8211.6342</v>
      </c>
      <c r="D503" s="16">
        <f t="shared" si="39"/>
        <v>0.0058703108780684</v>
      </c>
      <c r="E503" s="16">
        <f t="shared" si="40"/>
        <v>0.910092154980606</v>
      </c>
      <c r="F503" t="str">
        <f t="shared" si="38"/>
        <v>B</v>
      </c>
    </row>
    <row r="504" spans="2:6">
      <c r="B504" t="s">
        <v>428</v>
      </c>
      <c r="C504" s="15">
        <v>8154.55116</v>
      </c>
      <c r="D504" s="16">
        <f t="shared" si="39"/>
        <v>0.00582950350860896</v>
      </c>
      <c r="E504" s="16">
        <f t="shared" si="40"/>
        <v>0.915921658489215</v>
      </c>
      <c r="F504" t="str">
        <f t="shared" si="38"/>
        <v>B</v>
      </c>
    </row>
    <row r="505" spans="2:6">
      <c r="B505" t="s">
        <v>709</v>
      </c>
      <c r="C505" s="15">
        <v>8093.4784</v>
      </c>
      <c r="D505" s="16">
        <f t="shared" si="39"/>
        <v>0.00578584397889176</v>
      </c>
      <c r="E505" s="16">
        <f t="shared" si="40"/>
        <v>0.921707502468107</v>
      </c>
      <c r="F505" t="str">
        <f t="shared" si="38"/>
        <v>B</v>
      </c>
    </row>
    <row r="506" spans="2:6">
      <c r="B506" t="s">
        <v>1104</v>
      </c>
      <c r="C506" s="15">
        <v>7428.1109</v>
      </c>
      <c r="D506" s="16">
        <f t="shared" si="39"/>
        <v>0.00531018785758485</v>
      </c>
      <c r="E506" s="16">
        <f t="shared" si="40"/>
        <v>0.927017690325692</v>
      </c>
      <c r="F506" t="str">
        <f t="shared" si="38"/>
        <v>B</v>
      </c>
    </row>
    <row r="507" spans="2:6">
      <c r="B507" t="s">
        <v>1261</v>
      </c>
      <c r="C507" s="15">
        <v>7173.33428</v>
      </c>
      <c r="D507" s="16">
        <f t="shared" si="39"/>
        <v>0.00512805383560619</v>
      </c>
      <c r="E507" s="16">
        <f t="shared" si="40"/>
        <v>0.932145744161298</v>
      </c>
      <c r="F507" t="str">
        <f t="shared" si="38"/>
        <v>B</v>
      </c>
    </row>
    <row r="508" spans="2:6">
      <c r="B508" t="s">
        <v>639</v>
      </c>
      <c r="C508" s="15">
        <v>6946.8</v>
      </c>
      <c r="D508" s="16">
        <f t="shared" si="39"/>
        <v>0.00496610962136691</v>
      </c>
      <c r="E508" s="16">
        <f t="shared" si="40"/>
        <v>0.937111853782665</v>
      </c>
      <c r="F508" t="str">
        <f t="shared" si="38"/>
        <v>B</v>
      </c>
    </row>
    <row r="509" spans="2:6">
      <c r="B509" t="s">
        <v>579</v>
      </c>
      <c r="C509" s="15">
        <v>6684.1875</v>
      </c>
      <c r="D509" s="16">
        <f t="shared" si="39"/>
        <v>0.0047783739066578</v>
      </c>
      <c r="E509" s="16">
        <f t="shared" si="40"/>
        <v>0.941890227689323</v>
      </c>
      <c r="F509" t="str">
        <f t="shared" si="38"/>
        <v>B</v>
      </c>
    </row>
    <row r="510" spans="2:6">
      <c r="B510" t="s">
        <v>565</v>
      </c>
      <c r="C510" s="15">
        <v>5814.69273</v>
      </c>
      <c r="D510" s="16">
        <f t="shared" si="39"/>
        <v>0.00415679183390125</v>
      </c>
      <c r="E510" s="16">
        <f t="shared" si="40"/>
        <v>0.946047019523224</v>
      </c>
      <c r="F510" t="str">
        <f t="shared" si="38"/>
        <v>B</v>
      </c>
    </row>
    <row r="511" spans="2:6">
      <c r="B511" t="s">
        <v>288</v>
      </c>
      <c r="C511" s="15">
        <v>5487.6024</v>
      </c>
      <c r="D511" s="16">
        <f t="shared" si="39"/>
        <v>0.00392296238223011</v>
      </c>
      <c r="E511" s="16">
        <f t="shared" si="40"/>
        <v>0.949969981905454</v>
      </c>
      <c r="F511" t="str">
        <f t="shared" si="38"/>
        <v>B</v>
      </c>
    </row>
    <row r="512" spans="2:6">
      <c r="B512" t="s">
        <v>43</v>
      </c>
      <c r="C512" s="15">
        <v>5225.27104</v>
      </c>
      <c r="D512" s="16">
        <f t="shared" si="39"/>
        <v>0.00373542764812487</v>
      </c>
      <c r="E512" s="16">
        <f t="shared" si="40"/>
        <v>0.953705409553579</v>
      </c>
      <c r="F512" t="str">
        <f t="shared" si="38"/>
        <v>C</v>
      </c>
    </row>
    <row r="513" spans="2:6">
      <c r="B513" t="s">
        <v>1128</v>
      </c>
      <c r="C513" s="15">
        <v>5189.8836</v>
      </c>
      <c r="D513" s="16">
        <f t="shared" si="39"/>
        <v>0.00371012997059572</v>
      </c>
      <c r="E513" s="16">
        <f t="shared" si="40"/>
        <v>0.957415539524174</v>
      </c>
      <c r="F513" t="str">
        <f t="shared" si="38"/>
        <v>C</v>
      </c>
    </row>
    <row r="514" spans="2:6">
      <c r="B514" t="s">
        <v>1074</v>
      </c>
      <c r="C514" s="15">
        <v>5159.78936</v>
      </c>
      <c r="D514" s="16">
        <f t="shared" ref="D514:D536" si="41">C514/$C$448</f>
        <v>0.00368861628158614</v>
      </c>
      <c r="E514" s="16">
        <f t="shared" si="40"/>
        <v>0.961104155805761</v>
      </c>
      <c r="F514" t="str">
        <f t="shared" si="38"/>
        <v>C</v>
      </c>
    </row>
    <row r="515" spans="2:6">
      <c r="B515" t="s">
        <v>1068</v>
      </c>
      <c r="C515" s="15">
        <v>5127.03906</v>
      </c>
      <c r="D515" s="16">
        <f t="shared" si="41"/>
        <v>0.00366520383557753</v>
      </c>
      <c r="E515" s="16">
        <f t="shared" ref="E515:E536" si="42">E514+D515</f>
        <v>0.964769359641338</v>
      </c>
      <c r="F515" t="str">
        <f t="shared" si="38"/>
        <v>C</v>
      </c>
    </row>
    <row r="516" spans="2:6">
      <c r="B516" t="s">
        <v>771</v>
      </c>
      <c r="C516" s="15">
        <v>4856.35725</v>
      </c>
      <c r="D516" s="16">
        <f t="shared" si="41"/>
        <v>0.00347169955433004</v>
      </c>
      <c r="E516" s="16">
        <f t="shared" si="42"/>
        <v>0.968241059195668</v>
      </c>
      <c r="F516" t="str">
        <f t="shared" si="38"/>
        <v>C</v>
      </c>
    </row>
    <row r="517" spans="2:6">
      <c r="B517" t="s">
        <v>825</v>
      </c>
      <c r="C517" s="15">
        <v>4804.46824</v>
      </c>
      <c r="D517" s="16">
        <f t="shared" si="41"/>
        <v>0.00343460527900843</v>
      </c>
      <c r="E517" s="16">
        <f t="shared" si="42"/>
        <v>0.971675664474677</v>
      </c>
      <c r="F517" t="str">
        <f t="shared" si="38"/>
        <v>C</v>
      </c>
    </row>
    <row r="518" spans="2:6">
      <c r="B518" t="s">
        <v>377</v>
      </c>
      <c r="C518" s="15">
        <v>4336.24275</v>
      </c>
      <c r="D518" s="16">
        <f t="shared" si="41"/>
        <v>0.00309988150534887</v>
      </c>
      <c r="E518" s="16">
        <f t="shared" si="42"/>
        <v>0.974775545980025</v>
      </c>
      <c r="F518" t="str">
        <f t="shared" ref="F518:F581" si="43">IF(E518&lt;=80%,"A",IF(E518&lt;=95%,"B",IF(E518&lt;=100%,"C"," ")))</f>
        <v>C</v>
      </c>
    </row>
    <row r="519" spans="2:6">
      <c r="B519" t="s">
        <v>133</v>
      </c>
      <c r="C519" s="15">
        <v>3980.7075</v>
      </c>
      <c r="D519" s="16">
        <f t="shared" si="41"/>
        <v>0.0028457174260951</v>
      </c>
      <c r="E519" s="16">
        <f t="shared" si="42"/>
        <v>0.977621263406121</v>
      </c>
      <c r="F519" t="str">
        <f t="shared" si="43"/>
        <v>C</v>
      </c>
    </row>
    <row r="520" spans="2:6">
      <c r="B520" t="s">
        <v>673</v>
      </c>
      <c r="C520" s="15">
        <v>3978.6474</v>
      </c>
      <c r="D520" s="16">
        <f t="shared" si="41"/>
        <v>0.00284424470737123</v>
      </c>
      <c r="E520" s="16">
        <f t="shared" si="42"/>
        <v>0.980465508113492</v>
      </c>
      <c r="F520" t="str">
        <f t="shared" si="43"/>
        <v>C</v>
      </c>
    </row>
    <row r="521" spans="2:6">
      <c r="B521" t="s">
        <v>136</v>
      </c>
      <c r="C521" s="15">
        <v>3913.2</v>
      </c>
      <c r="D521" s="16">
        <f t="shared" si="41"/>
        <v>0.00279745784682631</v>
      </c>
      <c r="E521" s="16">
        <f t="shared" si="42"/>
        <v>0.983262965960318</v>
      </c>
      <c r="F521" t="str">
        <f t="shared" si="43"/>
        <v>C</v>
      </c>
    </row>
    <row r="522" spans="2:6">
      <c r="B522" t="s">
        <v>757</v>
      </c>
      <c r="C522" s="15">
        <v>3799.80315</v>
      </c>
      <c r="D522" s="16">
        <f t="shared" si="41"/>
        <v>0.0027163930129722</v>
      </c>
      <c r="E522" s="16">
        <f t="shared" si="42"/>
        <v>0.98597935897329</v>
      </c>
      <c r="F522" t="str">
        <f t="shared" si="43"/>
        <v>C</v>
      </c>
    </row>
    <row r="523" spans="2:6">
      <c r="B523" t="s">
        <v>369</v>
      </c>
      <c r="C523" s="15">
        <v>3494.40408</v>
      </c>
      <c r="D523" s="16">
        <f t="shared" si="41"/>
        <v>0.00249807015066387</v>
      </c>
      <c r="E523" s="16">
        <f t="shared" si="42"/>
        <v>0.988477429123954</v>
      </c>
      <c r="F523" t="str">
        <f t="shared" si="43"/>
        <v>C</v>
      </c>
    </row>
    <row r="524" spans="2:6">
      <c r="B524" t="s">
        <v>593</v>
      </c>
      <c r="C524" s="15">
        <v>2909.86892</v>
      </c>
      <c r="D524" s="16">
        <f t="shared" si="41"/>
        <v>0.00208019923425585</v>
      </c>
      <c r="E524" s="16">
        <f t="shared" si="42"/>
        <v>0.99055762835821</v>
      </c>
      <c r="F524" t="str">
        <f t="shared" si="43"/>
        <v>C</v>
      </c>
    </row>
    <row r="525" spans="2:6">
      <c r="B525" t="s">
        <v>359</v>
      </c>
      <c r="C525" s="15">
        <v>2642.1687</v>
      </c>
      <c r="D525" s="16">
        <f t="shared" si="41"/>
        <v>0.00188882642401458</v>
      </c>
      <c r="E525" s="16">
        <f t="shared" si="42"/>
        <v>0.992446454782224</v>
      </c>
      <c r="F525" t="str">
        <f t="shared" si="43"/>
        <v>C</v>
      </c>
    </row>
    <row r="526" spans="2:6">
      <c r="B526" t="s">
        <v>763</v>
      </c>
      <c r="C526" s="15">
        <v>2537.2908</v>
      </c>
      <c r="D526" s="16">
        <f t="shared" si="41"/>
        <v>0.00181385159412762</v>
      </c>
      <c r="E526" s="16">
        <f t="shared" si="42"/>
        <v>0.994260306376352</v>
      </c>
      <c r="F526" t="str">
        <f t="shared" si="43"/>
        <v>C</v>
      </c>
    </row>
    <row r="527" spans="2:6">
      <c r="B527" t="s">
        <v>797</v>
      </c>
      <c r="C527" s="15">
        <v>2206.8</v>
      </c>
      <c r="D527" s="16">
        <f t="shared" si="41"/>
        <v>0.00157759122364722</v>
      </c>
      <c r="E527" s="16">
        <f t="shared" si="42"/>
        <v>0.995837897599999</v>
      </c>
      <c r="F527" t="str">
        <f t="shared" si="43"/>
        <v>C</v>
      </c>
    </row>
    <row r="528" spans="2:6">
      <c r="B528" t="s">
        <v>926</v>
      </c>
      <c r="C528" s="15">
        <v>2059.0056</v>
      </c>
      <c r="D528" s="16">
        <f t="shared" si="41"/>
        <v>0.00147193636215356</v>
      </c>
      <c r="E528" s="16">
        <f t="shared" si="42"/>
        <v>0.997309833962153</v>
      </c>
      <c r="F528" t="str">
        <f t="shared" si="43"/>
        <v>C</v>
      </c>
    </row>
    <row r="529" spans="2:6">
      <c r="B529" t="s">
        <v>1245</v>
      </c>
      <c r="C529" s="15">
        <v>841.00536</v>
      </c>
      <c r="D529" s="16">
        <f t="shared" si="41"/>
        <v>0.000601215640282885</v>
      </c>
      <c r="E529" s="16">
        <f t="shared" si="42"/>
        <v>0.997911049602436</v>
      </c>
      <c r="F529" t="str">
        <f t="shared" si="43"/>
        <v>C</v>
      </c>
    </row>
    <row r="530" spans="2:6">
      <c r="B530" t="s">
        <v>667</v>
      </c>
      <c r="C530" s="15">
        <v>667.74</v>
      </c>
      <c r="D530" s="16">
        <f t="shared" si="41"/>
        <v>0.000477352167699018</v>
      </c>
      <c r="E530" s="16">
        <f t="shared" si="42"/>
        <v>0.998388401770135</v>
      </c>
      <c r="F530" t="str">
        <f t="shared" si="43"/>
        <v>C</v>
      </c>
    </row>
    <row r="531" spans="2:6">
      <c r="B531" t="s">
        <v>1164</v>
      </c>
      <c r="C531" s="15">
        <v>618.1998</v>
      </c>
      <c r="D531" s="16">
        <f t="shared" si="41"/>
        <v>0.000441937003326294</v>
      </c>
      <c r="E531" s="16">
        <f t="shared" si="42"/>
        <v>0.998830338773461</v>
      </c>
      <c r="F531" t="str">
        <f t="shared" si="43"/>
        <v>C</v>
      </c>
    </row>
    <row r="532" spans="2:6">
      <c r="B532" t="s">
        <v>629</v>
      </c>
      <c r="C532" s="15">
        <v>560.36832</v>
      </c>
      <c r="D532" s="16">
        <f t="shared" si="41"/>
        <v>0.000400594591101113</v>
      </c>
      <c r="E532" s="16">
        <f t="shared" si="42"/>
        <v>0.999230933364562</v>
      </c>
      <c r="F532" t="str">
        <f t="shared" si="43"/>
        <v>C</v>
      </c>
    </row>
    <row r="533" spans="2:6">
      <c r="B533" t="s">
        <v>312</v>
      </c>
      <c r="C533" s="15">
        <v>518.65437</v>
      </c>
      <c r="D533" s="16">
        <f t="shared" si="41"/>
        <v>0.000370774235190446</v>
      </c>
      <c r="E533" s="16">
        <f t="shared" si="42"/>
        <v>0.999601707599753</v>
      </c>
      <c r="F533" t="str">
        <f t="shared" si="43"/>
        <v>C</v>
      </c>
    </row>
    <row r="534" spans="2:6">
      <c r="B534" t="s">
        <v>1273</v>
      </c>
      <c r="C534" s="15">
        <v>370.86</v>
      </c>
      <c r="D534" s="16">
        <f t="shared" si="41"/>
        <v>0.000265119395143107</v>
      </c>
      <c r="E534" s="16">
        <f t="shared" si="42"/>
        <v>0.999866826994896</v>
      </c>
      <c r="F534" t="str">
        <f t="shared" si="43"/>
        <v>C</v>
      </c>
    </row>
    <row r="535" spans="2:6">
      <c r="B535" t="s">
        <v>1088</v>
      </c>
      <c r="C535" s="15">
        <v>110.1492</v>
      </c>
      <c r="D535" s="16">
        <f t="shared" si="41"/>
        <v>7.87431625936932e-5</v>
      </c>
      <c r="E535" s="16">
        <f t="shared" si="42"/>
        <v>0.99994557015749</v>
      </c>
      <c r="F535" t="str">
        <f t="shared" si="43"/>
        <v>C</v>
      </c>
    </row>
    <row r="536" spans="2:6">
      <c r="B536" t="s">
        <v>675</v>
      </c>
      <c r="C536" s="15">
        <v>76.13872</v>
      </c>
      <c r="D536" s="16">
        <f t="shared" si="41"/>
        <v>5.44298425103013e-5</v>
      </c>
      <c r="E536" s="16">
        <f t="shared" si="42"/>
        <v>1</v>
      </c>
      <c r="F536" t="str">
        <f t="shared" si="43"/>
        <v>C</v>
      </c>
    </row>
    <row r="537" spans="1:3">
      <c r="A537" t="s">
        <v>30</v>
      </c>
      <c r="C537" s="15">
        <v>1616102.65466</v>
      </c>
    </row>
    <row r="538" spans="2:6">
      <c r="B538" t="s">
        <v>1179</v>
      </c>
      <c r="C538" s="15">
        <v>66260.31424</v>
      </c>
      <c r="D538" s="16">
        <f>C538/$C$537</f>
        <v>0.0410000652179735</v>
      </c>
      <c r="E538" s="16">
        <f>D538</f>
        <v>0.0410000652179735</v>
      </c>
      <c r="F538" t="str">
        <f t="shared" si="43"/>
        <v>A</v>
      </c>
    </row>
    <row r="539" spans="2:6">
      <c r="B539" t="s">
        <v>950</v>
      </c>
      <c r="C539" s="15">
        <v>58091.63496</v>
      </c>
      <c r="D539" s="16">
        <f t="shared" ref="D539:D570" si="44">C539/$C$537</f>
        <v>0.0359455105110396</v>
      </c>
      <c r="E539" s="16">
        <f>E538+D539</f>
        <v>0.0769455757290131</v>
      </c>
      <c r="F539" t="str">
        <f t="shared" si="43"/>
        <v>A</v>
      </c>
    </row>
    <row r="540" spans="2:6">
      <c r="B540" t="s">
        <v>501</v>
      </c>
      <c r="C540" s="15">
        <v>55880.48375</v>
      </c>
      <c r="D540" s="16">
        <f t="shared" si="44"/>
        <v>0.0345773107846025</v>
      </c>
      <c r="E540" s="16">
        <f t="shared" ref="E540:E571" si="45">E539+D540</f>
        <v>0.111522886513616</v>
      </c>
      <c r="F540" t="str">
        <f t="shared" si="43"/>
        <v>A</v>
      </c>
    </row>
    <row r="541" spans="2:6">
      <c r="B541" t="s">
        <v>1215</v>
      </c>
      <c r="C541" s="15">
        <v>50545.31922</v>
      </c>
      <c r="D541" s="16">
        <f t="shared" si="44"/>
        <v>0.0312760572939186</v>
      </c>
      <c r="E541" s="16">
        <f t="shared" si="45"/>
        <v>0.142798943807534</v>
      </c>
      <c r="F541" t="str">
        <f t="shared" si="43"/>
        <v>A</v>
      </c>
    </row>
    <row r="542" spans="2:6">
      <c r="B542" t="s">
        <v>815</v>
      </c>
      <c r="C542" s="15">
        <v>43907.94</v>
      </c>
      <c r="D542" s="16">
        <f t="shared" si="44"/>
        <v>0.0271690290671774</v>
      </c>
      <c r="E542" s="16">
        <f t="shared" si="45"/>
        <v>0.169967972874712</v>
      </c>
      <c r="F542" t="str">
        <f t="shared" si="43"/>
        <v>A</v>
      </c>
    </row>
    <row r="543" spans="2:6">
      <c r="B543" t="s">
        <v>290</v>
      </c>
      <c r="C543" s="15">
        <v>43209.00612</v>
      </c>
      <c r="D543" s="16">
        <f t="shared" si="44"/>
        <v>0.0267365479509657</v>
      </c>
      <c r="E543" s="16">
        <f t="shared" si="45"/>
        <v>0.196704520825677</v>
      </c>
      <c r="F543" t="str">
        <f t="shared" si="43"/>
        <v>A</v>
      </c>
    </row>
    <row r="544" spans="2:6">
      <c r="B544" t="s">
        <v>729</v>
      </c>
      <c r="C544" s="15">
        <v>40325.31</v>
      </c>
      <c r="D544" s="16">
        <f t="shared" si="44"/>
        <v>0.0249521958792177</v>
      </c>
      <c r="E544" s="16">
        <f t="shared" si="45"/>
        <v>0.221656716704895</v>
      </c>
      <c r="F544" t="str">
        <f t="shared" si="43"/>
        <v>A</v>
      </c>
    </row>
    <row r="545" spans="2:6">
      <c r="B545" t="s">
        <v>1307</v>
      </c>
      <c r="C545" s="15">
        <v>39810.328</v>
      </c>
      <c r="D545" s="16">
        <f t="shared" si="44"/>
        <v>0.0246335391413458</v>
      </c>
      <c r="E545" s="16">
        <f t="shared" si="45"/>
        <v>0.246290255846241</v>
      </c>
      <c r="F545" t="str">
        <f t="shared" si="43"/>
        <v>A</v>
      </c>
    </row>
    <row r="546" spans="2:6">
      <c r="B546" t="s">
        <v>777</v>
      </c>
      <c r="C546" s="15">
        <v>38535.9551</v>
      </c>
      <c r="D546" s="16">
        <f t="shared" si="44"/>
        <v>0.0238449921413608</v>
      </c>
      <c r="E546" s="16">
        <f t="shared" si="45"/>
        <v>0.270135247987602</v>
      </c>
      <c r="F546" t="str">
        <f t="shared" si="43"/>
        <v>A</v>
      </c>
    </row>
    <row r="547" spans="2:6">
      <c r="B547" t="s">
        <v>866</v>
      </c>
      <c r="C547" s="15">
        <v>37562.28</v>
      </c>
      <c r="D547" s="16">
        <f t="shared" si="44"/>
        <v>0.0232425086931761</v>
      </c>
      <c r="E547" s="16">
        <f t="shared" si="45"/>
        <v>0.293377756680778</v>
      </c>
      <c r="F547" t="str">
        <f t="shared" si="43"/>
        <v>A</v>
      </c>
    </row>
    <row r="548" spans="2:6">
      <c r="B548" t="s">
        <v>1044</v>
      </c>
      <c r="C548" s="15">
        <v>36549.42926</v>
      </c>
      <c r="D548" s="16">
        <f t="shared" si="44"/>
        <v>0.0226157844333777</v>
      </c>
      <c r="E548" s="16">
        <f t="shared" si="45"/>
        <v>0.315993541114155</v>
      </c>
      <c r="F548" t="str">
        <f t="shared" si="43"/>
        <v>A</v>
      </c>
    </row>
    <row r="549" spans="2:6">
      <c r="B549" t="s">
        <v>379</v>
      </c>
      <c r="C549" s="15">
        <v>35567.73792</v>
      </c>
      <c r="D549" s="16">
        <f t="shared" si="44"/>
        <v>0.0220083407557318</v>
      </c>
      <c r="E549" s="16">
        <f t="shared" si="45"/>
        <v>0.338001881869887</v>
      </c>
      <c r="F549" t="str">
        <f t="shared" si="43"/>
        <v>A</v>
      </c>
    </row>
    <row r="550" spans="2:6">
      <c r="B550" t="s">
        <v>190</v>
      </c>
      <c r="C550" s="15">
        <v>34444.46236</v>
      </c>
      <c r="D550" s="16">
        <f t="shared" si="44"/>
        <v>0.0213132886457925</v>
      </c>
      <c r="E550" s="16">
        <f t="shared" si="45"/>
        <v>0.35931517051568</v>
      </c>
      <c r="F550" t="str">
        <f t="shared" si="43"/>
        <v>A</v>
      </c>
    </row>
    <row r="551" spans="2:6">
      <c r="B551" t="s">
        <v>1160</v>
      </c>
      <c r="C551" s="15">
        <v>33421.1</v>
      </c>
      <c r="D551" s="16">
        <f t="shared" si="44"/>
        <v>0.0206800600838263</v>
      </c>
      <c r="E551" s="16">
        <f t="shared" si="45"/>
        <v>0.379995230599506</v>
      </c>
      <c r="F551" t="str">
        <f t="shared" si="43"/>
        <v>A</v>
      </c>
    </row>
    <row r="552" spans="2:6">
      <c r="B552" t="s">
        <v>1197</v>
      </c>
      <c r="C552" s="15">
        <v>31822.02393</v>
      </c>
      <c r="D552" s="16">
        <f t="shared" si="44"/>
        <v>0.0196905956674484</v>
      </c>
      <c r="E552" s="16">
        <f t="shared" si="45"/>
        <v>0.399685826266954</v>
      </c>
      <c r="F552" t="str">
        <f t="shared" si="43"/>
        <v>A</v>
      </c>
    </row>
    <row r="553" spans="2:6">
      <c r="B553" t="s">
        <v>175</v>
      </c>
      <c r="C553" s="15">
        <v>30596.566</v>
      </c>
      <c r="D553" s="16">
        <f t="shared" si="44"/>
        <v>0.0189323159093733</v>
      </c>
      <c r="E553" s="16">
        <f t="shared" si="45"/>
        <v>0.418618142176328</v>
      </c>
      <c r="F553" t="str">
        <f t="shared" si="43"/>
        <v>A</v>
      </c>
    </row>
    <row r="554" spans="2:6">
      <c r="B554" t="s">
        <v>410</v>
      </c>
      <c r="C554" s="15">
        <v>29654.83008</v>
      </c>
      <c r="D554" s="16">
        <f t="shared" si="44"/>
        <v>0.0183495955498191</v>
      </c>
      <c r="E554" s="16">
        <f t="shared" si="45"/>
        <v>0.436967737726147</v>
      </c>
      <c r="F554" t="str">
        <f t="shared" si="43"/>
        <v>A</v>
      </c>
    </row>
    <row r="555" spans="2:6">
      <c r="B555" t="s">
        <v>1076</v>
      </c>
      <c r="C555" s="15">
        <v>28856.475</v>
      </c>
      <c r="D555" s="16">
        <f t="shared" si="44"/>
        <v>0.0178555953217408</v>
      </c>
      <c r="E555" s="16">
        <f t="shared" si="45"/>
        <v>0.454823333047888</v>
      </c>
      <c r="F555" t="str">
        <f t="shared" si="43"/>
        <v>A</v>
      </c>
    </row>
    <row r="556" spans="2:6">
      <c r="B556" t="s">
        <v>541</v>
      </c>
      <c r="C556" s="15">
        <v>28211.92124</v>
      </c>
      <c r="D556" s="16">
        <f t="shared" si="44"/>
        <v>0.0174567631323737</v>
      </c>
      <c r="E556" s="16">
        <f t="shared" si="45"/>
        <v>0.472280096180261</v>
      </c>
      <c r="F556" t="str">
        <f t="shared" si="43"/>
        <v>A</v>
      </c>
    </row>
    <row r="557" spans="2:6">
      <c r="B557" t="s">
        <v>1052</v>
      </c>
      <c r="C557" s="15">
        <v>27194.15204</v>
      </c>
      <c r="D557" s="16">
        <f t="shared" si="44"/>
        <v>0.0168269954644194</v>
      </c>
      <c r="E557" s="16">
        <f t="shared" si="45"/>
        <v>0.489107091644681</v>
      </c>
      <c r="F557" t="str">
        <f t="shared" si="43"/>
        <v>A</v>
      </c>
    </row>
    <row r="558" spans="2:6">
      <c r="B558" t="s">
        <v>101</v>
      </c>
      <c r="C558" s="15">
        <v>25948.4148</v>
      </c>
      <c r="D558" s="16">
        <f t="shared" si="44"/>
        <v>0.0160561674254901</v>
      </c>
      <c r="E558" s="16">
        <f t="shared" si="45"/>
        <v>0.505163259070171</v>
      </c>
      <c r="F558" t="str">
        <f t="shared" si="43"/>
        <v>A</v>
      </c>
    </row>
    <row r="559" spans="2:6">
      <c r="B559" t="s">
        <v>609</v>
      </c>
      <c r="C559" s="15">
        <v>25483.91488</v>
      </c>
      <c r="D559" s="16">
        <f t="shared" si="44"/>
        <v>0.0157687476142172</v>
      </c>
      <c r="E559" s="16">
        <f t="shared" si="45"/>
        <v>0.520932006684388</v>
      </c>
      <c r="F559" t="str">
        <f t="shared" si="43"/>
        <v>A</v>
      </c>
    </row>
    <row r="560" spans="2:6">
      <c r="B560" t="s">
        <v>1337</v>
      </c>
      <c r="C560" s="15">
        <v>25174.02888</v>
      </c>
      <c r="D560" s="16">
        <f t="shared" si="44"/>
        <v>0.0155769986562495</v>
      </c>
      <c r="E560" s="16">
        <f t="shared" si="45"/>
        <v>0.536509005340638</v>
      </c>
      <c r="F560" t="str">
        <f t="shared" si="43"/>
        <v>A</v>
      </c>
    </row>
    <row r="561" spans="2:6">
      <c r="B561" t="s">
        <v>914</v>
      </c>
      <c r="C561" s="15">
        <v>22457.1438</v>
      </c>
      <c r="D561" s="16">
        <f t="shared" si="44"/>
        <v>0.0138958646811484</v>
      </c>
      <c r="E561" s="16">
        <f t="shared" si="45"/>
        <v>0.550404870021786</v>
      </c>
      <c r="F561" t="str">
        <f t="shared" si="43"/>
        <v>A</v>
      </c>
    </row>
    <row r="562" spans="2:6">
      <c r="B562" t="s">
        <v>1134</v>
      </c>
      <c r="C562" s="15">
        <v>22201.76223</v>
      </c>
      <c r="D562" s="16">
        <f t="shared" si="44"/>
        <v>0.0137378415696439</v>
      </c>
      <c r="E562" s="16">
        <f t="shared" si="45"/>
        <v>0.56414271159143</v>
      </c>
      <c r="F562" t="str">
        <f t="shared" si="43"/>
        <v>A</v>
      </c>
    </row>
    <row r="563" spans="2:6">
      <c r="B563" t="s">
        <v>990</v>
      </c>
      <c r="C563" s="15">
        <v>21664.44</v>
      </c>
      <c r="D563" s="16">
        <f t="shared" si="44"/>
        <v>0.0134053613101439</v>
      </c>
      <c r="E563" s="16">
        <f t="shared" si="45"/>
        <v>0.577548072901574</v>
      </c>
      <c r="F563" t="str">
        <f t="shared" si="43"/>
        <v>A</v>
      </c>
    </row>
    <row r="564" spans="2:6">
      <c r="B564" t="s">
        <v>93</v>
      </c>
      <c r="C564" s="15">
        <v>21585.15</v>
      </c>
      <c r="D564" s="16">
        <f t="shared" si="44"/>
        <v>0.0133562988327255</v>
      </c>
      <c r="E564" s="16">
        <f t="shared" si="45"/>
        <v>0.590904371734299</v>
      </c>
      <c r="F564" t="str">
        <f t="shared" si="43"/>
        <v>A</v>
      </c>
    </row>
    <row r="565" spans="2:6">
      <c r="B565" t="s">
        <v>982</v>
      </c>
      <c r="C565" s="15">
        <v>20672.289</v>
      </c>
      <c r="D565" s="16">
        <f t="shared" si="44"/>
        <v>0.0127914454817532</v>
      </c>
      <c r="E565" s="16">
        <f t="shared" si="45"/>
        <v>0.603695817216052</v>
      </c>
      <c r="F565" t="str">
        <f t="shared" si="43"/>
        <v>A</v>
      </c>
    </row>
    <row r="566" spans="2:6">
      <c r="B566" t="s">
        <v>787</v>
      </c>
      <c r="C566" s="15">
        <v>20053.44</v>
      </c>
      <c r="D566" s="16">
        <f t="shared" si="44"/>
        <v>0.0124085186929038</v>
      </c>
      <c r="E566" s="16">
        <f t="shared" si="45"/>
        <v>0.616104335908956</v>
      </c>
      <c r="F566" t="str">
        <f t="shared" si="43"/>
        <v>A</v>
      </c>
    </row>
    <row r="567" spans="2:6">
      <c r="B567" t="s">
        <v>932</v>
      </c>
      <c r="C567" s="15">
        <v>18411.4084</v>
      </c>
      <c r="D567" s="16">
        <f t="shared" si="44"/>
        <v>0.0113924745726462</v>
      </c>
      <c r="E567" s="16">
        <f t="shared" si="45"/>
        <v>0.627496810481602</v>
      </c>
      <c r="F567" t="str">
        <f t="shared" si="43"/>
        <v>A</v>
      </c>
    </row>
    <row r="568" spans="2:6">
      <c r="B568" t="s">
        <v>261</v>
      </c>
      <c r="C568" s="15">
        <v>18258.86832</v>
      </c>
      <c r="D568" s="16">
        <f t="shared" si="44"/>
        <v>0.0112980869546566</v>
      </c>
      <c r="E568" s="16">
        <f t="shared" si="45"/>
        <v>0.638794897436259</v>
      </c>
      <c r="F568" t="str">
        <f t="shared" si="43"/>
        <v>A</v>
      </c>
    </row>
    <row r="569" spans="2:6">
      <c r="B569" t="s">
        <v>1323</v>
      </c>
      <c r="C569" s="15">
        <v>18003.84768</v>
      </c>
      <c r="D569" s="16">
        <f t="shared" si="44"/>
        <v>0.0111402871767374</v>
      </c>
      <c r="E569" s="16">
        <f t="shared" si="45"/>
        <v>0.649935184612996</v>
      </c>
      <c r="F569" t="str">
        <f t="shared" si="43"/>
        <v>A</v>
      </c>
    </row>
    <row r="570" spans="2:6">
      <c r="B570" t="s">
        <v>31</v>
      </c>
      <c r="C570" s="15">
        <v>17960.43249</v>
      </c>
      <c r="D570" s="16">
        <f t="shared" si="44"/>
        <v>0.0111134230478562</v>
      </c>
      <c r="E570" s="16">
        <f t="shared" si="45"/>
        <v>0.661048607660852</v>
      </c>
      <c r="F570" t="str">
        <f t="shared" si="43"/>
        <v>A</v>
      </c>
    </row>
    <row r="571" spans="2:6">
      <c r="B571" t="s">
        <v>904</v>
      </c>
      <c r="C571" s="15">
        <v>17427.1648</v>
      </c>
      <c r="D571" s="16">
        <f t="shared" ref="D571:D602" si="46">C571/$C$537</f>
        <v>0.0107834516265097</v>
      </c>
      <c r="E571" s="16">
        <f t="shared" si="45"/>
        <v>0.671832059287362</v>
      </c>
      <c r="F571" t="str">
        <f t="shared" si="43"/>
        <v>A</v>
      </c>
    </row>
    <row r="572" spans="2:6">
      <c r="B572" t="s">
        <v>573</v>
      </c>
      <c r="C572" s="15">
        <v>17359.8048</v>
      </c>
      <c r="D572" s="16">
        <f t="shared" si="46"/>
        <v>0.0107417711059031</v>
      </c>
      <c r="E572" s="16">
        <f t="shared" ref="E572:E603" si="47">E571+D572</f>
        <v>0.682573830393265</v>
      </c>
      <c r="F572" t="str">
        <f t="shared" si="43"/>
        <v>A</v>
      </c>
    </row>
    <row r="573" spans="2:6">
      <c r="B573" t="s">
        <v>559</v>
      </c>
      <c r="C573" s="15">
        <v>16609.09081</v>
      </c>
      <c r="D573" s="16">
        <f t="shared" si="46"/>
        <v>0.0102772498777278</v>
      </c>
      <c r="E573" s="16">
        <f t="shared" si="47"/>
        <v>0.692851080270993</v>
      </c>
      <c r="F573" t="str">
        <f t="shared" si="43"/>
        <v>A</v>
      </c>
    </row>
    <row r="574" spans="2:6">
      <c r="B574" t="s">
        <v>1040</v>
      </c>
      <c r="C574" s="15">
        <v>16252.21998</v>
      </c>
      <c r="D574" s="16">
        <f t="shared" si="46"/>
        <v>0.0100564279955466</v>
      </c>
      <c r="E574" s="16">
        <f t="shared" si="47"/>
        <v>0.70290750826654</v>
      </c>
      <c r="F574" t="str">
        <f t="shared" si="43"/>
        <v>A</v>
      </c>
    </row>
    <row r="575" spans="2:6">
      <c r="B575" t="s">
        <v>773</v>
      </c>
      <c r="C575" s="15">
        <v>16219.34496</v>
      </c>
      <c r="D575" s="16">
        <f t="shared" si="46"/>
        <v>0.0100360858347902</v>
      </c>
      <c r="E575" s="16">
        <f t="shared" si="47"/>
        <v>0.71294359410133</v>
      </c>
      <c r="F575" t="str">
        <f t="shared" si="43"/>
        <v>A</v>
      </c>
    </row>
    <row r="576" spans="2:6">
      <c r="B576" t="s">
        <v>519</v>
      </c>
      <c r="C576" s="15">
        <v>15825.39937</v>
      </c>
      <c r="D576" s="16">
        <f t="shared" si="46"/>
        <v>0.00979232310792126</v>
      </c>
      <c r="E576" s="16">
        <f t="shared" si="47"/>
        <v>0.722735917209251</v>
      </c>
      <c r="F576" t="str">
        <f t="shared" si="43"/>
        <v>A</v>
      </c>
    </row>
    <row r="577" spans="2:6">
      <c r="B577" t="s">
        <v>456</v>
      </c>
      <c r="C577" s="15">
        <v>15656.47056</v>
      </c>
      <c r="D577" s="16">
        <f t="shared" si="46"/>
        <v>0.00968779459327963</v>
      </c>
      <c r="E577" s="16">
        <f t="shared" si="47"/>
        <v>0.732423711802531</v>
      </c>
      <c r="F577" t="str">
        <f t="shared" si="43"/>
        <v>A</v>
      </c>
    </row>
    <row r="578" spans="2:6">
      <c r="B578" t="s">
        <v>165</v>
      </c>
      <c r="C578" s="15">
        <v>14968.239</v>
      </c>
      <c r="D578" s="16">
        <f t="shared" si="46"/>
        <v>0.00926193577916563</v>
      </c>
      <c r="E578" s="16">
        <f t="shared" si="47"/>
        <v>0.741685647581696</v>
      </c>
      <c r="F578" t="str">
        <f t="shared" si="43"/>
        <v>A</v>
      </c>
    </row>
    <row r="579" spans="2:6">
      <c r="B579" t="s">
        <v>400</v>
      </c>
      <c r="C579" s="15">
        <v>14877.464</v>
      </c>
      <c r="D579" s="16">
        <f t="shared" si="46"/>
        <v>0.00920576669873113</v>
      </c>
      <c r="E579" s="16">
        <f t="shared" si="47"/>
        <v>0.750891414280427</v>
      </c>
      <c r="F579" t="str">
        <f t="shared" si="43"/>
        <v>A</v>
      </c>
    </row>
    <row r="580" spans="2:6">
      <c r="B580" t="s">
        <v>821</v>
      </c>
      <c r="C580" s="15">
        <v>14813.73192</v>
      </c>
      <c r="D580" s="16">
        <f t="shared" si="46"/>
        <v>0.00916633103552235</v>
      </c>
      <c r="E580" s="16">
        <f t="shared" si="47"/>
        <v>0.76005774531595</v>
      </c>
      <c r="F580" t="str">
        <f t="shared" si="43"/>
        <v>A</v>
      </c>
    </row>
    <row r="581" spans="2:6">
      <c r="B581" t="s">
        <v>1221</v>
      </c>
      <c r="C581" s="15">
        <v>13251.48</v>
      </c>
      <c r="D581" s="16">
        <f t="shared" si="46"/>
        <v>0.00819965239323729</v>
      </c>
      <c r="E581" s="16">
        <f t="shared" si="47"/>
        <v>0.768257397709187</v>
      </c>
      <c r="F581" t="str">
        <f t="shared" si="43"/>
        <v>A</v>
      </c>
    </row>
    <row r="582" spans="2:6">
      <c r="B582" t="s">
        <v>962</v>
      </c>
      <c r="C582" s="15">
        <v>12955.82475</v>
      </c>
      <c r="D582" s="16">
        <f t="shared" si="46"/>
        <v>0.00801670903308162</v>
      </c>
      <c r="E582" s="16">
        <f t="shared" si="47"/>
        <v>0.776274106742269</v>
      </c>
      <c r="F582" t="str">
        <f t="shared" ref="F582:F640" si="48">IF(E582&lt;=80%,"A",IF(E582&lt;=95%,"B",IF(E582&lt;=100%,"C"," ")))</f>
        <v>A</v>
      </c>
    </row>
    <row r="583" spans="2:6">
      <c r="B583" t="s">
        <v>831</v>
      </c>
      <c r="C583" s="15">
        <v>12717.31104</v>
      </c>
      <c r="D583" s="16">
        <f t="shared" si="46"/>
        <v>0.00786912329073274</v>
      </c>
      <c r="E583" s="16">
        <f t="shared" si="47"/>
        <v>0.784143230033001</v>
      </c>
      <c r="F583" t="str">
        <f t="shared" si="48"/>
        <v>A</v>
      </c>
    </row>
    <row r="584" spans="2:6">
      <c r="B584" t="s">
        <v>633</v>
      </c>
      <c r="C584" s="15">
        <v>12597.52224</v>
      </c>
      <c r="D584" s="16">
        <f t="shared" si="46"/>
        <v>0.00779500126658124</v>
      </c>
      <c r="E584" s="16">
        <f t="shared" si="47"/>
        <v>0.791938231299583</v>
      </c>
      <c r="F584" t="str">
        <f t="shared" si="48"/>
        <v>A</v>
      </c>
    </row>
    <row r="585" spans="2:6">
      <c r="B585" t="s">
        <v>1002</v>
      </c>
      <c r="C585" s="15">
        <v>12462.65055</v>
      </c>
      <c r="D585" s="16">
        <f t="shared" si="46"/>
        <v>0.00771154636375616</v>
      </c>
      <c r="E585" s="16">
        <f t="shared" si="47"/>
        <v>0.799649777663339</v>
      </c>
      <c r="F585" t="str">
        <f t="shared" si="48"/>
        <v>A</v>
      </c>
    </row>
    <row r="586" spans="2:6">
      <c r="B586" t="s">
        <v>371</v>
      </c>
      <c r="C586" s="15">
        <v>12031.49168</v>
      </c>
      <c r="D586" s="16">
        <f t="shared" si="46"/>
        <v>0.00744475707982252</v>
      </c>
      <c r="E586" s="16">
        <f t="shared" si="47"/>
        <v>0.807094534743161</v>
      </c>
      <c r="F586" t="str">
        <f t="shared" si="48"/>
        <v>B</v>
      </c>
    </row>
    <row r="587" spans="2:6">
      <c r="B587" t="s">
        <v>432</v>
      </c>
      <c r="C587" s="15">
        <v>11851.8064</v>
      </c>
      <c r="D587" s="16">
        <f t="shared" si="46"/>
        <v>0.00733357275654833</v>
      </c>
      <c r="E587" s="16">
        <f t="shared" si="47"/>
        <v>0.81442810749971</v>
      </c>
      <c r="F587" t="str">
        <f t="shared" si="48"/>
        <v>B</v>
      </c>
    </row>
    <row r="588" spans="2:6">
      <c r="B588" t="s">
        <v>651</v>
      </c>
      <c r="C588" s="15">
        <v>11417.4291</v>
      </c>
      <c r="D588" s="16">
        <f t="shared" si="46"/>
        <v>0.0070647919963983</v>
      </c>
      <c r="E588" s="16">
        <f t="shared" si="47"/>
        <v>0.821492899496108</v>
      </c>
      <c r="F588" t="str">
        <f t="shared" si="48"/>
        <v>B</v>
      </c>
    </row>
    <row r="589" spans="2:6">
      <c r="B589" t="s">
        <v>1156</v>
      </c>
      <c r="C589" s="15">
        <v>11406.96</v>
      </c>
      <c r="D589" s="16">
        <f t="shared" si="46"/>
        <v>0.00705831400444041</v>
      </c>
      <c r="E589" s="16">
        <f t="shared" si="47"/>
        <v>0.828551213500548</v>
      </c>
      <c r="F589" t="str">
        <f t="shared" si="48"/>
        <v>B</v>
      </c>
    </row>
    <row r="590" spans="2:6">
      <c r="B590" t="s">
        <v>50</v>
      </c>
      <c r="C590" s="15">
        <v>10957.9797</v>
      </c>
      <c r="D590" s="16">
        <f t="shared" si="46"/>
        <v>0.00678049730838749</v>
      </c>
      <c r="E590" s="16">
        <f t="shared" si="47"/>
        <v>0.835331710808936</v>
      </c>
      <c r="F590" t="str">
        <f t="shared" si="48"/>
        <v>B</v>
      </c>
    </row>
    <row r="591" spans="2:6">
      <c r="B591" t="s">
        <v>1106</v>
      </c>
      <c r="C591" s="15">
        <v>10869.18294</v>
      </c>
      <c r="D591" s="16">
        <f t="shared" si="46"/>
        <v>0.00672555230861043</v>
      </c>
      <c r="E591" s="16">
        <f t="shared" si="47"/>
        <v>0.842057263117546</v>
      </c>
      <c r="F591" t="str">
        <f t="shared" si="48"/>
        <v>B</v>
      </c>
    </row>
    <row r="592" spans="2:6">
      <c r="B592" t="s">
        <v>177</v>
      </c>
      <c r="C592" s="15">
        <v>10666.22942</v>
      </c>
      <c r="D592" s="16">
        <f t="shared" si="46"/>
        <v>0.00659997023657139</v>
      </c>
      <c r="E592" s="16">
        <f t="shared" si="47"/>
        <v>0.848657233354118</v>
      </c>
      <c r="F592" t="str">
        <f t="shared" si="48"/>
        <v>B</v>
      </c>
    </row>
    <row r="593" spans="2:6">
      <c r="B593" t="s">
        <v>1331</v>
      </c>
      <c r="C593" s="15">
        <v>10464.13836</v>
      </c>
      <c r="D593" s="16">
        <f t="shared" si="46"/>
        <v>0.0064749218311268</v>
      </c>
      <c r="E593" s="16">
        <f t="shared" si="47"/>
        <v>0.855132155185245</v>
      </c>
      <c r="F593" t="str">
        <f t="shared" si="48"/>
        <v>B</v>
      </c>
    </row>
    <row r="594" spans="2:6">
      <c r="B594" t="s">
        <v>1042</v>
      </c>
      <c r="C594" s="15">
        <v>10428.05736</v>
      </c>
      <c r="D594" s="16">
        <f t="shared" si="46"/>
        <v>0.00645259589787252</v>
      </c>
      <c r="E594" s="16">
        <f t="shared" si="47"/>
        <v>0.861584751083117</v>
      </c>
      <c r="F594" t="str">
        <f t="shared" si="48"/>
        <v>B</v>
      </c>
    </row>
    <row r="595" spans="2:6">
      <c r="B595" t="s">
        <v>1321</v>
      </c>
      <c r="C595" s="15">
        <v>10260.06016</v>
      </c>
      <c r="D595" s="16">
        <f t="shared" si="46"/>
        <v>0.00634864383794886</v>
      </c>
      <c r="E595" s="16">
        <f t="shared" si="47"/>
        <v>0.867933394921066</v>
      </c>
      <c r="F595" t="str">
        <f t="shared" si="48"/>
        <v>B</v>
      </c>
    </row>
    <row r="596" spans="2:6">
      <c r="B596" t="s">
        <v>284</v>
      </c>
      <c r="C596" s="15">
        <v>10161.46624</v>
      </c>
      <c r="D596" s="16">
        <f t="shared" si="46"/>
        <v>0.00628763662425751</v>
      </c>
      <c r="E596" s="16">
        <f t="shared" si="47"/>
        <v>0.874221031545323</v>
      </c>
      <c r="F596" t="str">
        <f t="shared" si="48"/>
        <v>B</v>
      </c>
    </row>
    <row r="597" spans="2:6">
      <c r="B597" t="s">
        <v>390</v>
      </c>
      <c r="C597" s="15">
        <v>9969.42015</v>
      </c>
      <c r="D597" s="16">
        <f t="shared" si="46"/>
        <v>0.00616880377075886</v>
      </c>
      <c r="E597" s="16">
        <f t="shared" si="47"/>
        <v>0.880389835316082</v>
      </c>
      <c r="F597" t="str">
        <f t="shared" si="48"/>
        <v>B</v>
      </c>
    </row>
    <row r="598" spans="2:6">
      <c r="B598" t="s">
        <v>705</v>
      </c>
      <c r="C598" s="15">
        <v>9866.31048</v>
      </c>
      <c r="D598" s="16">
        <f t="shared" si="46"/>
        <v>0.00610500233481499</v>
      </c>
      <c r="E598" s="16">
        <f t="shared" si="47"/>
        <v>0.886494837650897</v>
      </c>
      <c r="F598" t="str">
        <f t="shared" si="48"/>
        <v>B</v>
      </c>
    </row>
    <row r="599" spans="2:6">
      <c r="B599" t="s">
        <v>874</v>
      </c>
      <c r="C599" s="15">
        <v>9586.80576</v>
      </c>
      <c r="D599" s="16">
        <f t="shared" si="46"/>
        <v>0.00593205247968416</v>
      </c>
      <c r="E599" s="16">
        <f t="shared" si="47"/>
        <v>0.892426890130582</v>
      </c>
      <c r="F599" t="str">
        <f t="shared" si="48"/>
        <v>B</v>
      </c>
    </row>
    <row r="600" spans="2:6">
      <c r="B600" t="s">
        <v>1152</v>
      </c>
      <c r="C600" s="15">
        <v>8326.68525</v>
      </c>
      <c r="D600" s="16">
        <f t="shared" si="46"/>
        <v>0.00515232446774973</v>
      </c>
      <c r="E600" s="16">
        <f t="shared" si="47"/>
        <v>0.897579214598331</v>
      </c>
      <c r="F600" t="str">
        <f t="shared" si="48"/>
        <v>B</v>
      </c>
    </row>
    <row r="601" spans="2:6">
      <c r="B601" t="s">
        <v>404</v>
      </c>
      <c r="C601" s="15">
        <v>7901.50416</v>
      </c>
      <c r="D601" s="16">
        <f t="shared" si="46"/>
        <v>0.00488923407013544</v>
      </c>
      <c r="E601" s="16">
        <f t="shared" si="47"/>
        <v>0.902468448668467</v>
      </c>
      <c r="F601" t="str">
        <f t="shared" si="48"/>
        <v>B</v>
      </c>
    </row>
    <row r="602" spans="2:6">
      <c r="B602" t="s">
        <v>641</v>
      </c>
      <c r="C602" s="15">
        <v>7678.2114</v>
      </c>
      <c r="D602" s="16">
        <f t="shared" si="46"/>
        <v>0.00475106663420175</v>
      </c>
      <c r="E602" s="16">
        <f t="shared" si="47"/>
        <v>0.907219515302668</v>
      </c>
      <c r="F602" t="str">
        <f t="shared" si="48"/>
        <v>B</v>
      </c>
    </row>
    <row r="603" spans="2:6">
      <c r="B603" t="s">
        <v>1303</v>
      </c>
      <c r="C603" s="15">
        <v>7466.3064</v>
      </c>
      <c r="D603" s="16">
        <f t="shared" ref="D603:D640" si="49">C603/$C$537</f>
        <v>0.00461994563183908</v>
      </c>
      <c r="E603" s="16">
        <f t="shared" si="47"/>
        <v>0.911839460934508</v>
      </c>
      <c r="F603" t="str">
        <f t="shared" si="48"/>
        <v>B</v>
      </c>
    </row>
    <row r="604" spans="2:6">
      <c r="B604" t="s">
        <v>561</v>
      </c>
      <c r="C604" s="15">
        <v>7446.5209</v>
      </c>
      <c r="D604" s="16">
        <f t="shared" si="49"/>
        <v>0.00460770290706974</v>
      </c>
      <c r="E604" s="16">
        <f t="shared" ref="E604:E640" si="50">E603+D604</f>
        <v>0.916447163841577</v>
      </c>
      <c r="F604" t="str">
        <f t="shared" si="48"/>
        <v>B</v>
      </c>
    </row>
    <row r="605" spans="2:6">
      <c r="B605" t="s">
        <v>184</v>
      </c>
      <c r="C605" s="15">
        <v>7135.57</v>
      </c>
      <c r="D605" s="16">
        <f t="shared" si="49"/>
        <v>0.00441529501818757</v>
      </c>
      <c r="E605" s="16">
        <f t="shared" si="50"/>
        <v>0.920862458859765</v>
      </c>
      <c r="F605" t="str">
        <f t="shared" si="48"/>
        <v>B</v>
      </c>
    </row>
    <row r="606" spans="2:6">
      <c r="B606" t="s">
        <v>527</v>
      </c>
      <c r="C606" s="15">
        <v>6984.82464</v>
      </c>
      <c r="D606" s="16">
        <f t="shared" si="49"/>
        <v>0.00432201792371258</v>
      </c>
      <c r="E606" s="16">
        <f t="shared" si="50"/>
        <v>0.925184476783477</v>
      </c>
      <c r="F606" t="str">
        <f t="shared" si="48"/>
        <v>B</v>
      </c>
    </row>
    <row r="607" spans="2:6">
      <c r="B607" t="s">
        <v>924</v>
      </c>
      <c r="C607" s="15">
        <v>6899.88046</v>
      </c>
      <c r="D607" s="16">
        <f t="shared" si="49"/>
        <v>0.00426945679477992</v>
      </c>
      <c r="E607" s="16">
        <f t="shared" si="50"/>
        <v>0.929453933578257</v>
      </c>
      <c r="F607" t="str">
        <f t="shared" si="48"/>
        <v>B</v>
      </c>
    </row>
    <row r="608" spans="2:6">
      <c r="B608" t="s">
        <v>157</v>
      </c>
      <c r="C608" s="15">
        <v>6631.64431</v>
      </c>
      <c r="D608" s="16">
        <f t="shared" si="49"/>
        <v>0.00410347962171697</v>
      </c>
      <c r="E608" s="16">
        <f t="shared" si="50"/>
        <v>0.933557413199974</v>
      </c>
      <c r="F608" t="str">
        <f t="shared" si="48"/>
        <v>B</v>
      </c>
    </row>
    <row r="609" spans="2:6">
      <c r="B609" t="s">
        <v>539</v>
      </c>
      <c r="C609" s="15">
        <v>6535.63248</v>
      </c>
      <c r="D609" s="16">
        <f t="shared" si="49"/>
        <v>0.00404407013450206</v>
      </c>
      <c r="E609" s="16">
        <f t="shared" si="50"/>
        <v>0.937601483334476</v>
      </c>
      <c r="F609" t="str">
        <f t="shared" si="48"/>
        <v>B</v>
      </c>
    </row>
    <row r="610" spans="2:6">
      <c r="B610" t="s">
        <v>988</v>
      </c>
      <c r="C610" s="15">
        <v>5960.04288</v>
      </c>
      <c r="D610" s="16">
        <f t="shared" si="49"/>
        <v>0.00368791107595445</v>
      </c>
      <c r="E610" s="16">
        <f t="shared" si="50"/>
        <v>0.941289394410431</v>
      </c>
      <c r="F610" t="str">
        <f t="shared" si="48"/>
        <v>B</v>
      </c>
    </row>
    <row r="611" spans="2:6">
      <c r="B611" t="s">
        <v>1309</v>
      </c>
      <c r="C611" s="15">
        <v>5457.4317</v>
      </c>
      <c r="D611" s="16">
        <f t="shared" si="49"/>
        <v>0.00337690906222053</v>
      </c>
      <c r="E611" s="16">
        <f t="shared" si="50"/>
        <v>0.944666303472651</v>
      </c>
      <c r="F611" t="str">
        <f t="shared" si="48"/>
        <v>B</v>
      </c>
    </row>
    <row r="612" spans="2:6">
      <c r="B612" t="s">
        <v>719</v>
      </c>
      <c r="C612" s="15">
        <v>5334.9142</v>
      </c>
      <c r="D612" s="16">
        <f t="shared" si="49"/>
        <v>0.00330109859334547</v>
      </c>
      <c r="E612" s="16">
        <f t="shared" si="50"/>
        <v>0.947967402065997</v>
      </c>
      <c r="F612" t="str">
        <f t="shared" si="48"/>
        <v>B</v>
      </c>
    </row>
    <row r="613" spans="2:6">
      <c r="B613" t="s">
        <v>1064</v>
      </c>
      <c r="C613" s="15">
        <v>4738.5261</v>
      </c>
      <c r="D613" s="16">
        <f t="shared" si="49"/>
        <v>0.00293206999341073</v>
      </c>
      <c r="E613" s="16">
        <f t="shared" si="50"/>
        <v>0.950899472059408</v>
      </c>
      <c r="F613" t="str">
        <f t="shared" si="48"/>
        <v>C</v>
      </c>
    </row>
    <row r="614" spans="2:6">
      <c r="B614" t="s">
        <v>505</v>
      </c>
      <c r="C614" s="15">
        <v>4637.7968</v>
      </c>
      <c r="D614" s="16">
        <f t="shared" si="49"/>
        <v>0.00286974146513961</v>
      </c>
      <c r="E614" s="16">
        <f t="shared" si="50"/>
        <v>0.953769213524547</v>
      </c>
      <c r="F614" t="str">
        <f t="shared" si="48"/>
        <v>C</v>
      </c>
    </row>
    <row r="615" spans="2:6">
      <c r="B615" t="s">
        <v>841</v>
      </c>
      <c r="C615" s="15">
        <v>4569.5736</v>
      </c>
      <c r="D615" s="16">
        <f t="shared" si="49"/>
        <v>0.00282752682004681</v>
      </c>
      <c r="E615" s="16">
        <f t="shared" si="50"/>
        <v>0.956596740344594</v>
      </c>
      <c r="F615" t="str">
        <f t="shared" si="48"/>
        <v>C</v>
      </c>
    </row>
    <row r="616" spans="2:6">
      <c r="B616" t="s">
        <v>583</v>
      </c>
      <c r="C616" s="15">
        <v>4436.62912</v>
      </c>
      <c r="D616" s="16">
        <f t="shared" si="49"/>
        <v>0.0027452644219147</v>
      </c>
      <c r="E616" s="16">
        <f t="shared" si="50"/>
        <v>0.959342004766509</v>
      </c>
      <c r="F616" t="str">
        <f t="shared" si="48"/>
        <v>C</v>
      </c>
    </row>
    <row r="617" spans="2:6">
      <c r="B617" t="s">
        <v>462</v>
      </c>
      <c r="C617" s="15">
        <v>4420.59618</v>
      </c>
      <c r="D617" s="16">
        <f t="shared" si="49"/>
        <v>0.00273534367835688</v>
      </c>
      <c r="E617" s="16">
        <f t="shared" si="50"/>
        <v>0.962077348444866</v>
      </c>
      <c r="F617" t="str">
        <f t="shared" si="48"/>
        <v>C</v>
      </c>
    </row>
    <row r="618" spans="2:6">
      <c r="B618" t="s">
        <v>1297</v>
      </c>
      <c r="C618" s="15">
        <v>4409.51688</v>
      </c>
      <c r="D618" s="16">
        <f t="shared" si="49"/>
        <v>0.00272848811137414</v>
      </c>
      <c r="E618" s="16">
        <f t="shared" si="50"/>
        <v>0.96480583655624</v>
      </c>
      <c r="F618" t="str">
        <f t="shared" si="48"/>
        <v>C</v>
      </c>
    </row>
    <row r="619" spans="2:6">
      <c r="B619" t="s">
        <v>489</v>
      </c>
      <c r="C619" s="15">
        <v>4402.11648</v>
      </c>
      <c r="D619" s="16">
        <f t="shared" si="49"/>
        <v>0.0027239089468151</v>
      </c>
      <c r="E619" s="16">
        <f t="shared" si="50"/>
        <v>0.967529745503055</v>
      </c>
      <c r="F619" t="str">
        <f t="shared" si="48"/>
        <v>C</v>
      </c>
    </row>
    <row r="620" spans="2:6">
      <c r="B620" t="s">
        <v>695</v>
      </c>
      <c r="C620" s="15">
        <v>4241.88105</v>
      </c>
      <c r="D620" s="16">
        <f t="shared" si="49"/>
        <v>0.00262475965729567</v>
      </c>
      <c r="E620" s="16">
        <f t="shared" si="50"/>
        <v>0.970154505160351</v>
      </c>
      <c r="F620" t="str">
        <f t="shared" si="48"/>
        <v>C</v>
      </c>
    </row>
    <row r="621" spans="2:6">
      <c r="B621" t="s">
        <v>408</v>
      </c>
      <c r="C621" s="15">
        <v>4139.8128</v>
      </c>
      <c r="D621" s="16">
        <f t="shared" si="49"/>
        <v>0.00256160262348616</v>
      </c>
      <c r="E621" s="16">
        <f t="shared" si="50"/>
        <v>0.972716107783837</v>
      </c>
      <c r="F621" t="str">
        <f t="shared" si="48"/>
        <v>C</v>
      </c>
    </row>
    <row r="622" spans="2:6">
      <c r="B622" t="s">
        <v>803</v>
      </c>
      <c r="C622" s="15">
        <v>4132.03252</v>
      </c>
      <c r="D622" s="16">
        <f t="shared" si="49"/>
        <v>0.00255678839960158</v>
      </c>
      <c r="E622" s="16">
        <f t="shared" si="50"/>
        <v>0.975272896183438</v>
      </c>
      <c r="F622" t="str">
        <f t="shared" si="48"/>
        <v>C</v>
      </c>
    </row>
    <row r="623" spans="2:6">
      <c r="B623" t="s">
        <v>849</v>
      </c>
      <c r="C623" s="15">
        <v>4117.48806</v>
      </c>
      <c r="D623" s="16">
        <f t="shared" si="49"/>
        <v>0.00254778868664519</v>
      </c>
      <c r="E623" s="16">
        <f t="shared" si="50"/>
        <v>0.977820684870084</v>
      </c>
      <c r="F623" t="str">
        <f t="shared" si="48"/>
        <v>C</v>
      </c>
    </row>
    <row r="624" spans="2:6">
      <c r="B624" t="s">
        <v>1026</v>
      </c>
      <c r="C624" s="15">
        <v>4055.5176</v>
      </c>
      <c r="D624" s="16">
        <f t="shared" si="49"/>
        <v>0.00250944306557878</v>
      </c>
      <c r="E624" s="16">
        <f t="shared" si="50"/>
        <v>0.980330127935662</v>
      </c>
      <c r="F624" t="str">
        <f t="shared" si="48"/>
        <v>C</v>
      </c>
    </row>
    <row r="625" spans="2:6">
      <c r="B625" t="s">
        <v>1078</v>
      </c>
      <c r="C625" s="15">
        <v>4025.85656</v>
      </c>
      <c r="D625" s="16">
        <f t="shared" si="49"/>
        <v>0.00249108962750078</v>
      </c>
      <c r="E625" s="16">
        <f t="shared" si="50"/>
        <v>0.982821217563163</v>
      </c>
      <c r="F625" t="str">
        <f t="shared" si="48"/>
        <v>C</v>
      </c>
    </row>
    <row r="626" spans="2:6">
      <c r="B626" t="s">
        <v>168</v>
      </c>
      <c r="C626" s="15">
        <v>3562.19838</v>
      </c>
      <c r="D626" s="16">
        <f t="shared" si="49"/>
        <v>0.0022041906618546</v>
      </c>
      <c r="E626" s="16">
        <f t="shared" si="50"/>
        <v>0.985025408225018</v>
      </c>
      <c r="F626" t="str">
        <f t="shared" si="48"/>
        <v>C</v>
      </c>
    </row>
    <row r="627" spans="2:6">
      <c r="B627" t="s">
        <v>1295</v>
      </c>
      <c r="C627" s="15">
        <v>3116.21</v>
      </c>
      <c r="D627" s="16">
        <f t="shared" si="49"/>
        <v>0.00192822528384226</v>
      </c>
      <c r="E627" s="16">
        <f t="shared" si="50"/>
        <v>0.98695363350886</v>
      </c>
      <c r="F627" t="str">
        <f t="shared" si="48"/>
        <v>C</v>
      </c>
    </row>
    <row r="628" spans="2:6">
      <c r="B628" t="s">
        <v>567</v>
      </c>
      <c r="C628" s="15">
        <v>2879.9836</v>
      </c>
      <c r="D628" s="16">
        <f t="shared" si="49"/>
        <v>0.00178205486619035</v>
      </c>
      <c r="E628" s="16">
        <f t="shared" si="50"/>
        <v>0.98873568837505</v>
      </c>
      <c r="F628" t="str">
        <f t="shared" si="48"/>
        <v>C</v>
      </c>
    </row>
    <row r="629" spans="2:6">
      <c r="B629" t="s">
        <v>1317</v>
      </c>
      <c r="C629" s="15">
        <v>2736.27018</v>
      </c>
      <c r="D629" s="16">
        <f t="shared" si="49"/>
        <v>0.00169312894333168</v>
      </c>
      <c r="E629" s="16">
        <f t="shared" si="50"/>
        <v>0.990428817318382</v>
      </c>
      <c r="F629" t="str">
        <f t="shared" si="48"/>
        <v>C</v>
      </c>
    </row>
    <row r="630" spans="2:6">
      <c r="B630" t="s">
        <v>884</v>
      </c>
      <c r="C630" s="15">
        <v>2525.0635</v>
      </c>
      <c r="D630" s="16">
        <f t="shared" si="49"/>
        <v>0.0015624400422331</v>
      </c>
      <c r="E630" s="16">
        <f t="shared" si="50"/>
        <v>0.991991257360615</v>
      </c>
      <c r="F630" t="str">
        <f t="shared" si="48"/>
        <v>C</v>
      </c>
    </row>
    <row r="631" spans="2:6">
      <c r="B631" t="s">
        <v>1154</v>
      </c>
      <c r="C631" s="15">
        <v>2146.55805</v>
      </c>
      <c r="D631" s="16">
        <f t="shared" si="49"/>
        <v>0.00132823125053996</v>
      </c>
      <c r="E631" s="16">
        <f t="shared" si="50"/>
        <v>0.993319488611155</v>
      </c>
      <c r="F631" t="str">
        <f t="shared" si="48"/>
        <v>C</v>
      </c>
    </row>
    <row r="632" spans="2:6">
      <c r="B632" t="s">
        <v>452</v>
      </c>
      <c r="C632" s="15">
        <v>1952.63568</v>
      </c>
      <c r="D632" s="16">
        <f t="shared" si="49"/>
        <v>0.00120823740643555</v>
      </c>
      <c r="E632" s="16">
        <f t="shared" si="50"/>
        <v>0.99452772601759</v>
      </c>
      <c r="F632" t="str">
        <f t="shared" si="48"/>
        <v>C</v>
      </c>
    </row>
    <row r="633" spans="2:6">
      <c r="B633" t="s">
        <v>992</v>
      </c>
      <c r="C633" s="15">
        <v>1925.29872</v>
      </c>
      <c r="D633" s="16">
        <f t="shared" si="49"/>
        <v>0.00119132204532208</v>
      </c>
      <c r="E633" s="16">
        <f t="shared" si="50"/>
        <v>0.995719048062913</v>
      </c>
      <c r="F633" t="str">
        <f t="shared" si="48"/>
        <v>C</v>
      </c>
    </row>
    <row r="634" spans="2:6">
      <c r="B634" t="s">
        <v>131</v>
      </c>
      <c r="C634" s="15">
        <v>1756.7</v>
      </c>
      <c r="D634" s="16">
        <f t="shared" si="49"/>
        <v>0.00108699778131952</v>
      </c>
      <c r="E634" s="16">
        <f t="shared" si="50"/>
        <v>0.996806045844232</v>
      </c>
      <c r="F634" t="str">
        <f t="shared" si="48"/>
        <v>C</v>
      </c>
    </row>
    <row r="635" spans="2:6">
      <c r="B635" t="s">
        <v>811</v>
      </c>
      <c r="C635" s="15">
        <v>1122.0896</v>
      </c>
      <c r="D635" s="16">
        <f t="shared" si="49"/>
        <v>0.000694318270417091</v>
      </c>
      <c r="E635" s="16">
        <f t="shared" si="50"/>
        <v>0.997500364114649</v>
      </c>
      <c r="F635" t="str">
        <f t="shared" si="48"/>
        <v>C</v>
      </c>
    </row>
    <row r="636" spans="2:6">
      <c r="B636" t="s">
        <v>685</v>
      </c>
      <c r="C636" s="15">
        <v>1098.94708</v>
      </c>
      <c r="D636" s="16">
        <f t="shared" si="49"/>
        <v>0.000679998313740286</v>
      </c>
      <c r="E636" s="16">
        <f t="shared" si="50"/>
        <v>0.998180362428389</v>
      </c>
      <c r="F636" t="str">
        <f t="shared" si="48"/>
        <v>C</v>
      </c>
    </row>
    <row r="637" spans="2:6">
      <c r="B637" t="s">
        <v>333</v>
      </c>
      <c r="C637" s="15">
        <v>765.99195</v>
      </c>
      <c r="D637" s="16">
        <f t="shared" si="49"/>
        <v>0.000473974810814943</v>
      </c>
      <c r="E637" s="16">
        <f t="shared" si="50"/>
        <v>0.998654337239204</v>
      </c>
      <c r="F637" t="str">
        <f t="shared" si="48"/>
        <v>C</v>
      </c>
    </row>
    <row r="638" spans="2:6">
      <c r="B638" t="s">
        <v>589</v>
      </c>
      <c r="C638" s="15">
        <v>748.22304</v>
      </c>
      <c r="D638" s="16">
        <f t="shared" si="49"/>
        <v>0.000462979896631265</v>
      </c>
      <c r="E638" s="16">
        <f t="shared" si="50"/>
        <v>0.999117317135836</v>
      </c>
      <c r="F638" t="str">
        <f t="shared" si="48"/>
        <v>C</v>
      </c>
    </row>
    <row r="639" spans="2:6">
      <c r="B639" t="s">
        <v>938</v>
      </c>
      <c r="C639" s="15">
        <v>741.43836</v>
      </c>
      <c r="D639" s="16">
        <f t="shared" si="49"/>
        <v>0.000458781722721683</v>
      </c>
      <c r="E639" s="16">
        <f t="shared" si="50"/>
        <v>0.999576098858557</v>
      </c>
      <c r="F639" t="str">
        <f t="shared" si="48"/>
        <v>C</v>
      </c>
    </row>
    <row r="640" spans="2:6">
      <c r="B640" t="s">
        <v>69</v>
      </c>
      <c r="C640" s="15">
        <v>685.06776</v>
      </c>
      <c r="D640" s="16">
        <f t="shared" si="49"/>
        <v>0.000423901141443349</v>
      </c>
      <c r="E640" s="16">
        <f t="shared" si="50"/>
        <v>1</v>
      </c>
      <c r="F640" t="str">
        <f t="shared" si="48"/>
        <v>C</v>
      </c>
    </row>
    <row r="641" spans="1:3">
      <c r="A641" t="s">
        <v>1444</v>
      </c>
      <c r="C641" s="15">
        <v>11024296.20954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H20"/>
  <sheetViews>
    <sheetView zoomScale="124" zoomScaleNormal="124" topLeftCell="E1" workbookViewId="0">
      <selection activeCell="E1" sqref="E1"/>
    </sheetView>
  </sheetViews>
  <sheetFormatPr defaultColWidth="8.70909090909091" defaultRowHeight="14.5" outlineLevelCol="7"/>
  <cols>
    <col min="1" max="1" width="13.8181818181818"/>
    <col min="2" max="5" width="24.1818181818182"/>
    <col min="6" max="6" width="15.1363636363636" customWidth="1"/>
    <col min="7" max="7" width="14.4272727272727" customWidth="1"/>
    <col min="8" max="8" width="18.1363636363636" customWidth="1"/>
  </cols>
  <sheetData>
    <row r="3" spans="1:8">
      <c r="A3" t="s">
        <v>8</v>
      </c>
      <c r="B3" t="s">
        <v>1469</v>
      </c>
      <c r="C3" t="s">
        <v>1450</v>
      </c>
      <c r="D3" t="s">
        <v>1470</v>
      </c>
      <c r="E3" t="s">
        <v>1471</v>
      </c>
      <c r="F3" s="14" t="s">
        <v>1472</v>
      </c>
      <c r="G3" s="14" t="s">
        <v>1473</v>
      </c>
      <c r="H3" s="14" t="s">
        <v>1474</v>
      </c>
    </row>
    <row r="4" spans="1:8">
      <c r="A4" t="s">
        <v>75</v>
      </c>
      <c r="B4">
        <v>46</v>
      </c>
      <c r="C4" s="3">
        <v>877159.52093</v>
      </c>
      <c r="D4" s="3">
        <v>281944.47093</v>
      </c>
      <c r="E4">
        <v>12</v>
      </c>
      <c r="F4" s="3">
        <f>C4/B4</f>
        <v>19068.6852376087</v>
      </c>
      <c r="G4" s="15">
        <f>B4/E4</f>
        <v>3.83333333333333</v>
      </c>
      <c r="H4" s="3">
        <f>D4/B4</f>
        <v>6129.22762891304</v>
      </c>
    </row>
    <row r="5" spans="1:8">
      <c r="A5" t="s">
        <v>56</v>
      </c>
      <c r="B5">
        <v>48</v>
      </c>
      <c r="C5" s="3">
        <v>893735.66085</v>
      </c>
      <c r="D5" s="3">
        <v>315969.97085</v>
      </c>
      <c r="E5">
        <v>12</v>
      </c>
      <c r="F5" s="3">
        <f t="shared" ref="F5:F20" si="0">C5/B5</f>
        <v>18619.492934375</v>
      </c>
      <c r="G5" s="15">
        <f t="shared" ref="G5:G20" si="1">B5/E5</f>
        <v>4</v>
      </c>
      <c r="H5" s="3">
        <f t="shared" ref="H5:H20" si="2">D5/B5</f>
        <v>6582.70772604167</v>
      </c>
    </row>
    <row r="6" spans="1:8">
      <c r="A6" t="s">
        <v>21</v>
      </c>
      <c r="B6">
        <v>37</v>
      </c>
      <c r="C6" s="3">
        <v>685111.85992</v>
      </c>
      <c r="D6" s="3">
        <v>225695.01992</v>
      </c>
      <c r="E6">
        <v>12</v>
      </c>
      <c r="F6" s="3">
        <f t="shared" si="0"/>
        <v>18516.5367545946</v>
      </c>
      <c r="G6" s="15">
        <f t="shared" si="1"/>
        <v>3.08333333333333</v>
      </c>
      <c r="H6" s="3">
        <f t="shared" si="2"/>
        <v>6099.86540324324</v>
      </c>
    </row>
    <row r="7" spans="1:8">
      <c r="A7" t="s">
        <v>145</v>
      </c>
      <c r="B7">
        <v>38</v>
      </c>
      <c r="C7" s="3">
        <v>594149.68715</v>
      </c>
      <c r="D7" s="3">
        <v>168406.42715</v>
      </c>
      <c r="E7">
        <v>11</v>
      </c>
      <c r="F7" s="3">
        <f t="shared" si="0"/>
        <v>15635.5180828947</v>
      </c>
      <c r="G7" s="15">
        <f t="shared" si="1"/>
        <v>3.45454545454545</v>
      </c>
      <c r="H7" s="3">
        <f t="shared" si="2"/>
        <v>4431.74808289474</v>
      </c>
    </row>
    <row r="8" spans="1:8">
      <c r="A8" t="s">
        <v>63</v>
      </c>
      <c r="B8">
        <v>34</v>
      </c>
      <c r="C8" s="3">
        <v>543846.44053</v>
      </c>
      <c r="D8" s="3">
        <v>204981.34053</v>
      </c>
      <c r="E8">
        <v>12</v>
      </c>
      <c r="F8" s="3">
        <f t="shared" si="0"/>
        <v>15995.483545</v>
      </c>
      <c r="G8" s="15">
        <f t="shared" si="1"/>
        <v>2.83333333333333</v>
      </c>
      <c r="H8" s="3">
        <f t="shared" si="2"/>
        <v>6028.86295676471</v>
      </c>
    </row>
    <row r="9" spans="1:8">
      <c r="A9" t="s">
        <v>84</v>
      </c>
      <c r="B9">
        <v>51</v>
      </c>
      <c r="C9" s="3">
        <v>812637.17232</v>
      </c>
      <c r="D9" s="3">
        <v>251733.01232</v>
      </c>
      <c r="E9">
        <v>12</v>
      </c>
      <c r="F9" s="3">
        <f t="shared" si="0"/>
        <v>15934.0622023529</v>
      </c>
      <c r="G9" s="15">
        <f t="shared" si="1"/>
        <v>4.25</v>
      </c>
      <c r="H9" s="3">
        <f t="shared" si="2"/>
        <v>4935.94141803922</v>
      </c>
    </row>
    <row r="10" spans="1:8">
      <c r="A10" t="s">
        <v>41</v>
      </c>
      <c r="B10">
        <v>30</v>
      </c>
      <c r="C10" s="3">
        <v>510653.71305</v>
      </c>
      <c r="D10" s="3">
        <v>172441.87305</v>
      </c>
      <c r="E10">
        <v>11</v>
      </c>
      <c r="F10" s="3">
        <f t="shared" si="0"/>
        <v>17021.790435</v>
      </c>
      <c r="G10" s="15">
        <f t="shared" si="1"/>
        <v>2.72727272727273</v>
      </c>
      <c r="H10" s="3">
        <f t="shared" si="2"/>
        <v>5748.062435</v>
      </c>
    </row>
    <row r="11" spans="1:8">
      <c r="A11" t="s">
        <v>92</v>
      </c>
      <c r="B11">
        <v>45</v>
      </c>
      <c r="C11" s="3">
        <v>760776.21253</v>
      </c>
      <c r="D11" s="3">
        <v>200228.72253</v>
      </c>
      <c r="E11">
        <v>12</v>
      </c>
      <c r="F11" s="3">
        <f t="shared" si="0"/>
        <v>16906.1380562222</v>
      </c>
      <c r="G11" s="15">
        <f t="shared" si="1"/>
        <v>3.75</v>
      </c>
      <c r="H11" s="3">
        <f t="shared" si="2"/>
        <v>4449.52716733333</v>
      </c>
    </row>
    <row r="12" spans="1:8">
      <c r="A12" t="s">
        <v>34</v>
      </c>
      <c r="B12">
        <v>38</v>
      </c>
      <c r="C12" s="3">
        <v>556078.75462</v>
      </c>
      <c r="D12" s="3">
        <v>154934.77462</v>
      </c>
      <c r="E12">
        <v>11</v>
      </c>
      <c r="F12" s="3">
        <f t="shared" si="0"/>
        <v>14633.6514373684</v>
      </c>
      <c r="G12" s="15">
        <f t="shared" si="1"/>
        <v>3.45454545454545</v>
      </c>
      <c r="H12" s="3">
        <f t="shared" si="2"/>
        <v>4077.23091105263</v>
      </c>
    </row>
    <row r="13" spans="1:8">
      <c r="A13" t="s">
        <v>29</v>
      </c>
      <c r="B13">
        <v>50</v>
      </c>
      <c r="C13" s="3">
        <v>802384.66228</v>
      </c>
      <c r="D13" s="3">
        <v>273113.11228</v>
      </c>
      <c r="E13">
        <v>11</v>
      </c>
      <c r="F13" s="3">
        <f t="shared" si="0"/>
        <v>16047.6932456</v>
      </c>
      <c r="G13" s="15">
        <f t="shared" si="1"/>
        <v>4.54545454545455</v>
      </c>
      <c r="H13" s="3">
        <f t="shared" si="2"/>
        <v>5462.2622456</v>
      </c>
    </row>
    <row r="14" spans="1:8">
      <c r="A14" t="s">
        <v>95</v>
      </c>
      <c r="B14">
        <v>44</v>
      </c>
      <c r="C14" s="3">
        <v>883348.12936</v>
      </c>
      <c r="D14" s="3">
        <v>278762.26936</v>
      </c>
      <c r="E14">
        <v>12</v>
      </c>
      <c r="F14" s="3">
        <f t="shared" si="0"/>
        <v>20076.0938490909</v>
      </c>
      <c r="G14" s="15">
        <f t="shared" si="1"/>
        <v>3.66666666666667</v>
      </c>
      <c r="H14" s="3">
        <f t="shared" si="2"/>
        <v>6335.50612181818</v>
      </c>
    </row>
    <row r="15" spans="1:8">
      <c r="A15" t="s">
        <v>49</v>
      </c>
      <c r="B15">
        <v>46</v>
      </c>
      <c r="C15" s="3">
        <v>853038.52345</v>
      </c>
      <c r="D15" s="3">
        <v>269716.55345</v>
      </c>
      <c r="E15">
        <v>12</v>
      </c>
      <c r="F15" s="3">
        <f t="shared" si="0"/>
        <v>18544.3157271739</v>
      </c>
      <c r="G15" s="15">
        <f t="shared" si="1"/>
        <v>3.83333333333333</v>
      </c>
      <c r="H15" s="3">
        <f t="shared" si="2"/>
        <v>5863.40333586957</v>
      </c>
    </row>
    <row r="16" spans="1:8">
      <c r="A16" t="s">
        <v>110</v>
      </c>
      <c r="B16">
        <v>48</v>
      </c>
      <c r="C16" s="3">
        <v>966298.98755</v>
      </c>
      <c r="D16" s="3">
        <v>302657.05755</v>
      </c>
      <c r="E16">
        <v>12</v>
      </c>
      <c r="F16" s="3">
        <f t="shared" si="0"/>
        <v>20131.2289072917</v>
      </c>
      <c r="G16" s="15">
        <f t="shared" si="1"/>
        <v>4</v>
      </c>
      <c r="H16" s="3">
        <f t="shared" si="2"/>
        <v>6305.355365625</v>
      </c>
    </row>
    <row r="17" spans="1:8">
      <c r="A17" t="s">
        <v>126</v>
      </c>
      <c r="B17">
        <v>32</v>
      </c>
      <c r="C17" s="3">
        <v>388325.13659</v>
      </c>
      <c r="D17" s="3">
        <v>110646.45659</v>
      </c>
      <c r="E17">
        <v>10</v>
      </c>
      <c r="F17" s="3">
        <f t="shared" si="0"/>
        <v>12135.1605184375</v>
      </c>
      <c r="G17" s="15">
        <f t="shared" si="1"/>
        <v>3.2</v>
      </c>
      <c r="H17" s="3">
        <f t="shared" si="2"/>
        <v>3457.7017684375</v>
      </c>
    </row>
    <row r="18" spans="1:8">
      <c r="A18" t="s">
        <v>68</v>
      </c>
      <c r="B18">
        <v>37</v>
      </c>
      <c r="C18" s="3">
        <v>647724.89694</v>
      </c>
      <c r="D18" s="3">
        <v>185219.43694</v>
      </c>
      <c r="E18">
        <v>12</v>
      </c>
      <c r="F18" s="3">
        <f t="shared" si="0"/>
        <v>17506.0782956757</v>
      </c>
      <c r="G18" s="15">
        <f t="shared" si="1"/>
        <v>3.08333333333333</v>
      </c>
      <c r="H18" s="3">
        <f t="shared" si="2"/>
        <v>5005.93072810811</v>
      </c>
    </row>
    <row r="19" spans="1:8">
      <c r="A19" t="s">
        <v>1442</v>
      </c>
      <c r="B19">
        <v>8</v>
      </c>
      <c r="C19" s="3">
        <v>249026.85147</v>
      </c>
      <c r="D19" s="3">
        <v>100098.00147</v>
      </c>
      <c r="E19">
        <v>6</v>
      </c>
      <c r="F19" s="3">
        <f t="shared" si="0"/>
        <v>31128.35643375</v>
      </c>
      <c r="G19" s="15">
        <f t="shared" si="1"/>
        <v>1.33333333333333</v>
      </c>
      <c r="H19" s="3">
        <f t="shared" si="2"/>
        <v>12512.25018375</v>
      </c>
    </row>
    <row r="20" spans="1:8">
      <c r="A20" t="s">
        <v>1444</v>
      </c>
      <c r="B20">
        <v>631</v>
      </c>
      <c r="C20" s="3">
        <v>11024296.20954</v>
      </c>
      <c r="D20" s="3">
        <v>3496548.49954</v>
      </c>
      <c r="E20">
        <v>12</v>
      </c>
      <c r="F20" s="3">
        <f t="shared" si="0"/>
        <v>17471.1508867512</v>
      </c>
      <c r="G20" s="15">
        <f t="shared" si="1"/>
        <v>52.5833333333333</v>
      </c>
      <c r="H20" s="3">
        <f t="shared" si="2"/>
        <v>5541.28129879556</v>
      </c>
    </row>
  </sheetData>
  <conditionalFormatting sqref="F4:F19">
    <cfRule type="top10" dxfId="1084" priority="6" bottom="1" rank="3"/>
    <cfRule type="top10" dxfId="1085" priority="7" rank="3"/>
  </conditionalFormatting>
  <conditionalFormatting sqref="G4:G19">
    <cfRule type="top10" dxfId="1084" priority="3" bottom="1" rank="3"/>
    <cfRule type="top10" priority="4" bottom="1" rank="3"/>
    <cfRule type="top10" dxfId="1085" priority="5" rank="3"/>
  </conditionalFormatting>
  <conditionalFormatting sqref="H4:H19">
    <cfRule type="top10" dxfId="1084" priority="1" bottom="1" rank="3"/>
    <cfRule type="top10" dxfId="1085" priority="2" rank="3"/>
  </conditionalFormatting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32"/>
  <sheetViews>
    <sheetView workbookViewId="0">
      <selection activeCell="A1" sqref="A1"/>
    </sheetView>
  </sheetViews>
  <sheetFormatPr defaultColWidth="8.70909090909091" defaultRowHeight="14.5" outlineLevelCol="2"/>
  <cols>
    <col min="1" max="1" width="11.5727272727273"/>
    <col min="2" max="2" width="12.7090909090909" customWidth="1"/>
    <col min="3" max="3" width="20.7090909090909" customWidth="1"/>
  </cols>
  <sheetData>
    <row r="3" spans="1:3">
      <c r="A3" t="s">
        <v>3</v>
      </c>
      <c r="B3" t="s">
        <v>7</v>
      </c>
      <c r="C3" t="s">
        <v>1450</v>
      </c>
    </row>
    <row r="4" spans="1:3">
      <c r="A4" t="s">
        <v>16</v>
      </c>
      <c r="C4" s="3">
        <v>2612548.9243</v>
      </c>
    </row>
    <row r="5" spans="2:3">
      <c r="B5" t="s">
        <v>98</v>
      </c>
      <c r="C5" s="3">
        <v>461428.9597</v>
      </c>
    </row>
    <row r="6" spans="2:3">
      <c r="B6" t="s">
        <v>55</v>
      </c>
      <c r="C6" s="3">
        <v>623894.11207</v>
      </c>
    </row>
    <row r="7" spans="2:3">
      <c r="B7" t="s">
        <v>40</v>
      </c>
      <c r="C7" s="3">
        <v>527467.87456</v>
      </c>
    </row>
    <row r="8" spans="2:3">
      <c r="B8" t="s">
        <v>1441</v>
      </c>
      <c r="C8" s="3">
        <v>32716.92423</v>
      </c>
    </row>
    <row r="9" spans="2:3">
      <c r="B9" t="s">
        <v>28</v>
      </c>
      <c r="C9" s="3">
        <v>433406.33627</v>
      </c>
    </row>
    <row r="10" spans="2:3">
      <c r="B10" t="s">
        <v>20</v>
      </c>
      <c r="C10" s="3">
        <v>533634.71747</v>
      </c>
    </row>
    <row r="11" spans="1:3">
      <c r="A11" t="s">
        <v>52</v>
      </c>
      <c r="C11" s="3">
        <v>2688750.02134</v>
      </c>
    </row>
    <row r="12" spans="2:3">
      <c r="B12" t="s">
        <v>98</v>
      </c>
      <c r="C12" s="3">
        <v>751887.68591</v>
      </c>
    </row>
    <row r="13" spans="2:3">
      <c r="B13" t="s">
        <v>55</v>
      </c>
      <c r="C13" s="3">
        <v>568425.23432</v>
      </c>
    </row>
    <row r="14" spans="2:3">
      <c r="B14" t="s">
        <v>40</v>
      </c>
      <c r="C14" s="3">
        <v>366375.92752</v>
      </c>
    </row>
    <row r="15" spans="2:3">
      <c r="B15" t="s">
        <v>1441</v>
      </c>
      <c r="C15" s="3">
        <v>9256.14</v>
      </c>
    </row>
    <row r="16" spans="2:3">
      <c r="B16" t="s">
        <v>28</v>
      </c>
      <c r="C16" s="3">
        <v>689951.45437</v>
      </c>
    </row>
    <row r="17" spans="2:3">
      <c r="B17" t="s">
        <v>20</v>
      </c>
      <c r="C17" s="3">
        <v>302853.57922</v>
      </c>
    </row>
    <row r="18" spans="1:3">
      <c r="A18" t="s">
        <v>45</v>
      </c>
      <c r="C18" s="3">
        <v>2841471.91765</v>
      </c>
    </row>
    <row r="19" spans="2:3">
      <c r="B19" t="s">
        <v>98</v>
      </c>
      <c r="C19" s="3">
        <v>642428.78858</v>
      </c>
    </row>
    <row r="20" spans="2:3">
      <c r="B20" t="s">
        <v>55</v>
      </c>
      <c r="C20" s="3">
        <v>509418.80599</v>
      </c>
    </row>
    <row r="21" spans="2:3">
      <c r="B21" t="s">
        <v>40</v>
      </c>
      <c r="C21" s="3">
        <v>541441.73806</v>
      </c>
    </row>
    <row r="22" spans="2:3">
      <c r="B22" t="s">
        <v>1441</v>
      </c>
      <c r="C22" s="3">
        <v>41379.39549</v>
      </c>
    </row>
    <row r="23" spans="2:3">
      <c r="B23" t="s">
        <v>28</v>
      </c>
      <c r="C23" s="3">
        <v>413661.50969</v>
      </c>
    </row>
    <row r="24" spans="2:3">
      <c r="B24" t="s">
        <v>20</v>
      </c>
      <c r="C24" s="3">
        <v>693141.67984</v>
      </c>
    </row>
    <row r="25" spans="1:3">
      <c r="A25" t="s">
        <v>78</v>
      </c>
      <c r="C25" s="3">
        <v>2881525.34625</v>
      </c>
    </row>
    <row r="26" spans="2:3">
      <c r="B26" t="s">
        <v>98</v>
      </c>
      <c r="C26" s="3">
        <v>842614.45204</v>
      </c>
    </row>
    <row r="27" spans="2:3">
      <c r="B27" t="s">
        <v>55</v>
      </c>
      <c r="C27" s="3">
        <v>318736.6722</v>
      </c>
    </row>
    <row r="28" spans="2:3">
      <c r="B28" t="s">
        <v>40</v>
      </c>
      <c r="C28" s="3">
        <v>632884.44425</v>
      </c>
    </row>
    <row r="29" spans="2:3">
      <c r="B29" t="s">
        <v>1441</v>
      </c>
      <c r="C29" s="3">
        <v>18050.44646</v>
      </c>
    </row>
    <row r="30" spans="2:3">
      <c r="B30" t="s">
        <v>28</v>
      </c>
      <c r="C30" s="3">
        <v>585406.72277</v>
      </c>
    </row>
    <row r="31" spans="2:3">
      <c r="B31" t="s">
        <v>20</v>
      </c>
      <c r="C31" s="3">
        <v>483832.60853</v>
      </c>
    </row>
    <row r="32" spans="1:3">
      <c r="A32" t="s">
        <v>1444</v>
      </c>
      <c r="C32" s="3">
        <v>11024296.20954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"/>
  <sheetViews>
    <sheetView tabSelected="1" workbookViewId="0">
      <selection activeCell="A1" sqref="A1"/>
      <pivotSelection pane="bottomRight" showHeader="1" extendable="1" axis="axisPage" click="1" r:id="rId1">
        <pivotArea field="8" type="button" dataOnly="0" labelOnly="1" outline="0" fieldPosition="0"/>
      </pivotSelection>
    </sheetView>
  </sheetViews>
  <sheetFormatPr defaultColWidth="8.70909090909091" defaultRowHeight="14.5"/>
  <cols>
    <col min="1" max="1" width="16.8545454545455" customWidth="1"/>
    <col min="2" max="8" width="18.1363636363636"/>
    <col min="9" max="9" width="11.2818181818182" customWidth="1"/>
  </cols>
  <sheetData>
    <row r="1" spans="1:2">
      <c r="A1" t="s">
        <v>1428</v>
      </c>
      <c r="B1" t="s">
        <v>1475</v>
      </c>
    </row>
    <row r="3" spans="1:2">
      <c r="A3" t="s">
        <v>1476</v>
      </c>
      <c r="B3" t="s">
        <v>9</v>
      </c>
    </row>
    <row r="4" spans="1:9">
      <c r="A4" t="s">
        <v>4</v>
      </c>
      <c r="B4" t="s">
        <v>81</v>
      </c>
      <c r="C4" t="s">
        <v>22</v>
      </c>
      <c r="D4" t="s">
        <v>57</v>
      </c>
      <c r="E4" t="s">
        <v>64</v>
      </c>
      <c r="F4" t="s">
        <v>35</v>
      </c>
      <c r="G4" t="s">
        <v>42</v>
      </c>
      <c r="H4" t="s">
        <v>30</v>
      </c>
      <c r="I4" t="s">
        <v>1444</v>
      </c>
    </row>
    <row r="5" spans="1:9">
      <c r="A5" t="s">
        <v>73</v>
      </c>
      <c r="B5" s="12">
        <v>0.0232558139534884</v>
      </c>
      <c r="C5" s="12">
        <v>0.00581395348837209</v>
      </c>
      <c r="D5" s="12">
        <v>0.00581395348837209</v>
      </c>
      <c r="E5" s="12">
        <v>0.0174418604651163</v>
      </c>
      <c r="F5" s="12">
        <v>0.0116279069767442</v>
      </c>
      <c r="G5" s="12">
        <v>0.0290697674418605</v>
      </c>
      <c r="H5" s="12">
        <v>0.0116279069767442</v>
      </c>
      <c r="I5" s="12">
        <v>0.104651162790698</v>
      </c>
    </row>
    <row r="6" spans="1:9">
      <c r="A6" t="s">
        <v>53</v>
      </c>
      <c r="B6" s="12">
        <v>0.0116279069767442</v>
      </c>
      <c r="C6" s="12">
        <v>0.0174418604651163</v>
      </c>
      <c r="D6" s="12">
        <v>0.0116279069767442</v>
      </c>
      <c r="E6" s="12">
        <v>0</v>
      </c>
      <c r="F6" s="12">
        <v>0</v>
      </c>
      <c r="G6" s="12">
        <v>0</v>
      </c>
      <c r="H6" s="12">
        <v>0.0116279069767442</v>
      </c>
      <c r="I6" s="12">
        <v>0.0523255813953488</v>
      </c>
    </row>
    <row r="7" spans="1:9">
      <c r="A7" t="s">
        <v>116</v>
      </c>
      <c r="B7" s="12">
        <v>0.0174418604651163</v>
      </c>
      <c r="C7" s="12">
        <v>0</v>
      </c>
      <c r="D7" s="12">
        <v>0.00581395348837209</v>
      </c>
      <c r="E7" s="12">
        <v>0.00581395348837209</v>
      </c>
      <c r="F7" s="12">
        <v>0.0232558139534884</v>
      </c>
      <c r="G7" s="12">
        <v>0.00581395348837209</v>
      </c>
      <c r="H7" s="12">
        <v>0</v>
      </c>
      <c r="I7" s="12">
        <v>0.0581395348837209</v>
      </c>
    </row>
    <row r="8" spans="1:9">
      <c r="A8" t="s">
        <v>90</v>
      </c>
      <c r="B8" s="12">
        <v>0.00581395348837209</v>
      </c>
      <c r="C8" s="12">
        <v>0.0174418604651163</v>
      </c>
      <c r="D8" s="12">
        <v>0.0116279069767442</v>
      </c>
      <c r="E8" s="12">
        <v>0.0174418604651163</v>
      </c>
      <c r="F8" s="12">
        <v>0.0116279069767442</v>
      </c>
      <c r="G8" s="12">
        <v>0</v>
      </c>
      <c r="H8" s="12">
        <v>0.0116279069767442</v>
      </c>
      <c r="I8" s="12">
        <v>0.0755813953488372</v>
      </c>
    </row>
    <row r="9" spans="1:9">
      <c r="A9" t="s">
        <v>79</v>
      </c>
      <c r="B9" s="12">
        <v>0.0232558139534884</v>
      </c>
      <c r="C9" s="12">
        <v>0.0116279069767442</v>
      </c>
      <c r="D9" s="12">
        <v>0.0116279069767442</v>
      </c>
      <c r="E9" s="12">
        <v>0.00581395348837209</v>
      </c>
      <c r="F9" s="12">
        <v>0.00581395348837209</v>
      </c>
      <c r="G9" s="12">
        <v>0.00581395348837209</v>
      </c>
      <c r="H9" s="12">
        <v>0.00581395348837209</v>
      </c>
      <c r="I9" s="12">
        <v>0.0697674418604651</v>
      </c>
    </row>
    <row r="10" spans="1:9">
      <c r="A10" t="s">
        <v>60</v>
      </c>
      <c r="B10" s="12">
        <v>0.0116279069767442</v>
      </c>
      <c r="C10" s="12">
        <v>0.0116279069767442</v>
      </c>
      <c r="D10" s="12">
        <v>0.00581395348837209</v>
      </c>
      <c r="E10" s="12">
        <v>0.0116279069767442</v>
      </c>
      <c r="F10" s="12">
        <v>0.00581395348837209</v>
      </c>
      <c r="G10" s="12">
        <v>0.0116279069767442</v>
      </c>
      <c r="H10" s="12">
        <v>0.0116279069767442</v>
      </c>
      <c r="I10" s="12">
        <v>0.0697674418604651</v>
      </c>
    </row>
    <row r="11" spans="1:9">
      <c r="A11" t="s">
        <v>46</v>
      </c>
      <c r="B11" s="12">
        <v>0.00581395348837209</v>
      </c>
      <c r="C11" s="12">
        <v>0.0174418604651163</v>
      </c>
      <c r="D11" s="12">
        <v>0.0174418604651163</v>
      </c>
      <c r="E11" s="12">
        <v>0.0116279069767442</v>
      </c>
      <c r="F11" s="12">
        <v>0.00581395348837209</v>
      </c>
      <c r="G11" s="12">
        <v>0.00581395348837209</v>
      </c>
      <c r="H11" s="12">
        <v>0.0174418604651163</v>
      </c>
      <c r="I11" s="12">
        <v>0.0813953488372093</v>
      </c>
    </row>
    <row r="12" spans="1:9">
      <c r="A12" t="s">
        <v>17</v>
      </c>
      <c r="B12" s="12">
        <v>0.0232558139534884</v>
      </c>
      <c r="C12" s="12">
        <v>0.00581395348837209</v>
      </c>
      <c r="D12" s="12">
        <v>0.0406976744186047</v>
      </c>
      <c r="E12" s="12">
        <v>0</v>
      </c>
      <c r="F12" s="12">
        <v>0.0116279069767442</v>
      </c>
      <c r="G12" s="12">
        <v>0.0116279069767442</v>
      </c>
      <c r="H12" s="12">
        <v>0.00581395348837209</v>
      </c>
      <c r="I12" s="12">
        <v>0.0988372093023256</v>
      </c>
    </row>
    <row r="13" spans="1:9">
      <c r="A13" t="s">
        <v>25</v>
      </c>
      <c r="B13" s="12">
        <v>0.0348837209302326</v>
      </c>
      <c r="C13" s="12">
        <v>0.0116279069767442</v>
      </c>
      <c r="D13" s="12">
        <v>0.0174418604651163</v>
      </c>
      <c r="E13" s="12">
        <v>0.0174418604651163</v>
      </c>
      <c r="F13" s="12">
        <v>0.00581395348837209</v>
      </c>
      <c r="G13" s="12">
        <v>0.00581395348837209</v>
      </c>
      <c r="H13" s="12">
        <v>0.0174418604651163</v>
      </c>
      <c r="I13" s="12">
        <v>0.11046511627907</v>
      </c>
    </row>
    <row r="14" spans="1:9">
      <c r="A14" t="s">
        <v>148</v>
      </c>
      <c r="B14" s="12">
        <v>0.0116279069767442</v>
      </c>
      <c r="C14" s="12">
        <v>0.0290697674418605</v>
      </c>
      <c r="D14" s="12">
        <v>0.0116279069767442</v>
      </c>
      <c r="E14" s="12">
        <v>0.00581395348837209</v>
      </c>
      <c r="F14" s="12">
        <v>0.0116279069767442</v>
      </c>
      <c r="G14" s="12">
        <v>0.0116279069767442</v>
      </c>
      <c r="H14" s="12">
        <v>0.00581395348837209</v>
      </c>
      <c r="I14" s="12">
        <v>0.0872093023255814</v>
      </c>
    </row>
    <row r="15" spans="1:9">
      <c r="A15" t="s">
        <v>108</v>
      </c>
      <c r="B15" s="12">
        <v>0.00581395348837209</v>
      </c>
      <c r="C15" s="12">
        <v>0.0116279069767442</v>
      </c>
      <c r="D15" s="12">
        <v>0.0232558139534884</v>
      </c>
      <c r="E15" s="12">
        <v>0.0116279069767442</v>
      </c>
      <c r="F15" s="12">
        <v>0.0116279069767442</v>
      </c>
      <c r="G15" s="12">
        <v>0.00581395348837209</v>
      </c>
      <c r="H15" s="12">
        <v>0.0174418604651163</v>
      </c>
      <c r="I15" s="12">
        <v>0.0872093023255814</v>
      </c>
    </row>
    <row r="16" spans="1:9">
      <c r="A16" t="s">
        <v>122</v>
      </c>
      <c r="B16" s="12">
        <v>0.0116279069767442</v>
      </c>
      <c r="C16" s="12">
        <v>0.0116279069767442</v>
      </c>
      <c r="D16" s="12">
        <v>0.00581395348837209</v>
      </c>
      <c r="E16" s="12">
        <v>0.00581395348837209</v>
      </c>
      <c r="F16" s="12">
        <v>0.0290697674418605</v>
      </c>
      <c r="G16" s="12">
        <v>0.00581395348837209</v>
      </c>
      <c r="H16" s="12">
        <v>0.0348837209302326</v>
      </c>
      <c r="I16" s="12">
        <v>0.104651162790698</v>
      </c>
    </row>
    <row r="17" spans="1:9">
      <c r="A17" t="s">
        <v>1444</v>
      </c>
      <c r="B17" s="12">
        <v>0.186046511627907</v>
      </c>
      <c r="C17" s="12">
        <v>0.151162790697674</v>
      </c>
      <c r="D17" s="12">
        <v>0.168604651162791</v>
      </c>
      <c r="E17" s="12">
        <v>0.11046511627907</v>
      </c>
      <c r="F17" s="12">
        <v>0.133720930232558</v>
      </c>
      <c r="G17" s="12">
        <v>0.0988372093023256</v>
      </c>
      <c r="H17" s="12">
        <v>0.151162790697674</v>
      </c>
      <c r="I17" s="13">
        <v>1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9"/>
  <sheetViews>
    <sheetView workbookViewId="0">
      <selection activeCell="A1" sqref="A1"/>
      <pivotSelection pane="bottomRight" showHeader="1" extendable="1" axis="axisPage" click="1" r:id="rId1">
        <pivotArea field="23" type="button" dataOnly="0" labelOnly="1" outline="0" fieldPosition="0"/>
      </pivotSelection>
    </sheetView>
  </sheetViews>
  <sheetFormatPr defaultColWidth="8.70909090909091" defaultRowHeight="14.5"/>
  <cols>
    <col min="1" max="1" width="16.5727272727273" customWidth="1"/>
    <col min="2" max="17" width="15.5727272727273" customWidth="1"/>
    <col min="18" max="18" width="11.2818181818182" customWidth="1"/>
  </cols>
  <sheetData>
    <row r="1" spans="1:2">
      <c r="A1" t="s">
        <v>1432</v>
      </c>
      <c r="B1" t="s">
        <v>1477</v>
      </c>
    </row>
    <row r="3" spans="1:2">
      <c r="A3" t="s">
        <v>1478</v>
      </c>
      <c r="B3" t="s">
        <v>8</v>
      </c>
    </row>
    <row r="4" spans="1:18">
      <c r="A4" t="s">
        <v>3</v>
      </c>
      <c r="B4" t="s">
        <v>75</v>
      </c>
      <c r="C4" t="s">
        <v>56</v>
      </c>
      <c r="D4" t="s">
        <v>21</v>
      </c>
      <c r="E4" t="s">
        <v>145</v>
      </c>
      <c r="F4" t="s">
        <v>63</v>
      </c>
      <c r="G4" t="s">
        <v>84</v>
      </c>
      <c r="H4" t="s">
        <v>41</v>
      </c>
      <c r="I4" t="s">
        <v>92</v>
      </c>
      <c r="J4" t="s">
        <v>34</v>
      </c>
      <c r="K4" t="s">
        <v>29</v>
      </c>
      <c r="L4" t="s">
        <v>95</v>
      </c>
      <c r="M4" t="s">
        <v>49</v>
      </c>
      <c r="N4" t="s">
        <v>110</v>
      </c>
      <c r="O4" t="s">
        <v>126</v>
      </c>
      <c r="P4" t="s">
        <v>68</v>
      </c>
      <c r="Q4" t="s">
        <v>1442</v>
      </c>
      <c r="R4" t="s">
        <v>1444</v>
      </c>
    </row>
    <row r="5" spans="1:18">
      <c r="A5" t="s">
        <v>16</v>
      </c>
      <c r="B5" s="2">
        <v>3</v>
      </c>
      <c r="C5" s="2">
        <v>0</v>
      </c>
      <c r="D5" s="2">
        <v>2</v>
      </c>
      <c r="E5" s="2">
        <v>2</v>
      </c>
      <c r="F5" s="2">
        <v>1</v>
      </c>
      <c r="G5" s="2">
        <v>0</v>
      </c>
      <c r="H5" s="2">
        <v>0</v>
      </c>
      <c r="I5" s="2">
        <v>1</v>
      </c>
      <c r="J5" s="2">
        <v>2</v>
      </c>
      <c r="K5" s="2">
        <v>3</v>
      </c>
      <c r="L5" s="2">
        <v>0</v>
      </c>
      <c r="M5" s="2">
        <v>2</v>
      </c>
      <c r="N5" s="2">
        <v>5</v>
      </c>
      <c r="O5" s="2">
        <v>0</v>
      </c>
      <c r="P5" s="2">
        <v>0</v>
      </c>
      <c r="Q5" s="2">
        <v>1</v>
      </c>
      <c r="R5" s="2">
        <v>22</v>
      </c>
    </row>
    <row r="6" spans="1:18">
      <c r="A6" t="s">
        <v>52</v>
      </c>
      <c r="B6" s="2">
        <v>5</v>
      </c>
      <c r="C6" s="2">
        <v>1</v>
      </c>
      <c r="D6" s="2">
        <v>2</v>
      </c>
      <c r="E6" s="2">
        <v>4</v>
      </c>
      <c r="F6" s="2">
        <v>0</v>
      </c>
      <c r="G6" s="2">
        <v>1</v>
      </c>
      <c r="H6" s="2">
        <v>1</v>
      </c>
      <c r="I6" s="2">
        <v>0</v>
      </c>
      <c r="J6" s="2">
        <v>5</v>
      </c>
      <c r="K6" s="2">
        <v>0</v>
      </c>
      <c r="L6" s="2">
        <v>1</v>
      </c>
      <c r="M6" s="2">
        <v>3</v>
      </c>
      <c r="N6" s="2">
        <v>2</v>
      </c>
      <c r="O6" s="2">
        <v>1</v>
      </c>
      <c r="P6" s="2">
        <v>0</v>
      </c>
      <c r="Q6" s="2">
        <v>1</v>
      </c>
      <c r="R6" s="2">
        <v>27</v>
      </c>
    </row>
    <row r="7" spans="1:18">
      <c r="A7" t="s">
        <v>45</v>
      </c>
      <c r="B7" s="2">
        <v>0</v>
      </c>
      <c r="C7" s="2">
        <v>2</v>
      </c>
      <c r="D7" s="2">
        <v>3</v>
      </c>
      <c r="E7" s="2">
        <v>1</v>
      </c>
      <c r="F7" s="2">
        <v>0</v>
      </c>
      <c r="G7" s="2">
        <v>3</v>
      </c>
      <c r="H7" s="2">
        <v>1</v>
      </c>
      <c r="I7" s="2">
        <v>2</v>
      </c>
      <c r="J7" s="2">
        <v>1</v>
      </c>
      <c r="K7" s="2">
        <v>2</v>
      </c>
      <c r="L7" s="2">
        <v>1</v>
      </c>
      <c r="M7" s="2">
        <v>3</v>
      </c>
      <c r="N7" s="2">
        <v>0</v>
      </c>
      <c r="O7" s="2">
        <v>1</v>
      </c>
      <c r="P7" s="2">
        <v>4</v>
      </c>
      <c r="Q7" s="2">
        <v>0</v>
      </c>
      <c r="R7" s="2">
        <v>24</v>
      </c>
    </row>
    <row r="8" spans="1:18">
      <c r="A8" t="s">
        <v>78</v>
      </c>
      <c r="B8" s="2">
        <v>1</v>
      </c>
      <c r="C8" s="2">
        <v>2</v>
      </c>
      <c r="D8" s="2">
        <v>1</v>
      </c>
      <c r="E8" s="2">
        <v>1</v>
      </c>
      <c r="F8" s="2">
        <v>2</v>
      </c>
      <c r="G8" s="2">
        <v>0</v>
      </c>
      <c r="H8" s="2">
        <v>1</v>
      </c>
      <c r="I8" s="2">
        <v>1</v>
      </c>
      <c r="J8" s="2">
        <v>1</v>
      </c>
      <c r="K8" s="2">
        <v>1</v>
      </c>
      <c r="L8" s="2">
        <v>2</v>
      </c>
      <c r="M8" s="2">
        <v>0</v>
      </c>
      <c r="N8" s="2">
        <v>1</v>
      </c>
      <c r="O8" s="2">
        <v>3</v>
      </c>
      <c r="P8" s="2">
        <v>0</v>
      </c>
      <c r="Q8" s="2">
        <v>0</v>
      </c>
      <c r="R8" s="2">
        <v>17</v>
      </c>
    </row>
    <row r="9" spans="1:18">
      <c r="A9" t="s">
        <v>1444</v>
      </c>
      <c r="B9" s="2">
        <v>9</v>
      </c>
      <c r="C9" s="2">
        <v>5</v>
      </c>
      <c r="D9" s="2">
        <v>8</v>
      </c>
      <c r="E9" s="2">
        <v>8</v>
      </c>
      <c r="F9" s="2">
        <v>3</v>
      </c>
      <c r="G9" s="2">
        <v>4</v>
      </c>
      <c r="H9" s="2">
        <v>3</v>
      </c>
      <c r="I9" s="2">
        <v>4</v>
      </c>
      <c r="J9" s="2">
        <v>9</v>
      </c>
      <c r="K9" s="2">
        <v>6</v>
      </c>
      <c r="L9" s="2">
        <v>4</v>
      </c>
      <c r="M9" s="2">
        <v>8</v>
      </c>
      <c r="N9" s="2">
        <v>8</v>
      </c>
      <c r="O9" s="2">
        <v>5</v>
      </c>
      <c r="P9" s="2">
        <v>4</v>
      </c>
      <c r="Q9" s="2">
        <v>2</v>
      </c>
      <c r="R9" s="2">
        <v>90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workbookViewId="0">
      <selection activeCell="A14" sqref="A14"/>
    </sheetView>
  </sheetViews>
  <sheetFormatPr defaultColWidth="8.70909090909091" defaultRowHeight="15" outlineLevelCol="5"/>
  <cols>
    <col min="1" max="1" width="39.8545454545455" style="6" customWidth="1"/>
    <col min="2" max="2" width="19.2818181818182" style="6"/>
    <col min="3" max="16384" width="8.70909090909091" style="6"/>
  </cols>
  <sheetData>
    <row r="1" spans="2:2">
      <c r="B1" s="7" t="s">
        <v>13</v>
      </c>
    </row>
    <row r="2" spans="1:6">
      <c r="A2" s="7" t="s">
        <v>1479</v>
      </c>
      <c r="B2" s="8">
        <f>F2/100</f>
        <v>0.23</v>
      </c>
      <c r="F2" s="6">
        <v>23</v>
      </c>
    </row>
    <row r="6" spans="1:6">
      <c r="A6" s="7" t="s">
        <v>1480</v>
      </c>
      <c r="B6" s="9">
        <f>F6/100</f>
        <v>0.12</v>
      </c>
      <c r="F6" s="6">
        <v>12</v>
      </c>
    </row>
    <row r="10" spans="1:6">
      <c r="A10" s="7" t="s">
        <v>1481</v>
      </c>
      <c r="B10" s="8">
        <f>F10/100</f>
        <v>0.2</v>
      </c>
      <c r="F10" s="6">
        <v>20</v>
      </c>
    </row>
    <row r="13" s="5" customFormat="1" ht="17.5" spans="1:1">
      <c r="A13" s="10" t="s">
        <v>1482</v>
      </c>
    </row>
    <row r="14" spans="1:2">
      <c r="A14" s="7" t="s">
        <v>1483</v>
      </c>
      <c r="B14" s="11">
        <f>'1. Staging Table'!AB637</f>
        <v>11024296.20954</v>
      </c>
    </row>
    <row r="15" spans="1:2">
      <c r="A15" s="7" t="s">
        <v>1484</v>
      </c>
      <c r="B15" s="11">
        <f>'1. Staging Table'!AC637</f>
        <v>14886303.1214285</v>
      </c>
    </row>
    <row r="16" spans="1:2">
      <c r="A16" s="7"/>
      <c r="B16" s="7"/>
    </row>
    <row r="17" spans="1:2">
      <c r="A17" s="7" t="s">
        <v>1438</v>
      </c>
      <c r="B17" s="11">
        <f>'1. Staging Table'!AE637</f>
        <v>3496548.49954</v>
      </c>
    </row>
    <row r="18" spans="1:2">
      <c r="A18" s="7" t="s">
        <v>1485</v>
      </c>
      <c r="B18" s="11">
        <f>'1. Staging Table'!AF637</f>
        <v>7358555.41142848</v>
      </c>
    </row>
  </sheetData>
  <pageMargins left="0.75" right="0.75" top="1" bottom="1" header="0.5" footer="0.5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name="GlobalDiscountCap" r:id="rId3">
              <controlPr defaultSize="0">
                <anchor moveWithCells="1">
                  <from>
                    <xdr:col>2</xdr:col>
                    <xdr:colOff>19050</xdr:colOff>
                    <xdr:row>1</xdr:row>
                    <xdr:rowOff>19050</xdr:rowOff>
                  </from>
                  <to>
                    <xdr:col>4</xdr:col>
                    <xdr:colOff>600075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name="UnitCost Inflation Factor" r:id="rId4">
              <controlPr defaultSize="0">
                <anchor moveWithCells="1">
                  <from>
                    <xdr:col>2</xdr:col>
                    <xdr:colOff>19050</xdr:colOff>
                    <xdr:row>5</xdr:row>
                    <xdr:rowOff>19050</xdr:rowOff>
                  </from>
                  <to>
                    <xdr:col>5</xdr:col>
                    <xdr:colOff>0</xdr:colOff>
                    <xdr:row>7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name="Quantity Uplift" r:id="rId5">
              <controlPr defaultSize="0">
                <anchor moveWithCells="1">
                  <from>
                    <xdr:col>2</xdr:col>
                    <xdr:colOff>19050</xdr:colOff>
                    <xdr:row>9</xdr:row>
                    <xdr:rowOff>19050</xdr:rowOff>
                  </from>
                  <to>
                    <xdr:col>5</xdr:col>
                    <xdr:colOff>9525</xdr:colOff>
                    <xdr:row>11</xdr:row>
                    <xdr:rowOff>28575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L16"/>
  <sheetViews>
    <sheetView workbookViewId="0">
      <selection activeCell="A1" sqref="A1"/>
    </sheetView>
  </sheetViews>
  <sheetFormatPr defaultColWidth="8.70909090909091" defaultRowHeight="14.5"/>
  <cols>
    <col min="1" max="1" width="11.2818181818182" customWidth="1"/>
    <col min="2" max="2" width="20.7090909090909" customWidth="1"/>
    <col min="12" max="12" width="14.4272727272727"/>
  </cols>
  <sheetData>
    <row r="3" spans="1:2">
      <c r="A3" t="s">
        <v>1424</v>
      </c>
      <c r="B3" t="s">
        <v>1450</v>
      </c>
    </row>
    <row r="4" spans="1:2">
      <c r="A4" t="s">
        <v>1452</v>
      </c>
      <c r="B4" s="3">
        <v>701241.31055</v>
      </c>
    </row>
    <row r="5" spans="1:2">
      <c r="A5" t="s">
        <v>1453</v>
      </c>
      <c r="B5" s="3">
        <v>978103.93578</v>
      </c>
    </row>
    <row r="6" spans="1:2">
      <c r="A6" t="s">
        <v>1454</v>
      </c>
      <c r="B6" s="3">
        <v>798978.30495</v>
      </c>
    </row>
    <row r="7" spans="1:2">
      <c r="A7" t="s">
        <v>1455</v>
      </c>
      <c r="B7" s="3">
        <v>947246.57738</v>
      </c>
    </row>
    <row r="8" spans="1:12">
      <c r="A8" t="s">
        <v>1456</v>
      </c>
      <c r="B8" s="3">
        <v>1262173.91735</v>
      </c>
      <c r="L8" s="3"/>
    </row>
    <row r="9" spans="1:2">
      <c r="A9" t="s">
        <v>1457</v>
      </c>
      <c r="B9" s="3">
        <v>1316182.07491</v>
      </c>
    </row>
    <row r="10" spans="1:2">
      <c r="A10" t="s">
        <v>1458</v>
      </c>
      <c r="B10" s="3">
        <v>1313062.29955</v>
      </c>
    </row>
    <row r="11" spans="1:2">
      <c r="A11" t="s">
        <v>1459</v>
      </c>
      <c r="B11" s="3">
        <v>1089608.81255</v>
      </c>
    </row>
    <row r="12" spans="1:2">
      <c r="A12" t="s">
        <v>1460</v>
      </c>
      <c r="B12" s="3">
        <v>661159.42946</v>
      </c>
    </row>
    <row r="13" spans="1:12">
      <c r="A13" t="s">
        <v>1461</v>
      </c>
      <c r="B13" s="3">
        <v>658776.05551</v>
      </c>
      <c r="L13" t="e">
        <f>GETPIVOTDATA("GrossRevenue",$A$3,"Month",4)/GETPIVOTDATA("GrossRevenue",$A$3)</f>
        <v>#REF!</v>
      </c>
    </row>
    <row r="14" spans="1:2">
      <c r="A14" t="s">
        <v>1462</v>
      </c>
      <c r="B14" s="3">
        <v>543953.69135</v>
      </c>
    </row>
    <row r="15" spans="1:2">
      <c r="A15" t="s">
        <v>1463</v>
      </c>
      <c r="B15" s="3">
        <v>753809.8002</v>
      </c>
    </row>
    <row r="16" spans="1:2">
      <c r="A16" t="s">
        <v>1444</v>
      </c>
      <c r="B16" s="3">
        <v>11024296.20954</v>
      </c>
    </row>
  </sheetData>
  <pageMargins left="0.75" right="0.75" top="1" bottom="1" header="0.5" footer="0.5"/>
  <headerFooter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32"/>
  <sheetViews>
    <sheetView workbookViewId="0">
      <selection activeCell="A1" sqref="A1"/>
    </sheetView>
  </sheetViews>
  <sheetFormatPr defaultColWidth="8.70909090909091" defaultRowHeight="14.5" outlineLevelCol="2"/>
  <cols>
    <col min="1" max="1" width="11.5727272727273"/>
    <col min="2" max="2" width="12.7090909090909" customWidth="1"/>
    <col min="3" max="3" width="14.2818181818182" customWidth="1"/>
    <col min="13" max="13" width="12.8545454545455"/>
  </cols>
  <sheetData>
    <row r="3" spans="1:3">
      <c r="A3" t="s">
        <v>3</v>
      </c>
      <c r="B3" t="s">
        <v>7</v>
      </c>
      <c r="C3" t="s">
        <v>1486</v>
      </c>
    </row>
    <row r="4" spans="1:3">
      <c r="A4" t="s">
        <v>16</v>
      </c>
      <c r="C4" s="4">
        <v>852576.9343</v>
      </c>
    </row>
    <row r="5" spans="2:3">
      <c r="B5" t="s">
        <v>98</v>
      </c>
      <c r="C5" s="4">
        <v>177919.8197</v>
      </c>
    </row>
    <row r="6" spans="2:3">
      <c r="B6" t="s">
        <v>55</v>
      </c>
      <c r="C6" s="4">
        <v>192042.35207</v>
      </c>
    </row>
    <row r="7" spans="2:3">
      <c r="B7" t="s">
        <v>40</v>
      </c>
      <c r="C7" s="4">
        <v>164839.30456</v>
      </c>
    </row>
    <row r="8" spans="2:3">
      <c r="B8" t="s">
        <v>1441</v>
      </c>
      <c r="C8" s="4">
        <v>16237.34423</v>
      </c>
    </row>
    <row r="9" spans="2:3">
      <c r="B9" t="s">
        <v>28</v>
      </c>
      <c r="C9" s="4">
        <v>145453.94627</v>
      </c>
    </row>
    <row r="10" spans="2:3">
      <c r="B10" t="s">
        <v>20</v>
      </c>
      <c r="C10" s="4">
        <v>156084.16747</v>
      </c>
    </row>
    <row r="11" spans="1:3">
      <c r="A11" t="s">
        <v>52</v>
      </c>
      <c r="C11" s="4">
        <v>862340.77134</v>
      </c>
    </row>
    <row r="12" spans="2:3">
      <c r="B12" t="s">
        <v>98</v>
      </c>
      <c r="C12" s="4">
        <v>258674.92591</v>
      </c>
    </row>
    <row r="13" spans="2:3">
      <c r="B13" t="s">
        <v>55</v>
      </c>
      <c r="C13" s="4">
        <v>175298.68432</v>
      </c>
    </row>
    <row r="14" spans="2:3">
      <c r="B14" t="s">
        <v>40</v>
      </c>
      <c r="C14" s="4">
        <v>96609.64752</v>
      </c>
    </row>
    <row r="15" spans="2:3">
      <c r="B15" t="s">
        <v>1441</v>
      </c>
      <c r="C15" s="4">
        <v>777.959999999999</v>
      </c>
    </row>
    <row r="16" spans="2:3">
      <c r="B16" t="s">
        <v>28</v>
      </c>
      <c r="C16" s="4">
        <v>261943.84437</v>
      </c>
    </row>
    <row r="17" spans="2:3">
      <c r="B17" t="s">
        <v>20</v>
      </c>
      <c r="C17" s="4">
        <v>69035.70922</v>
      </c>
    </row>
    <row r="18" spans="1:3">
      <c r="A18" t="s">
        <v>45</v>
      </c>
      <c r="C18" s="4">
        <v>831257.72765</v>
      </c>
    </row>
    <row r="19" spans="2:3">
      <c r="B19" t="s">
        <v>98</v>
      </c>
      <c r="C19" s="4">
        <v>229217.47858</v>
      </c>
    </row>
    <row r="20" spans="2:3">
      <c r="B20" t="s">
        <v>55</v>
      </c>
      <c r="C20" s="4">
        <v>151146.74599</v>
      </c>
    </row>
    <row r="21" spans="2:3">
      <c r="B21" t="s">
        <v>40</v>
      </c>
      <c r="C21" s="4">
        <v>128045.00806</v>
      </c>
    </row>
    <row r="22" spans="2:3">
      <c r="B22" t="s">
        <v>1441</v>
      </c>
      <c r="C22" s="4">
        <v>20547.54549</v>
      </c>
    </row>
    <row r="23" spans="2:3">
      <c r="B23" t="s">
        <v>28</v>
      </c>
      <c r="C23" s="4">
        <v>149042.38969</v>
      </c>
    </row>
    <row r="24" spans="2:3">
      <c r="B24" t="s">
        <v>20</v>
      </c>
      <c r="C24" s="4">
        <v>153258.55984</v>
      </c>
    </row>
    <row r="25" spans="1:3">
      <c r="A25" t="s">
        <v>78</v>
      </c>
      <c r="C25" s="4">
        <v>950373.06625</v>
      </c>
    </row>
    <row r="26" spans="2:3">
      <c r="B26" t="s">
        <v>98</v>
      </c>
      <c r="C26" s="4">
        <v>292716.95204</v>
      </c>
    </row>
    <row r="27" spans="2:3">
      <c r="B27" t="s">
        <v>55</v>
      </c>
      <c r="C27" s="4">
        <v>105550.8522</v>
      </c>
    </row>
    <row r="28" spans="2:3">
      <c r="B28" t="s">
        <v>40</v>
      </c>
      <c r="C28" s="4">
        <v>174900.72425</v>
      </c>
    </row>
    <row r="29" spans="2:3">
      <c r="B29" t="s">
        <v>1441</v>
      </c>
      <c r="C29" s="4">
        <v>8028.70646</v>
      </c>
    </row>
    <row r="30" spans="2:3">
      <c r="B30" t="s">
        <v>28</v>
      </c>
      <c r="C30" s="4">
        <v>200067.16277</v>
      </c>
    </row>
    <row r="31" spans="2:3">
      <c r="B31" t="s">
        <v>20</v>
      </c>
      <c r="C31" s="4">
        <v>169108.66853</v>
      </c>
    </row>
    <row r="32" spans="1:3">
      <c r="A32" t="s">
        <v>1444</v>
      </c>
      <c r="C32" s="3">
        <v>3496548.49954</v>
      </c>
    </row>
  </sheetData>
  <pageMargins left="0.75" right="0.75" top="1" bottom="1" header="0.5" footer="0.5"/>
  <headerFooter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workbookViewId="0">
      <selection activeCell="A1" sqref="A1"/>
    </sheetView>
  </sheetViews>
  <sheetFormatPr defaultColWidth="8.70909090909091" defaultRowHeight="14.5" outlineLevelCol="1"/>
  <cols>
    <col min="1" max="1" width="11.2818181818182" customWidth="1"/>
    <col min="2" max="2" width="20.7090909090909" customWidth="1"/>
    <col min="13" max="13" width="12.8545454545455"/>
  </cols>
  <sheetData>
    <row r="3" spans="1:2">
      <c r="A3" t="s">
        <v>10</v>
      </c>
      <c r="B3" t="s">
        <v>1450</v>
      </c>
    </row>
    <row r="4" spans="1:2">
      <c r="A4" t="s">
        <v>655</v>
      </c>
      <c r="B4" s="3">
        <v>79548.756</v>
      </c>
    </row>
    <row r="5" spans="1:2">
      <c r="A5" t="s">
        <v>1327</v>
      </c>
      <c r="B5" s="3">
        <v>82141.3398</v>
      </c>
    </row>
    <row r="6" spans="1:2">
      <c r="A6" t="s">
        <v>827</v>
      </c>
      <c r="B6" s="3">
        <v>82514.71152</v>
      </c>
    </row>
    <row r="7" spans="1:2">
      <c r="A7" t="s">
        <v>1032</v>
      </c>
      <c r="B7" s="3">
        <v>84136.1196</v>
      </c>
    </row>
    <row r="8" spans="1:2">
      <c r="A8" t="s">
        <v>434</v>
      </c>
      <c r="B8" s="3">
        <v>85637.74032</v>
      </c>
    </row>
    <row r="9" spans="1:2">
      <c r="A9" t="s">
        <v>383</v>
      </c>
      <c r="B9" s="3">
        <v>87404.92992</v>
      </c>
    </row>
    <row r="10" spans="1:2">
      <c r="A10" t="s">
        <v>454</v>
      </c>
      <c r="B10" s="3">
        <v>92715.25</v>
      </c>
    </row>
    <row r="11" spans="1:2">
      <c r="A11" t="s">
        <v>946</v>
      </c>
      <c r="B11" s="3">
        <v>102122.94204</v>
      </c>
    </row>
    <row r="12" spans="1:2">
      <c r="A12" t="s">
        <v>186</v>
      </c>
      <c r="B12" s="3">
        <v>109244</v>
      </c>
    </row>
    <row r="13" spans="1:2">
      <c r="A13" t="s">
        <v>577</v>
      </c>
      <c r="B13" s="3">
        <v>139277.83032</v>
      </c>
    </row>
    <row r="14" spans="1:2">
      <c r="A14" t="s">
        <v>1444</v>
      </c>
      <c r="B14" s="2">
        <v>944743.61952</v>
      </c>
    </row>
  </sheetData>
  <pageMargins left="0.75" right="0.75" top="1" bottom="1" header="0.5" footer="0.5"/>
  <headerFooter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5"/>
  <sheetViews>
    <sheetView workbookViewId="0">
      <selection activeCell="A1" sqref="A1"/>
    </sheetView>
  </sheetViews>
  <sheetFormatPr defaultColWidth="8.70909090909091" defaultRowHeight="14.5" outlineLevelCol="1"/>
  <cols>
    <col min="1" max="1" width="16.4272727272727" customWidth="1"/>
    <col min="2" max="2" width="17" customWidth="1"/>
  </cols>
  <sheetData>
    <row r="3" spans="1:2">
      <c r="A3" t="s">
        <v>0</v>
      </c>
      <c r="B3" t="s">
        <v>1487</v>
      </c>
    </row>
    <row r="4" spans="1:2">
      <c r="A4" t="s">
        <v>782</v>
      </c>
      <c r="B4" s="2">
        <v>0.565</v>
      </c>
    </row>
    <row r="5" spans="1:2">
      <c r="A5" t="s">
        <v>253</v>
      </c>
      <c r="B5" s="2">
        <v>0.257</v>
      </c>
    </row>
    <row r="6" spans="1:2">
      <c r="A6" t="s">
        <v>885</v>
      </c>
      <c r="B6" s="2">
        <v>0.357</v>
      </c>
    </row>
    <row r="7" spans="1:2">
      <c r="A7" t="s">
        <v>245</v>
      </c>
      <c r="B7" s="2">
        <v>0.343</v>
      </c>
    </row>
    <row r="8" spans="1:2">
      <c r="A8" t="s">
        <v>297</v>
      </c>
      <c r="B8" s="2">
        <v>0.292</v>
      </c>
    </row>
    <row r="9" spans="1:2">
      <c r="A9" t="s">
        <v>360</v>
      </c>
      <c r="B9" s="2">
        <v>0.344</v>
      </c>
    </row>
    <row r="10" spans="1:2">
      <c r="A10" t="s">
        <v>376</v>
      </c>
      <c r="B10" s="2">
        <v>0.265</v>
      </c>
    </row>
    <row r="11" spans="1:2">
      <c r="A11" t="s">
        <v>784</v>
      </c>
      <c r="B11" s="2">
        <v>0.282</v>
      </c>
    </row>
    <row r="12" spans="1:2">
      <c r="A12" t="s">
        <v>780</v>
      </c>
      <c r="B12" s="2">
        <v>0.299</v>
      </c>
    </row>
    <row r="13" spans="1:2">
      <c r="A13" t="s">
        <v>766</v>
      </c>
      <c r="B13" s="2">
        <v>0.27</v>
      </c>
    </row>
    <row r="14" spans="1:2">
      <c r="A14" t="s">
        <v>309</v>
      </c>
      <c r="B14" s="2">
        <v>0.278</v>
      </c>
    </row>
    <row r="15" spans="1:2">
      <c r="A15" t="s">
        <v>380</v>
      </c>
      <c r="B15" s="2">
        <v>0.259</v>
      </c>
    </row>
    <row r="16" spans="1:2">
      <c r="A16" t="s">
        <v>219</v>
      </c>
      <c r="B16" s="2">
        <v>0.255</v>
      </c>
    </row>
    <row r="17" spans="1:2">
      <c r="A17" t="s">
        <v>887</v>
      </c>
      <c r="B17" s="2">
        <v>0.254</v>
      </c>
    </row>
    <row r="18" spans="1:2">
      <c r="A18" t="s">
        <v>193</v>
      </c>
      <c r="B18" s="2">
        <v>0.295</v>
      </c>
    </row>
    <row r="19" spans="1:2">
      <c r="A19" t="s">
        <v>437</v>
      </c>
      <c r="B19" s="2">
        <v>0.254</v>
      </c>
    </row>
    <row r="20" spans="1:2">
      <c r="A20" t="s">
        <v>828</v>
      </c>
      <c r="B20" s="2">
        <v>0.272</v>
      </c>
    </row>
    <row r="21" spans="1:2">
      <c r="A21" t="s">
        <v>191</v>
      </c>
      <c r="B21" s="2">
        <v>0.292</v>
      </c>
    </row>
    <row r="22" spans="1:2">
      <c r="A22" t="s">
        <v>594</v>
      </c>
      <c r="B22" s="2">
        <v>0.263</v>
      </c>
    </row>
    <row r="23" spans="1:2">
      <c r="A23" t="s">
        <v>443</v>
      </c>
      <c r="B23" s="2">
        <v>0.254</v>
      </c>
    </row>
    <row r="24" spans="1:2">
      <c r="A24" t="s">
        <v>788</v>
      </c>
      <c r="B24" s="2">
        <v>0.261</v>
      </c>
    </row>
    <row r="25" spans="1:2">
      <c r="A25" t="s">
        <v>850</v>
      </c>
      <c r="B25" s="2">
        <v>0.256</v>
      </c>
    </row>
    <row r="26" spans="1:2">
      <c r="A26" t="s">
        <v>540</v>
      </c>
      <c r="B26" s="2">
        <v>0.266</v>
      </c>
    </row>
    <row r="27" spans="1:2">
      <c r="A27" t="s">
        <v>955</v>
      </c>
      <c r="B27" s="2">
        <v>0.314</v>
      </c>
    </row>
    <row r="28" spans="1:2">
      <c r="A28" t="s">
        <v>174</v>
      </c>
      <c r="B28" s="2">
        <v>0.318</v>
      </c>
    </row>
    <row r="29" spans="1:2">
      <c r="A29" t="s">
        <v>504</v>
      </c>
      <c r="B29" s="2">
        <v>0.258</v>
      </c>
    </row>
    <row r="30" spans="1:2">
      <c r="A30" t="s">
        <v>995</v>
      </c>
      <c r="B30" s="2">
        <v>0.293</v>
      </c>
    </row>
    <row r="31" spans="1:2">
      <c r="A31" t="s">
        <v>1029</v>
      </c>
      <c r="B31" s="2">
        <v>0.257</v>
      </c>
    </row>
    <row r="32" spans="1:2">
      <c r="A32" t="s">
        <v>664</v>
      </c>
      <c r="B32" s="2">
        <v>0.317</v>
      </c>
    </row>
    <row r="33" spans="1:2">
      <c r="A33" t="s">
        <v>758</v>
      </c>
      <c r="B33" s="2">
        <v>0.346</v>
      </c>
    </row>
    <row r="34" spans="1:2">
      <c r="A34" t="s">
        <v>453</v>
      </c>
      <c r="B34" s="2">
        <v>0.255</v>
      </c>
    </row>
    <row r="35" spans="1:2">
      <c r="A35" t="s">
        <v>1444</v>
      </c>
      <c r="B35" s="2">
        <v>9.091</v>
      </c>
    </row>
  </sheetData>
  <pageMargins left="0.75" right="0.75" top="1" bottom="1" header="0.5" footer="0.5"/>
  <headerFooter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"/>
  <sheetViews>
    <sheetView workbookViewId="0">
      <selection activeCell="R6" sqref="R6"/>
    </sheetView>
  </sheetViews>
  <sheetFormatPr defaultColWidth="8.70909090909091" defaultRowHeight="9.95" customHeight="1"/>
  <cols>
    <col min="1" max="16384" width="8.70909090909091" style="1"/>
  </cols>
  <sheetData/>
  <pageMargins left="0.748031496062992" right="0.748031496062992" top="0.984251968503937" bottom="0.984251968503937" header="0.511811023622047" footer="0.511811023622047"/>
  <pageSetup paperSize="9" scale="44" orientation="portrait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Data</vt:lpstr>
      <vt:lpstr>Brief</vt:lpstr>
      <vt:lpstr>1. Staging Table</vt:lpstr>
      <vt:lpstr>2. Region Hierachy Pivot Table</vt:lpstr>
      <vt:lpstr>3.ProductCategory &amp;PriceBands</vt:lpstr>
      <vt:lpstr>4. Cohort analysis</vt:lpstr>
      <vt:lpstr>5. ABC Analysis</vt:lpstr>
      <vt:lpstr>6. Salesperson productivity</vt:lpstr>
      <vt:lpstr>7.Channel mix &amp; cannibalization</vt:lpstr>
      <vt:lpstr>8. Service level proxy</vt:lpstr>
      <vt:lpstr>9. Price Compliance</vt:lpstr>
      <vt:lpstr>10. Whatif Control pannel</vt:lpstr>
      <vt:lpstr>11. Revenue by Month pivottable</vt:lpstr>
      <vt:lpstr>12.Profit by Region and Channel</vt:lpstr>
      <vt:lpstr>13.Top 10 SKUs by Revenue</vt:lpstr>
      <vt:lpstr>14. Discount Outliers</vt:lpstr>
      <vt:lpstr>15. 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Brigid Chepkemoi</dc:creator>
  <cp:lastModifiedBy>ADMIN</cp:lastModifiedBy>
  <dcterms:created xsi:type="dcterms:W3CDTF">2025-09-28T10:49:00Z</dcterms:created>
  <dcterms:modified xsi:type="dcterms:W3CDTF">2026-02-01T18:52:30Z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1033-12.2.0.23196</vt:lpwstr>
  </property>
  <property fmtid="{D5CDD505-2E9C-101B-9397-08002B2CF9AE}" pid="3" name="ICV">
    <vt:lpwstr>FF24F3C1BF314A3F9080A97304EB91DE_13</vt:lpwstr>
  </property>
</Properties>
</file>